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CONFIG" sheetId="2" state="visible" r:id="rId4"/>
    <sheet name="02_INDICADORES" sheetId="3" state="visible" r:id="rId5"/>
    <sheet name="03_SCORING" sheetId="4" state="visible" r:id="rId6"/>
    <sheet name="04_RESULTADO" sheetId="5" state="visible" r:id="rId7"/>
    <sheet name="05_EVIDENCIA" sheetId="6" state="visible" r:id="rId8"/>
    <sheet name="06_AUDITORIA" sheetId="7" state="visible" r:id="rId9"/>
    <sheet name="07_FICHA" sheetId="8" state="visible" r:id="rId10"/>
    <sheet name="08_RIESGOS" sheetId="9" state="visible" r:id="rId11"/>
    <sheet name="09_OPORTUNIDADES" sheetId="10" state="visible" r:id="rId12"/>
    <sheet name="10_PROSPECTIVA" sheetId="11" state="visible" r:id="rId13"/>
    <sheet name="11_ALERTA_TEMPRANA" sheetId="12" state="visible" r:id="rId14"/>
    <sheet name="12_FUENTES" sheetId="13" state="visible" r:id="rId15"/>
    <sheet name="13_CAMBIOS" sheetId="14" state="visible" r:id="rId16"/>
    <sheet name="14_HISTORICO" sheetId="15" state="visible" r:id="rId17"/>
    <sheet name="15_RANKING" sheetId="16" state="visible" r:id="rId18"/>
    <sheet name="16_LISTAS" sheetId="17" state="visible" r:id="rId19"/>
    <sheet name="17_JURISDICCIONES" sheetId="18" state="visible" r:id="rId20"/>
    <sheet name="20_LEER_PRIMERO" sheetId="19" state="visible" r:id="rId21"/>
    <sheet name="21_PLANTILLA_VISUAL" sheetId="20" state="visible" r:id="rId22"/>
    <sheet name="22_REGLAS_LEGIBILIDAD" sheetId="21" state="visible" r:id="rId23"/>
    <sheet name="23_PROMPT_GENERACION" sheetId="22" state="visible" r:id="rId24"/>
    <sheet name="24_MAPA_M18" sheetId="23" state="visible" r:id="rId25"/>
  </sheets>
  <definedNames>
    <definedName function="false" hidden="true" localSheetId="2" name="_xlnm._FilterDatabase" vbProcedure="false">02_INDICADORES!$A$1:$P$42</definedName>
    <definedName function="false" hidden="true" localSheetId="3" name="_xlnm._FilterDatabase" vbProcedure="false">03_SCORING!$A$1:$W$42</definedName>
    <definedName function="false" hidden="true" localSheetId="5" name="_xlnm._FilterDatabase" vbProcedure="false">05_EVIDENCIA!$A$1:$U$301</definedName>
    <definedName function="false" hidden="true" localSheetId="12" name="_xlnm._FilterDatabase" vbProcedure="false">12_FUENTES!$A$1:$M$301</definedName>
    <definedName function="false" hidden="true" localSheetId="14" name="_xlnm._FilterDatabase" vbProcedure="false">14_HISTORICO!$A$1:$M$2001</definedName>
    <definedName function="false" hidden="true" localSheetId="17" name="_xlnm._FilterDatabase" vbProcedure="false">17_JURISDICCIONES!$A$3:$H$27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Puntuación central 0–100 según la rúbrica de 02_INDICADORES. Dejar vacía si no hay evidencia suficiente: cuenta como no disponible y reduce la cobertura.</t>
        </r>
      </text>
    </comment>
    <comment ref="F1" authorId="0">
      <text>
        <r>
          <rPr>
            <sz val="10"/>
            <rFont val="Arial"/>
            <family val="2"/>
          </rPr>
          <t xml:space="preserve">Opcional. Si la evidencia solo permite un intervalo, anotar mínimo y máximo y poner en PUNTUACION el punto central.</t>
        </r>
      </text>
    </comment>
    <comment ref="N1" authorId="0">
      <text>
        <r>
          <rPr>
            <sz val="10"/>
            <rFont val="Arial"/>
            <family val="2"/>
          </rPr>
          <t xml:space="preserve">Meses entre la fecha de la evidencia principal y la fecha de corte. Determina la penalización de confianza.</t>
        </r>
      </text>
    </comment>
    <comment ref="O1" authorId="0">
      <text>
        <r>
          <rPr>
            <sz val="10"/>
            <rFont val="Arial"/>
            <family val="2"/>
          </rPr>
          <t xml:space="preserve">S si la evidencia principal son cuentas anuales auditadas (umbrales de antigüedad 18/30 meses en lugar de 12/24).</t>
        </r>
      </text>
    </comment>
    <comment ref="Q1" authorId="0">
      <text>
        <r>
          <rPr>
            <sz val="10"/>
            <rFont val="Arial"/>
            <family val="2"/>
          </rPr>
          <t xml:space="preserve">Confianza asignada. No puede superar CONF_MAX; la columna CONTROL lo señala.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Probabilidad × impacto (Baja=1, Media=2, Alta=3). Producto ≥6 CRÍTICA; ≥3 ALTA; 2 MEDIA; 1 BAJA. Sin probabilidades numéricas, conforme a la metodología.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Probabilidad × impacto (Baja=1, Media=2, Alta=3). Producto ≥6 CRÍTICA; ≥3 ALTA; 2 MEDIA; 1 BAJA. Sin probabilidades numéricas, conforme a la metodología.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REAL: cambia la situación de la empresa. METODOLÓGICO: cambia la regla, la rúbrica o el perímetro. Nunca mezclar.</t>
        </r>
      </text>
    </comment>
  </commentList>
</comments>
</file>

<file path=xl/sharedStrings.xml><?xml version="1.0" encoding="utf-8"?>
<sst xmlns="http://schemas.openxmlformats.org/spreadsheetml/2006/main" count="1618" uniqueCount="1209">
  <si>
    <t xml:space="preserve">DCIP 2.3 — ARQUITECTURA MAESTRA v3.0</t>
  </si>
  <si>
    <t xml:space="preserve">Versión 05/10/2026. Perímetro de aplicación: empresas de defensa y tecnologías estratégicas de cualquier país.</t>
  </si>
  <si>
    <t xml:space="preserve">Propósito</t>
  </si>
  <si>
    <t xml:space="preserve">Arquitectura maestra reutilizable para cualquier empresa de defensa o tecnologías estratégicas, de cualquier jurisdicción.</t>
  </si>
  <si>
    <t xml:space="preserve">Separación</t>
  </si>
  <si>
    <t xml:space="preserve">Metodología, indicadores, scoring, evidencia, auditoría, ficha, histórico y estándar visual están desacoplados de cualquier empresa.</t>
  </si>
  <si>
    <t xml:space="preserve">Empresa</t>
  </si>
  <si>
    <t xml:space="preserve">Se introduce solo en 01_CONFIG. Un archivo por empresa y versión de expediente; el histórico multiempresa vive en 14_HISTORICO.</t>
  </si>
  <si>
    <t xml:space="preserve">Fórmula</t>
  </si>
  <si>
    <t xml:space="preserve">DCIP = 25 % FIN + 25 % IND + 25 % DEF + 25 % PRO. Pesos fijos. Cada dimensión suma 100 puntos repartidos en sus indicadores.</t>
  </si>
  <si>
    <t xml:space="preserve">Indicadores</t>
  </si>
  <si>
    <t xml:space="preserve">41 indicadores (FIN 10, IND 10, DEF 12, PRO 9) con rúbrica de cinco niveles. 100 es siempre la situación más favorable.</t>
  </si>
  <si>
    <t xml:space="preserve">Rango</t>
  </si>
  <si>
    <t xml:space="preserve">Se calcula una nota normalizada (sobre pesos disponibles) y una nota prudente (indicadores sin evidencia a 25). Si cruzan una banda, la categoría se publica como rango.</t>
  </si>
  <si>
    <t xml:space="preserve">Cobertura</t>
  </si>
  <si>
    <t xml:space="preserve">≥ 80 % concluyente; 60–79 % con reservas y confianza máxima MEDIA; &lt; 60 % dimensión no concluyente y sin DCIP global.</t>
  </si>
  <si>
    <t xml:space="preserve">Evidencia</t>
  </si>
  <si>
    <t xml:space="preserve">HECHO / ESTIMACIÓN / INFERENCIA / EXPECTATIVA / HIPÓTESIS. Cada puntuación cita EVIDENCIA_ID; cada evidencia cita FUENTE_ID.</t>
  </si>
  <si>
    <t xml:space="preserve">Confianza</t>
  </si>
  <si>
    <t xml:space="preserve">Se deriva del nivel de fuente (N1–N6) y de la antigüedad; nunca de la puntuación. La confianza introducida no puede superar la máxima calculada.</t>
  </si>
  <si>
    <t xml:space="preserve">Internacional</t>
  </si>
  <si>
    <t xml:space="preserve">01_CONFIG registra jurisdicción, norma contable, moneda, tipo de cambio y cierre fiscal. 17_JURISDICCIONES mapea las fuentes N1 y N3 por país.</t>
  </si>
  <si>
    <t xml:space="preserve">Principio</t>
  </si>
  <si>
    <t xml:space="preserve">No inventar, no imputar huecos, separar perímetros y buscar contradicciones. La calidad de la conclusión nunca supera la calidad de la evidencia.</t>
  </si>
  <si>
    <t xml:space="preserve">LEYENDA DE CELDAS</t>
  </si>
  <si>
    <t xml:space="preserve">Texto azul sobre fondo amarillo</t>
  </si>
  <si>
    <t xml:space="preserve">Celda de entrada. Es lo único que rellena el analista.</t>
  </si>
  <si>
    <t xml:space="preserve">Texto negro</t>
  </si>
  <si>
    <t xml:space="preserve">Fórmula. No editar.</t>
  </si>
  <si>
    <t xml:space="preserve">Texto verde</t>
  </si>
  <si>
    <t xml:space="preserve">Enlace a otra hoja. No editar.</t>
  </si>
  <si>
    <t xml:space="preserve">ORDEN DE USO</t>
  </si>
  <si>
    <t xml:space="preserve">1) 01_CONFIG → 2) 12_FUENTES → 3) 05_EVIDENCIA → 4) 07_FICHA (snapshot y ratios) → 5) 03_SCORING → 6) 04_RESULTADO → 7) 08–11 → 8) 06_AUDITORIA → 9) 13_CAMBIOS y 14_HISTORICO → 10) estándar visual (20–24).</t>
  </si>
  <si>
    <t xml:space="preserve">Hojas</t>
  </si>
  <si>
    <t xml:space="preserve">00 README · 01 CONFIG · 02 INDICADORES · 03 SCORING · 04 RESULTADO · 05 EVIDENCIA · 06 AUDITORIA · 07 FICHA · 08 RIESGOS · 09 OPORTUNIDADES · 10 PROSPECTIVA · 11 ALERTA_TEMPRANA · 12 FUENTES · 13 CAMBIOS · 14 HISTORICO · 15 RANKING · 16 LISTAS · 17 JURISDICCIONES · 20–24 estándar visual.</t>
  </si>
  <si>
    <t xml:space="preserve">01_CONFIG — Parámetros del expediente</t>
  </si>
  <si>
    <t xml:space="preserve">Rellenar las celdas amarillas. Las demás hojas leen de aquí.</t>
  </si>
  <si>
    <t xml:space="preserve">CAMPO</t>
  </si>
  <si>
    <t xml:space="preserve">VALOR</t>
  </si>
  <si>
    <t xml:space="preserve">NOTA</t>
  </si>
  <si>
    <t xml:space="preserve">EMPRESA</t>
  </si>
  <si>
    <t xml:space="preserve">Nombre oficial de la entidad analizada.</t>
  </si>
  <si>
    <t xml:space="preserve">PAIS</t>
  </si>
  <si>
    <t xml:space="preserve">País de sede y control efectivo.</t>
  </si>
  <si>
    <t xml:space="preserve">JURISDICCION</t>
  </si>
  <si>
    <t xml:space="preserve">Elegir de 17_JURISDICCIONES. Determina las fuentes N1 y el tope de confianza.</t>
  </si>
  <si>
    <t xml:space="preserve">FECHA_CORTE</t>
  </si>
  <si>
    <t xml:space="preserve">Fecha hasta la que se considera válida la información (DD/MM/AAAA).</t>
  </si>
  <si>
    <t xml:space="preserve">PERIODO_FINANCIERO</t>
  </si>
  <si>
    <t xml:space="preserve">Último ejercicio cerrado y auditado a la fecha de corte (AAAA o AAAA/AA).</t>
  </si>
  <si>
    <t xml:space="preserve">CIERRE_FISCAL</t>
  </si>
  <si>
    <t xml:space="preserve">Mes de cierre del ejercicio (p. ej. 31/12, 31/03, 30/06).</t>
  </si>
  <si>
    <t xml:space="preserve">NORMA_CONTABLE</t>
  </si>
  <si>
    <t xml:space="preserve">IFRS, US GAAP, GAAP local (indicar cuál).</t>
  </si>
  <si>
    <t xml:space="preserve">MONEDA_ORIGINAL</t>
  </si>
  <si>
    <t xml:space="preserve">Código ISO (EUR, USD, GBP, KRW, ILS...).</t>
  </si>
  <si>
    <t xml:space="preserve">TIPO_CAMBIO_EUR</t>
  </si>
  <si>
    <t xml:space="preserve">Euros por una unidad de moneda original en la fecha de corte. EUR = 1.</t>
  </si>
  <si>
    <t xml:space="preserve">FUENTE_TIPO_CAMBIO</t>
  </si>
  <si>
    <t xml:space="preserve">BCE, tipo de referencia, fecha.</t>
  </si>
  <si>
    <t xml:space="preserve">PERIMETRO_PRINCIPAL</t>
  </si>
  <si>
    <t xml:space="preserve">Grupo consolidado o sociedad individual.</t>
  </si>
  <si>
    <t xml:space="preserve">PERIMETRO_SECUNDARIO</t>
  </si>
  <si>
    <t xml:space="preserve">Filiales, segmentos o programas relevantes, si procede.</t>
  </si>
  <si>
    <t xml:space="preserve">PESO_DEFENSA_INGRESOS</t>
  </si>
  <si>
    <t xml:space="preserve">Porcentaje de ingresos de defensa sobre el total, como fracción (0,65 = 65 %).</t>
  </si>
  <si>
    <t xml:space="preserve">PESO_DEFENSA_TIPO</t>
  </si>
  <si>
    <t xml:space="preserve">HECHO si procede de un segmento publicado; ESTIMACIÓN si es cálculo propio.</t>
  </si>
  <si>
    <t xml:space="preserve">FIN_PESO</t>
  </si>
  <si>
    <t xml:space="preserve">Fijo por metodología.</t>
  </si>
  <si>
    <t xml:space="preserve">IND_PESO</t>
  </si>
  <si>
    <t xml:space="preserve">DEF_PESO</t>
  </si>
  <si>
    <t xml:space="preserve">PRO_PESO</t>
  </si>
  <si>
    <t xml:space="preserve">CONTROL_PESOS</t>
  </si>
  <si>
    <t xml:space="preserve">Debe ser 1.</t>
  </si>
  <si>
    <t xml:space="preserve">VERSION_METODOLOGIA</t>
  </si>
  <si>
    <t xml:space="preserve">2.3</t>
  </si>
  <si>
    <t xml:space="preserve">No editar.</t>
  </si>
  <si>
    <t xml:space="preserve">VERSION_EXPEDIENTE</t>
  </si>
  <si>
    <t xml:space="preserve">v1</t>
  </si>
  <si>
    <t xml:space="preserve">v1, v2... Se incrementa en cada actualización y se registra en 13_CAMBIOS.</t>
  </si>
  <si>
    <t xml:space="preserve">ANALISTA</t>
  </si>
  <si>
    <t xml:space="preserve">FECHA_ANALISIS</t>
  </si>
  <si>
    <t xml:space="preserve">Fecha de elaboración.</t>
  </si>
  <si>
    <t xml:space="preserve">ID</t>
  </si>
  <si>
    <t xml:space="preserve">DIM</t>
  </si>
  <si>
    <t xml:space="preserve">INDICADOR</t>
  </si>
  <si>
    <t xml:space="preserve">PESO</t>
  </si>
  <si>
    <t xml:space="preserve">POLARIDAD</t>
  </si>
  <si>
    <t xml:space="preserve">DEFINICION</t>
  </si>
  <si>
    <t xml:space="preserve">METRICA</t>
  </si>
  <si>
    <t xml:space="preserve">HORIZONTE</t>
  </si>
  <si>
    <t xml:space="preserve">FUENTE_PREF</t>
  </si>
  <si>
    <t xml:space="preserve">NO_DOBLE_CONTEO</t>
  </si>
  <si>
    <t xml:space="preserve">RUBRICA_0</t>
  </si>
  <si>
    <t xml:space="preserve">RUBRICA_25</t>
  </si>
  <si>
    <t xml:space="preserve">RUBRICA_50</t>
  </si>
  <si>
    <t xml:space="preserve">RUBRICA_75</t>
  </si>
  <si>
    <t xml:space="preserve">RUBRICA_100</t>
  </si>
  <si>
    <t xml:space="preserve">F01</t>
  </si>
  <si>
    <t xml:space="preserve">FIN</t>
  </si>
  <si>
    <t xml:space="preserve">Rentabilidad operativa</t>
  </si>
  <si>
    <t xml:space="preserve">Mayor es mejor</t>
  </si>
  <si>
    <t xml:space="preserve">Margen de explotación del último ejercicio auditado sobre el perímetro consolidado.</t>
  </si>
  <si>
    <t xml:space="preserve">Margen EBIT = resultado de explotación / cifra de negocio.</t>
  </si>
  <si>
    <t xml:space="preserve">Último ejercicio cerrado</t>
  </si>
  <si>
    <t xml:space="preserve">N1</t>
  </si>
  <si>
    <t xml:space="preserve">F02, P05</t>
  </si>
  <si>
    <t xml:space="preserve">EBIT negativo.</t>
  </si>
  <si>
    <t xml:space="preserve">Margen 0–3 %.</t>
  </si>
  <si>
    <t xml:space="preserve">Margen 3–7 %.</t>
  </si>
  <si>
    <t xml:space="preserve">Margen 7–11 %.</t>
  </si>
  <si>
    <t xml:space="preserve">Margen superior al 11 %.</t>
  </si>
  <si>
    <t xml:space="preserve">Usar EBIT reportado. Si la empresa publica un EBIT ajustado, declararlo como cálculo de la fuente y puntuar con el reportado. Equivalencias: IFRS 'operating profit'; US GAAP 'operating income'; GAAP local, verificar partida y declarar.</t>
  </si>
  <si>
    <t xml:space="preserve">F02</t>
  </si>
  <si>
    <t xml:space="preserve">Evolución de rentabilidad</t>
  </si>
  <si>
    <t xml:space="preserve">Variación del margen EBIT entre el ejercicio t y el ejercicio t-2, en puntos porcentuales.</t>
  </si>
  <si>
    <t xml:space="preserve">Margen EBIT (t) − margen EBIT (t-2), perímetro homogéneo.</t>
  </si>
  <si>
    <t xml:space="preserve">Tres ejercicios cerrados</t>
  </si>
  <si>
    <t xml:space="preserve">Deterioro superior a 3 pp o paso a pérdidas.</t>
  </si>
  <si>
    <t xml:space="preserve">Deterioro de 1 a 3 pp.</t>
  </si>
  <si>
    <t xml:space="preserve">Estable, variación dentro de ±1 pp.</t>
  </si>
  <si>
    <t xml:space="preserve">Mejora de 1 a 3 pp.</t>
  </si>
  <si>
    <t xml:space="preserve">Mejora superior a 3 pp con tendencia sostenida en los tres ejercicios.</t>
  </si>
  <si>
    <t xml:space="preserve">Si ha habido cambio de perímetro (adquisiciones, desinversiones), comparar sobre cifras reexpresadas o declarar la ruptura de serie.</t>
  </si>
  <si>
    <t xml:space="preserve">F03</t>
  </si>
  <si>
    <t xml:space="preserve">Generación de caja operativa</t>
  </si>
  <si>
    <t xml:space="preserve">Capacidad de convertir el resultado operativo en caja.</t>
  </si>
  <si>
    <t xml:space="preserve">Flujo de caja operativo / EBITDA (o / EBIT si el EBITDA no está publicado), media de los dos últimos ejercicios.</t>
  </si>
  <si>
    <t xml:space="preserve">Dos ejercicios cerrados</t>
  </si>
  <si>
    <t xml:space="preserve">F04</t>
  </si>
  <si>
    <t xml:space="preserve">FCO negativo en dos de los tres últimos ejercicios.</t>
  </si>
  <si>
    <t xml:space="preserve">FCO negativo en el último ejercicio.</t>
  </si>
  <si>
    <t xml:space="preserve">FCO positivo pero inferior al 50 % del EBITDA.</t>
  </si>
  <si>
    <t xml:space="preserve">FCO entre el 50 % y el 90 % del EBITDA.</t>
  </si>
  <si>
    <t xml:space="preserve">FCO igual o superior al 90 % del EBITDA de forma sostenida.</t>
  </si>
  <si>
    <t xml:space="preserve">Los anticipos de clientes en contratos de defensa distorsionan el FCO de un ejercicio concreto. Declarar su peso y usar la media de dos ejercicios.</t>
  </si>
  <si>
    <t xml:space="preserve">Liquidez</t>
  </si>
  <si>
    <t xml:space="preserve">Capacidad de atender obligaciones a corto plazo.</t>
  </si>
  <si>
    <t xml:space="preserve">Ratio corriente (activo corriente / pasivo corriente) y cobertura de los vencimientos financieros a 12 meses con caja y líneas disponibles.</t>
  </si>
  <si>
    <t xml:space="preserve">Cierre del último ejercicio</t>
  </si>
  <si>
    <t xml:space="preserve">F03, F05</t>
  </si>
  <si>
    <t xml:space="preserve">Caja y líneas no cubren los vencimientos a 12 meses, o ratio corriente inferior a 0,7.</t>
  </si>
  <si>
    <t xml:space="preserve">Ratio corriente 0,7–0,9.</t>
  </si>
  <si>
    <t xml:space="preserve">Ratio corriente 0,9–1,1.</t>
  </si>
  <si>
    <t xml:space="preserve">Ratio corriente 1,1–1,4 y vencimientos a 12 meses cubiertos.</t>
  </si>
  <si>
    <t xml:space="preserve">Ratio corriente superior a 1,4 y vencimientos a 24 meses cubiertos.</t>
  </si>
  <si>
    <t xml:space="preserve">Los anticipos de clientes figuran como pasivo corriente contractual y reducen el ratio sin ser deuda exigible en efectivo. Declararlos.</t>
  </si>
  <si>
    <t xml:space="preserve">F05</t>
  </si>
  <si>
    <t xml:space="preserve">Endeudamiento financiero</t>
  </si>
  <si>
    <t xml:space="preserve">Menor es mejor</t>
  </si>
  <si>
    <t xml:space="preserve">Nivel de apalancamiento financiero neto.</t>
  </si>
  <si>
    <t xml:space="preserve">Deuda financiera neta / EBITDA. Deuda financiera = préstamos + bonos + pasivos por arrendamiento − caja y equivalentes.</t>
  </si>
  <si>
    <t xml:space="preserve">F06, F07</t>
  </si>
  <si>
    <t xml:space="preserve">Superior a 4x, o EBITDA nulo o negativo con deuda.</t>
  </si>
  <si>
    <t xml:space="preserve">Entre 3x y 4x.</t>
  </si>
  <si>
    <t xml:space="preserve">Entre 2x y 3x.</t>
  </si>
  <si>
    <t xml:space="preserve">Entre 1x y 2x.</t>
  </si>
  <si>
    <t xml:space="preserve">Inferior a 1x o posición de caja neta.</t>
  </si>
  <si>
    <t xml:space="preserve">Los préstamos participativos, la deuda subordinada pública y los instrumentos híbridos se declaran por separado y no se suman a la deuda ordinaria sin indicarlo. Bajo IFRS 16 los arrendamientos son deuda; bajo US GAAP los operativos no, declarar la diferencia.</t>
  </si>
  <si>
    <t xml:space="preserve">F06</t>
  </si>
  <si>
    <t xml:space="preserve">Patrimonio y solvencia</t>
  </si>
  <si>
    <t xml:space="preserve">Fortaleza patrimonial y ausencia de causas de desequilibrio.</t>
  </si>
  <si>
    <t xml:space="preserve">Patrimonio neto / activo total y existencia de causas legales de recapitalización o disolución.</t>
  </si>
  <si>
    <t xml:space="preserve">Patrimonio neto negativo o causa legal de disolución o recapitalización forzosa.</t>
  </si>
  <si>
    <t xml:space="preserve">Patrimonio inferior al 10 % del activo.</t>
  </si>
  <si>
    <t xml:space="preserve">Patrimonio entre el 10 % y el 20 % del activo.</t>
  </si>
  <si>
    <t xml:space="preserve">Patrimonio entre el 20 % y el 35 % del activo.</t>
  </si>
  <si>
    <t xml:space="preserve">Patrimonio superior al 35 % del activo sin ampliaciones de rescate en los últimos cinco ejercicios.</t>
  </si>
  <si>
    <t xml:space="preserve">Las ampliaciones de capital suscritas por el Estado para cubrir pérdidas se computan como rescate. Las suscritas para financiar inversión con plan de retorno no.</t>
  </si>
  <si>
    <t xml:space="preserve">F07</t>
  </si>
  <si>
    <t xml:space="preserve">Dependencia financiera de apoyo público</t>
  </si>
  <si>
    <t xml:space="preserve">Peso del apoyo financiero público no de mercado en la actividad. No evalúa la propiedad.</t>
  </si>
  <si>
    <t xml:space="preserve">(Subvenciones de explotación + aportaciones de capital para cubrir pérdidas + préstamos blandos o participativos + avales públicos ejecutados) / cifra de negocio, media de tres ejercicios.</t>
  </si>
  <si>
    <t xml:space="preserve">F05, F06</t>
  </si>
  <si>
    <t xml:space="preserve">Superior al 20 %, o recapitalización pública recurrente para cubrir pérdidas.</t>
  </si>
  <si>
    <t xml:space="preserve">Entre el 10 % y el 20 %.</t>
  </si>
  <si>
    <t xml:space="preserve">Entre el 5 % y el 10 %.</t>
  </si>
  <si>
    <t xml:space="preserve">Entre el 1 % y el 5 %.</t>
  </si>
  <si>
    <t xml:space="preserve">Inferior al 1 %.</t>
  </si>
  <si>
    <t xml:space="preserve">Una empresa de propiedad pública sin apoyo financiero puntúa 100. Los contratos de I+D remunerados a precio de mercado no son apoyo; la prefinanciación ministerial a tipo cero o los préstamos reembolsables sin interés sí lo son. En cada jurisdicción identificar el instrumento equivalente.</t>
  </si>
  <si>
    <t xml:space="preserve">F08</t>
  </si>
  <si>
    <t xml:space="preserve">Cartera: cobertura y conversión</t>
  </si>
  <si>
    <t xml:space="preserve">Cuánto ingreso futuro está respaldado por cartera firme y con qué regularidad se convierte en ingresos. Vista financiera de la cartera.</t>
  </si>
  <si>
    <t xml:space="preserve">Cartera firme / cifra de negocio (años de actividad cubiertos) y ratio de conversión histórica (ingresos del ejercicio / cartera prevista a ejecutar en el ejercicio).</t>
  </si>
  <si>
    <t xml:space="preserve">Cierre del último ejercicio y tres ejercicios de conversión</t>
  </si>
  <si>
    <t xml:space="preserve">D02, P02</t>
  </si>
  <si>
    <t xml:space="preserve">Inferior a 0,5 años, o definición de cartera no verificable.</t>
  </si>
  <si>
    <t xml:space="preserve">Entre 0,5 y 1 año.</t>
  </si>
  <si>
    <t xml:space="preserve">Entre 1 y 2 años.</t>
  </si>
  <si>
    <t xml:space="preserve">Entre 2 y 3 años con conversión regular.</t>
  </si>
  <si>
    <t xml:space="preserve">Superior a 3 años, cartera firme con definición contractual y conversión histórica acreditada.</t>
  </si>
  <si>
    <t xml:space="preserve">Si la fuente no separa cartera firme de opciones o pipeline, la puntuación máxima es 50 y se etiqueta como ESTIMACIÓN. D02 evalúa la composición y firmeza de la cartera militar; P02 la cobertura de los ingresos previstos. Un mismo dato de cartera no puede elevar los tres.</t>
  </si>
  <si>
    <t xml:space="preserve">F09</t>
  </si>
  <si>
    <t xml:space="preserve">Disciplina de capital</t>
  </si>
  <si>
    <t xml:space="preserve">Coherencia entre inversión, retribución al accionista, adquisiciones y generación de caja.</t>
  </si>
  <si>
    <t xml:space="preserve">(Capex + I+D autofinanciada + dividendos + adquisiciones) frente al flujo de caja operativo, y resultado de las adquisiciones (deterioros).</t>
  </si>
  <si>
    <t xml:space="preserve">I08</t>
  </si>
  <si>
    <t xml:space="preserve">Inversión y retribución financiadas con deuda creciente o apoyo público, sin retorno visible.</t>
  </si>
  <si>
    <t xml:space="preserve">Inversión errática o adquisiciones con deterioros relevantes.</t>
  </si>
  <si>
    <t xml:space="preserve">Inversión cubierta por caja pero sin priorización clara.</t>
  </si>
  <si>
    <t xml:space="preserve">Inversión cubierta por caja y priorizada hacia programas con contrato.</t>
  </si>
  <si>
    <t xml:space="preserve">Ciclo de inversión completo financiado con caja operativa y retornos demostrados.</t>
  </si>
  <si>
    <t xml:space="preserve">I08 evalúa el volumen y destino industrial del capex; F09 evalúa su financiación y disciplina.</t>
  </si>
  <si>
    <t xml:space="preserve">F10</t>
  </si>
  <si>
    <t xml:space="preserve">Riesgo financiero extraordinario</t>
  </si>
  <si>
    <t xml:space="preserve">Contingencias y pasivos no recurrentes capaces de alterar la situación financiera.</t>
  </si>
  <si>
    <t xml:space="preserve">(Provisiones por sobrecostes de programas + litigios + garantías ejecutables + sanciones + otras contingencias materiales) / cifra de negocio.</t>
  </si>
  <si>
    <t xml:space="preserve">D12, P07</t>
  </si>
  <si>
    <t xml:space="preserve">Igual o superior al 10 %, o un evento con capacidad de comprometer la continuidad.</t>
  </si>
  <si>
    <t xml:space="preserve">Entre el 2 % y el 5 %.</t>
  </si>
  <si>
    <t xml:space="preserve">Inferior al 2 % con contingencias identificadas y cubiertas.</t>
  </si>
  <si>
    <t xml:space="preserve">Sin contingencias materiales, con opinión de auditoría sin salvedades.</t>
  </si>
  <si>
    <t xml:space="preserve">Las sanciones internacionales y las restricciones de exportación se evalúan en D10; aquí solo su efecto financiero cuantificado.</t>
  </si>
  <si>
    <t xml:space="preserve">I01</t>
  </si>
  <si>
    <t xml:space="preserve">IND</t>
  </si>
  <si>
    <t xml:space="preserve">Capacidad industrial</t>
  </si>
  <si>
    <t xml:space="preserve">Capacidad de producción evaluada en cadena: instalada → efectiva → demostrada. La nota la fija el eslabón más débil.</t>
  </si>
  <si>
    <t xml:space="preserve">Subcriterios: (a) instalaciones y equipos existentes; (b) capacidad efectivamente utilizable (certificaciones, cuellos de botella); (c) producción y entregas acreditadas en los últimos tres años; (d) capacidad disponible para nueva carga.</t>
  </si>
  <si>
    <t xml:space="preserve">Tres ejercicios</t>
  </si>
  <si>
    <t xml:space="preserve">N2</t>
  </si>
  <si>
    <t xml:space="preserve">I02, I09</t>
  </si>
  <si>
    <t xml:space="preserve">Capacidad instalada sin producción demostrada o instalaciones obsoletas.</t>
  </si>
  <si>
    <t xml:space="preserve">Capacidad instalada relevante pero efectiva limitada por cuellos de botella o certificaciones pendientes.</t>
  </si>
  <si>
    <t xml:space="preserve">Capacidad efectiva acreditada en producto de baja complejidad o series cortas.</t>
  </si>
  <si>
    <t xml:space="preserve">Capacidad demostrada con entregas de programas complejos en plazo en los últimos tres años.</t>
  </si>
  <si>
    <t xml:space="preserve">Capacidad demostrada en varios programas complejos simultáneos y con capacidad disponible para nueva carga.</t>
  </si>
  <si>
    <t xml:space="preserve">Sustituye a los antiguos indicadores de capacidad instalada, efectiva y demostrada, que eran conceptos anidados y triplicaban el crédito.</t>
  </si>
  <si>
    <t xml:space="preserve">I02</t>
  </si>
  <si>
    <t xml:space="preserve">Carga y utilización</t>
  </si>
  <si>
    <t xml:space="preserve">Óptimo intermedio</t>
  </si>
  <si>
    <t xml:space="preserve">Grado de utilización de la capacidad efectiva y horizonte de trabajo contratado.</t>
  </si>
  <si>
    <t xml:space="preserve">Utilización estimada de la capacidad efectiva y meses de carga contratada.</t>
  </si>
  <si>
    <t xml:space="preserve">12–36 meses</t>
  </si>
  <si>
    <t xml:space="preserve">I01, P06</t>
  </si>
  <si>
    <t xml:space="preserve">Infrautilización inferior al 40 %, o saturación con retrasos acreditados.</t>
  </si>
  <si>
    <t xml:space="preserve">Utilización 40–60 %, o saturación con riesgos de plazo.</t>
  </si>
  <si>
    <t xml:space="preserve">Utilización 60–75 %.</t>
  </si>
  <si>
    <t xml:space="preserve">Utilización 75–90 % con carga contratada a 24 meses.</t>
  </si>
  <si>
    <t xml:space="preserve">Utilización 80–95 % con carga contratada superior a 36 meses y margen para absorber picos.</t>
  </si>
  <si>
    <t xml:space="preserve">La saturación no es una fortaleza: una planta al 100 % con retrasos puntúa 0.</t>
  </si>
  <si>
    <t xml:space="preserve">I03</t>
  </si>
  <si>
    <t xml:space="preserve">Plantilla y cualificación</t>
  </si>
  <si>
    <t xml:space="preserve">Adecuación de la plantilla en número, cualificación, relevo y estabilidad.</t>
  </si>
  <si>
    <t xml:space="preserve">Evolución de plantilla, edad media, cobertura de perfiles críticos, rotación, conflictividad laboral.</t>
  </si>
  <si>
    <t xml:space="preserve">P06</t>
  </si>
  <si>
    <t xml:space="preserve">Pérdida neta de plantilla crítica o conflictividad que detiene la producción.</t>
  </si>
  <si>
    <t xml:space="preserve">Envejecimiento sin relevo o vacantes críticas sin cubrir.</t>
  </si>
  <si>
    <t xml:space="preserve">Plantilla estable con cualificación adecuada y dependencias puntuales.</t>
  </si>
  <si>
    <t xml:space="preserve">Crecimiento planificado y programas de formación o cantera acreditados.</t>
  </si>
  <si>
    <t xml:space="preserve">Plantilla creciente, relevo generacional demostrado y retención de perfiles críticos documentada.</t>
  </si>
  <si>
    <t xml:space="preserve">Usar FTE cuando esté publicado. Declarar si la cifra incluye subcontratación interna.</t>
  </si>
  <si>
    <t xml:space="preserve">I04</t>
  </si>
  <si>
    <t xml:space="preserve">Productividad y ejecución de programas</t>
  </si>
  <si>
    <t xml:space="preserve">Cumplimiento de plazos y costes y productividad relativa.</t>
  </si>
  <si>
    <t xml:space="preserve">Historial de plazos y costes en los programas principales (3–5 años) e ingresos por empleado frente a pares homogéneos.</t>
  </si>
  <si>
    <t xml:space="preserve">Tres a cinco ejercicios</t>
  </si>
  <si>
    <t xml:space="preserve">F10, P05</t>
  </si>
  <si>
    <t xml:space="preserve">Retrasos y sobrecostes sistemáticos en los programas principales.</t>
  </si>
  <si>
    <t xml:space="preserve">Retraso o sobrecoste relevante en el programa principal.</t>
  </si>
  <si>
    <t xml:space="preserve">Cumplimiento mayoritario con desviaciones documentadas.</t>
  </si>
  <si>
    <t xml:space="preserve">Cumplimiento en plazo y coste en los programas principales.</t>
  </si>
  <si>
    <t xml:space="preserve">Cumplimiento acreditado por el cliente y productividad superior a pares homogéneos.</t>
  </si>
  <si>
    <t xml:space="preserve">La evidencia de cumplimiento procede del cliente (N1: informes de auditoría pública, agencias de adquisición) antes que de la empresa.</t>
  </si>
  <si>
    <t xml:space="preserve">I05</t>
  </si>
  <si>
    <t xml:space="preserve">Cadena de suministro</t>
  </si>
  <si>
    <t xml:space="preserve">Robustez y control de la cadena de suministro.</t>
  </si>
  <si>
    <t xml:space="preserve">Dependencia de proveedores únicos, geografía de riesgo, componentes críticos, segundas fuentes, trazabilidad.</t>
  </si>
  <si>
    <t xml:space="preserve">Situación actual</t>
  </si>
  <si>
    <t xml:space="preserve">D10, I10</t>
  </si>
  <si>
    <t xml:space="preserve">Dependencia crítica de un proveedor único en jurisdicción de riesgo sin alternativa.</t>
  </si>
  <si>
    <t xml:space="preserve">Dependencias críticas identificadas sin mitigación.</t>
  </si>
  <si>
    <t xml:space="preserve">Dependencias críticas con mitigación parcial: existencias de seguridad o segundas fuentes en curso.</t>
  </si>
  <si>
    <t xml:space="preserve">Segundas fuentes para componentes críticos y trazabilidad acreditada.</t>
  </si>
  <si>
    <t xml:space="preserve">Cadena diversificada y auditada, con control propio o aliado sobre componentes críticos.</t>
  </si>
  <si>
    <t xml:space="preserve">D10 evalúa la dependencia regulatoria (licencias, ITAR); aquí la dependencia operativa y logística.</t>
  </si>
  <si>
    <t xml:space="preserve">I06</t>
  </si>
  <si>
    <t xml:space="preserve">Integración industrial</t>
  </si>
  <si>
    <t xml:space="preserve">Control de los procesos industriales clave en planta: diseño, fabricación, integración física y pruebas.</t>
  </si>
  <si>
    <t xml:space="preserve">Grado de integración vertical y procesos controlados internamente.</t>
  </si>
  <si>
    <t xml:space="preserve">D04</t>
  </si>
  <si>
    <t xml:space="preserve">Ensamblador bajo licencia sin control de procesos.</t>
  </si>
  <si>
    <t xml:space="preserve">Control de fabricación con diseño y pruebas externos.</t>
  </si>
  <si>
    <t xml:space="preserve">Control de fabricación e integración física en planta.</t>
  </si>
  <si>
    <t xml:space="preserve">Control de diseño, fabricación e integración.</t>
  </si>
  <si>
    <t xml:space="preserve">Control del ciclo industrial completo, incluidas pruebas y aceptación, en varias plantas coordinadas.</t>
  </si>
  <si>
    <t xml:space="preserve">D04 evalúa la integración de sistemas de misión (responsabilidad de arquitectura); I06 evalúa el control del proceso industrial.</t>
  </si>
  <si>
    <t xml:space="preserve">I07</t>
  </si>
  <si>
    <t xml:space="preserve">Digitalización industrial</t>
  </si>
  <si>
    <t xml:space="preserve">Madurez de los procesos digitales de diseño, fabricación y gestión.</t>
  </si>
  <si>
    <t xml:space="preserve">Ingeniería basada en modelos, gemelo digital, sistemas de ejecución de fabricación, resultados medidos.</t>
  </si>
  <si>
    <t xml:space="preserve">Sin evidencia.</t>
  </si>
  <si>
    <t xml:space="preserve">Iniciativas piloto.</t>
  </si>
  <si>
    <t xml:space="preserve">Sistemas de gestión y diseño digital implantados en la planta principal.</t>
  </si>
  <si>
    <t xml:space="preserve">Gemelo digital o ingeniería basada en modelos aplicados en programas en curso.</t>
  </si>
  <si>
    <t xml:space="preserve">Fabricación digital integrada en toda la red con resultados medidos y publicados.</t>
  </si>
  <si>
    <t xml:space="preserve">Inversión industrial</t>
  </si>
  <si>
    <t xml:space="preserve">Volumen y destino de la inversión en capacidad industrial.</t>
  </si>
  <si>
    <t xml:space="preserve">Capex industrial / cifra de negocio (media de tres ejercicios) comparado con la amortización, y destino de la inversión.</t>
  </si>
  <si>
    <t xml:space="preserve">Capex inferior a la amortización de forma sostenida (descapitalización).</t>
  </si>
  <si>
    <t xml:space="preserve">Capex similar a la amortización sin proyectos definidos.</t>
  </si>
  <si>
    <t xml:space="preserve">Capex superior a la amortización con proyectos definidos.</t>
  </si>
  <si>
    <t xml:space="preserve">Plan de inversión plurianual en ejecución ligado a contratos.</t>
  </si>
  <si>
    <t xml:space="preserve">Inversiones completadas y operativas que amplían la capacidad demostrada.</t>
  </si>
  <si>
    <t xml:space="preserve">I09</t>
  </si>
  <si>
    <t xml:space="preserve">Escalabilidad</t>
  </si>
  <si>
    <t xml:space="preserve">Capacidad de multiplicar la producción ante un aumento de demanda en 12–24 meses.</t>
  </si>
  <si>
    <t xml:space="preserve">Evidencia de aumento de cadencia, turnos, líneas o plantas; limitaciones de suelo, plantilla y proveedores.</t>
  </si>
  <si>
    <t xml:space="preserve">12–24 meses</t>
  </si>
  <si>
    <t xml:space="preserve">Imposible sin nueva planta.</t>
  </si>
  <si>
    <t xml:space="preserve">Escalado limitado por suelo, plantilla o proveedores sin plan.</t>
  </si>
  <si>
    <t xml:space="preserve">Escalado posible con inversión identificada.</t>
  </si>
  <si>
    <t xml:space="preserve">Escalado demostrado parcialmente (turnos, líneas adicionales).</t>
  </si>
  <si>
    <t xml:space="preserve">Aumento de cadencia demostrado recientemente o capacidad modular acreditada.</t>
  </si>
  <si>
    <t xml:space="preserve">I10</t>
  </si>
  <si>
    <t xml:space="preserve">Resiliencia industrial</t>
  </si>
  <si>
    <t xml:space="preserve">Capacidad de mantener la producción ante un choque: ciberataque, incendio, huelga, corte de suministro, ataque físico.</t>
  </si>
  <si>
    <t xml:space="preserve">Redundancia de plantas y procesos críticos, planes de continuidad probados, certificaciones de seguridad.</t>
  </si>
  <si>
    <t xml:space="preserve">I05, P09</t>
  </si>
  <si>
    <t xml:space="preserve">Planta única sin plan de continuidad.</t>
  </si>
  <si>
    <t xml:space="preserve">Planta única con plan de continuidad.</t>
  </si>
  <si>
    <t xml:space="preserve">Varias plantas con dependencias críticas únicas.</t>
  </si>
  <si>
    <t xml:space="preserve">Redundancia en procesos críticos y planes probados.</t>
  </si>
  <si>
    <t xml:space="preserve">Red redundante, certificaciones de seguridad y continuidad demostrada en un incidente real.</t>
  </si>
  <si>
    <t xml:space="preserve">D01</t>
  </si>
  <si>
    <t xml:space="preserve">DEF</t>
  </si>
  <si>
    <t xml:space="preserve">Programas estratégicos</t>
  </si>
  <si>
    <t xml:space="preserve">Participación en programas que el Estado cliente califica como estratégicos (soberanía, disuasión, política industrial).</t>
  </si>
  <si>
    <t xml:space="preserve">Número de programas estratégicos con contrato en vigor y papel desempeñado: contratista principal, socio o suministrador.</t>
  </si>
  <si>
    <t xml:space="preserve">Contratos en vigor</t>
  </si>
  <si>
    <t xml:space="preserve">D11, P04</t>
  </si>
  <si>
    <t xml:space="preserve">Ninguno.</t>
  </si>
  <si>
    <t xml:space="preserve">Suministrador de nivel 2 o 3 en uno.</t>
  </si>
  <si>
    <t xml:space="preserve">Socio o suministrador principal en uno.</t>
  </si>
  <si>
    <t xml:space="preserve">Contratista principal en uno, o socio en varios.</t>
  </si>
  <si>
    <t xml:space="preserve">Contratista principal en varios programas estratégicos nacionales o multinacionales con contrato en vigor.</t>
  </si>
  <si>
    <t xml:space="preserve">La calificación de estratégico procede de documentación oficial (ley de programación, presupuesto, PESCO, EDF, acuerdos G2G), no de la empresa.</t>
  </si>
  <si>
    <t xml:space="preserve">D02</t>
  </si>
  <si>
    <t xml:space="preserve">Backlog militar firme</t>
  </si>
  <si>
    <t xml:space="preserve">Composición y firmeza de la cartera de defensa. Vista contractual de la cartera.</t>
  </si>
  <si>
    <t xml:space="preserve">Porcentaje de la cartera de defensa que es firme contractual frente a opciones, MoU y pipeline; respaldo presupuestario.</t>
  </si>
  <si>
    <t xml:space="preserve">F08, P02</t>
  </si>
  <si>
    <t xml:space="preserve">Cartera no desglosada, o mayoritariamente MoU y expectativas.</t>
  </si>
  <si>
    <t xml:space="preserve">Cartera firme inferior al 50 %.</t>
  </si>
  <si>
    <t xml:space="preserve">Cartera firme entre el 50 % y el 75 %.</t>
  </si>
  <si>
    <t xml:space="preserve">Cartera firme superior al 75 % con opciones identificadas.</t>
  </si>
  <si>
    <t xml:space="preserve">Cartera firme superior al 85 % en contratos plurianuales con financiación presupuestaria aprobada.</t>
  </si>
  <si>
    <t xml:space="preserve">F08 mide años de cobertura y conversión; D02 mide firmeza y composición. El mismo importe de cartera no puede elevar ambos.</t>
  </si>
  <si>
    <t xml:space="preserve">D03</t>
  </si>
  <si>
    <t xml:space="preserve">Sostenimiento y ciclo de vida</t>
  </si>
  <si>
    <t xml:space="preserve">Peso de la actividad recurrente de sostenimiento, mantenimiento y modernización.</t>
  </si>
  <si>
    <t xml:space="preserve">Ingresos de sostenimiento / ingresos de defensa y contratos de apoyo al ciclo de vida en vigor.</t>
  </si>
  <si>
    <t xml:space="preserve">Último ejercicio y contratos en vigor</t>
  </si>
  <si>
    <t xml:space="preserve">P04</t>
  </si>
  <si>
    <t xml:space="preserve">Sin actividad de sostenimiento.</t>
  </si>
  <si>
    <t xml:space="preserve">Inferior al 10 % de los ingresos de defensa o esporádica.</t>
  </si>
  <si>
    <t xml:space="preserve">Entre el 10 % y el 25 % con contratos.</t>
  </si>
  <si>
    <t xml:space="preserve">Entre el 25 % y el 40 % con contratos plurianuales.</t>
  </si>
  <si>
    <t xml:space="preserve">Superior al 40 %, o autoridad de diseño con contratos de ciclo de vida a largo plazo.</t>
  </si>
  <si>
    <t xml:space="preserve">Integración de sistemas</t>
  </si>
  <si>
    <t xml:space="preserve">Responsabilidad demostrada de integración de plataforma y sistema de misión.</t>
  </si>
  <si>
    <t xml:space="preserve">Papel acreditado en programas entregados: componente, subsistema, integrador de subsistemas, integrador de plataforma, autoridad de diseño.</t>
  </si>
  <si>
    <t xml:space="preserve">Programas entregados</t>
  </si>
  <si>
    <t xml:space="preserve">I06, D09</t>
  </si>
  <si>
    <t xml:space="preserve">Suministrador de componentes.</t>
  </si>
  <si>
    <t xml:space="preserve">Responsable de un subsistema.</t>
  </si>
  <si>
    <t xml:space="preserve">Integrador de subsistemas en plataforma de tercero.</t>
  </si>
  <si>
    <t xml:space="preserve">Integrador de plataforma en un programa entregado.</t>
  </si>
  <si>
    <t xml:space="preserve">Integrador de plataforma y sistema de misión en varios programas, con autoridad de diseño.</t>
  </si>
  <si>
    <t xml:space="preserve">D05</t>
  </si>
  <si>
    <t xml:space="preserve">Tecnologías críticas</t>
  </si>
  <si>
    <t xml:space="preserve">Dominio de tecnologías calificadas como críticas por el cliente, la UE o la OTAN, con evidencia de producto en servicio.</t>
  </si>
  <si>
    <t xml:space="preserve">Número de tecnologías críticas industrializadas y posición relativa (sustituible o de referencia).</t>
  </si>
  <si>
    <t xml:space="preserve">Productos en servicio</t>
  </si>
  <si>
    <t xml:space="preserve">N3</t>
  </si>
  <si>
    <t xml:space="preserve">P08, D09</t>
  </si>
  <si>
    <t xml:space="preserve">Ninguna.</t>
  </si>
  <si>
    <t xml:space="preserve">Una, en fase de demostrador.</t>
  </si>
  <si>
    <t xml:space="preserve">Una o dos industrializadas.</t>
  </si>
  <si>
    <t xml:space="preserve">Varias industrializadas en productos en servicio.</t>
  </si>
  <si>
    <t xml:space="preserve">Posición de referencia en varias tecnologías críticas, difícilmente sustituible.</t>
  </si>
  <si>
    <t xml:space="preserve">P08 evalúa tecnologías en desarrollo; D05 solo las industrializadas. La lista de tecnologías críticas se toma de documentos oficiales (EDA, EDF, planes nacionales).</t>
  </si>
  <si>
    <t xml:space="preserve">D06</t>
  </si>
  <si>
    <t xml:space="preserve">Clientes gubernamentales</t>
  </si>
  <si>
    <t xml:space="preserve">Amplitud y solidez de la relación con clientes estatales.</t>
  </si>
  <si>
    <t xml:space="preserve">Número de gobiernos cliente con contratos en vigor, antigüedad de la relación, acuerdos G2G.</t>
  </si>
  <si>
    <t xml:space="preserve">D07, D12</t>
  </si>
  <si>
    <t xml:space="preserve">Sin cliente gubernamental directo.</t>
  </si>
  <si>
    <t xml:space="preserve">Un cliente con relación reciente.</t>
  </si>
  <si>
    <t xml:space="preserve">Cliente doméstico consolidado.</t>
  </si>
  <si>
    <t xml:space="preserve">Cliente doméstico y de dos a cuatro gobiernos aliados.</t>
  </si>
  <si>
    <t xml:space="preserve">Cartera amplia de gobiernos con contratos recurrentes y acuerdos G2G.</t>
  </si>
  <si>
    <t xml:space="preserve">D07</t>
  </si>
  <si>
    <t xml:space="preserve">Exportación de defensa</t>
  </si>
  <si>
    <t xml:space="preserve">Actividad internacional de defensa sustentada en contratos y licencias verificables.</t>
  </si>
  <si>
    <t xml:space="preserve">Ingresos de defensa de exportación / ingresos de defensa, número de mercados.</t>
  </si>
  <si>
    <t xml:space="preserve">Último ejercicio</t>
  </si>
  <si>
    <t xml:space="preserve">Sin exportación.</t>
  </si>
  <si>
    <t xml:space="preserve">Inferior al 10 % y esporádica.</t>
  </si>
  <si>
    <t xml:space="preserve">Entre el 10 % y el 25 %.</t>
  </si>
  <si>
    <t xml:space="preserve">Entre el 25 % y el 50 % en varios mercados.</t>
  </si>
  <si>
    <t xml:space="preserve">Superior al 50 % diversificada, o exportación en programas de referencia.</t>
  </si>
  <si>
    <t xml:space="preserve">En mercados domésticos muy grandes (Estados Unidos, China) una baja exportación no indica debilidad: puntuar frente a pares del mismo país y declararlo como ajuste de benchmark.</t>
  </si>
  <si>
    <t xml:space="preserve">D08</t>
  </si>
  <si>
    <t xml:space="preserve">Interoperabilidad y estándares</t>
  </si>
  <si>
    <t xml:space="preserve">Cumplimiento de estándares y participación en programas multinacionales.</t>
  </si>
  <si>
    <t xml:space="preserve">Certificaciones STANAG u otras, participación en programas multinacionales con interoperabilidad demostrada.</t>
  </si>
  <si>
    <t xml:space="preserve">Cumplimiento parcial.</t>
  </si>
  <si>
    <t xml:space="preserve">Productos certificados en estándares relevantes.</t>
  </si>
  <si>
    <t xml:space="preserve">Participación en programas multinacionales con interoperabilidad demostrada.</t>
  </si>
  <si>
    <t xml:space="preserve">Referencia en estándares y en integración multinacional.</t>
  </si>
  <si>
    <t xml:space="preserve">Para empresas fuera de la OTAN, usar los estándares del bloque de referencia del cliente y declararlo.</t>
  </si>
  <si>
    <t xml:space="preserve">D09</t>
  </si>
  <si>
    <t xml:space="preserve">Propiedad intelectual y know-how</t>
  </si>
  <si>
    <t xml:space="preserve">Titularidad del diseño y del conocimiento que sustentan los productos.</t>
  </si>
  <si>
    <t xml:space="preserve">Autoridad de diseño, cartera de patentes, dependencia de licencias de terceros.</t>
  </si>
  <si>
    <t xml:space="preserve">D04, D05</t>
  </si>
  <si>
    <t xml:space="preserve">Todo bajo licencia de terceros.</t>
  </si>
  <si>
    <t xml:space="preserve">IP propia marginal.</t>
  </si>
  <si>
    <t xml:space="preserve">IP propia en subsistemas.</t>
  </si>
  <si>
    <t xml:space="preserve">Autoridad de diseño en los productos principales.</t>
  </si>
  <si>
    <t xml:space="preserve">IP propia en plataforma completa, cartera de patentes y know-how protegido.</t>
  </si>
  <si>
    <t xml:space="preserve">D10</t>
  </si>
  <si>
    <t xml:space="preserve">Autonomía, soberanía y control de exportaciones</t>
  </si>
  <si>
    <t xml:space="preserve">Dependencia regulatoria de terceros (licencias, ITAR, EAR), exposición a sanciones y encaje en políticas de soberanía.</t>
  </si>
  <si>
    <t xml:space="preserve">Componentes y tecnologías sujetos a control de terceros, exportaciones bloqueadas, sanciones vigentes, participación en programas de soberanía.</t>
  </si>
  <si>
    <t xml:space="preserve">I05, F10</t>
  </si>
  <si>
    <t xml:space="preserve">Empresa sancionada, o producto principal inviable sin licencia de un tercero que la deniega.</t>
  </si>
  <si>
    <t xml:space="preserve">Dependencias de licencia que bloquean exportaciones relevantes.</t>
  </si>
  <si>
    <t xml:space="preserve">Dependencias conocidas con alternativas en desarrollo.</t>
  </si>
  <si>
    <t xml:space="preserve">Dependencia limitada; productos libres de control de terceros en líneas principales.</t>
  </si>
  <si>
    <t xml:space="preserve">Autonomía en tecnologías clave y encaje demostrado en programas de soberanía.</t>
  </si>
  <si>
    <t xml:space="preserve">Nuevo alcance en 2.3: incorpora control de exportaciones y sanciones, que no tenían indicador. Las sanciones se acreditan con listas oficiales (UE, OFAC, ONU, Reino Unido).</t>
  </si>
  <si>
    <t xml:space="preserve">D11</t>
  </si>
  <si>
    <t xml:space="preserve">Pipeline estratégico</t>
  </si>
  <si>
    <t xml:space="preserve">Programas y competiciones públicos y nombrados en los que la empresa está posicionada. No son previsiones.</t>
  </si>
  <si>
    <t xml:space="preserve">Número de competiciones con oferta presentada, preselección o acuerdo industrial, y calendario oficial.</t>
  </si>
  <si>
    <t xml:space="preserve">Competiciones abiertas</t>
  </si>
  <si>
    <t xml:space="preserve">D01, P03</t>
  </si>
  <si>
    <t xml:space="preserve">Una sin preselección.</t>
  </si>
  <si>
    <t xml:space="preserve">Varias con oferta presentada.</t>
  </si>
  <si>
    <t xml:space="preserve">Preselección en programas relevantes.</t>
  </si>
  <si>
    <t xml:space="preserve">Posición de favorito acreditada en varios programas con calendario oficial.</t>
  </si>
  <si>
    <t xml:space="preserve">P03 mide la cobertura de ingresos a 3–5 años; D11 solo programas identificados públicamente. El tipo de evidencia es EXPECTATIVA salvo preselección documentada.</t>
  </si>
  <si>
    <t xml:space="preserve">D12</t>
  </si>
  <si>
    <t xml:space="preserve">Concentración de programas y clientes</t>
  </si>
  <si>
    <t xml:space="preserve">Dependencia de un programa o de un cliente.</t>
  </si>
  <si>
    <t xml:space="preserve">Peso del mayor programa y del mayor cliente en los ingresos de defensa.</t>
  </si>
  <si>
    <t xml:space="preserve">D06, F10, P09</t>
  </si>
  <si>
    <t xml:space="preserve">Un programa superior al 60 %, o un cliente superior al 80 % sin sustitución prevista.</t>
  </si>
  <si>
    <t xml:space="preserve">Mayor programa entre el 40 % y el 60 %.</t>
  </si>
  <si>
    <t xml:space="preserve">Mayor programa entre el 25 % y el 40 %.</t>
  </si>
  <si>
    <t xml:space="preserve">Mayor programa inferior al 25 % y mayor cliente inferior al 60 %.</t>
  </si>
  <si>
    <t xml:space="preserve">Cartera diversificada sin ningún programa superior al 15 %.</t>
  </si>
  <si>
    <t xml:space="preserve">Un cliente doméstico dominante es normal en defensa; pondera más la concentración por programa que por cliente.</t>
  </si>
  <si>
    <t xml:space="preserve">P01</t>
  </si>
  <si>
    <t xml:space="preserve">PRO</t>
  </si>
  <si>
    <t xml:space="preserve">Crecimiento esperado de ingresos</t>
  </si>
  <si>
    <t xml:space="preserve">Crecimiento previsto a 12–24 meses, contrastado con cartera, presupuestos de defensa y consenso.</t>
  </si>
  <si>
    <t xml:space="preserve">Crecimiento anual previsto de la cifra de negocio, según guía corporativa contrastada.</t>
  </si>
  <si>
    <t xml:space="preserve">P02</t>
  </si>
  <si>
    <t xml:space="preserve">Decrecimiento previsto o guía retirada.</t>
  </si>
  <si>
    <t xml:space="preserve">Crecimiento 0–2 %.</t>
  </si>
  <si>
    <t xml:space="preserve">Crecimiento 2–6 %.</t>
  </si>
  <si>
    <t xml:space="preserve">Crecimiento 6–12 % respaldado por cartera.</t>
  </si>
  <si>
    <t xml:space="preserve">Crecimiento superior al 12 % respaldado por cartera firme y presupuestos aprobados.</t>
  </si>
  <si>
    <t xml:space="preserve">Tipo de evidencia: EXPECTATIVA. Identificar siempre quién formula la previsión.</t>
  </si>
  <si>
    <t xml:space="preserve">Visibilidad 12–24 meses</t>
  </si>
  <si>
    <t xml:space="preserve">Parte de los ingresos previstos del periodo cubierta por cartera firme.</t>
  </si>
  <si>
    <t xml:space="preserve">Cartera firme ejecutable en el periodo / ingresos previstos en el periodo.</t>
  </si>
  <si>
    <t xml:space="preserve">F08, D02, P01</t>
  </si>
  <si>
    <t xml:space="preserve">Inferior al 50 %.</t>
  </si>
  <si>
    <t xml:space="preserve">Entre el 50 % y el 70 %.</t>
  </si>
  <si>
    <t xml:space="preserve">Entre el 70 % y el 85 %.</t>
  </si>
  <si>
    <t xml:space="preserve">Entre el 85 % y el 100 %.</t>
  </si>
  <si>
    <t xml:space="preserve">Superior al 100 %.</t>
  </si>
  <si>
    <t xml:space="preserve">P03</t>
  </si>
  <si>
    <t xml:space="preserve">Visibilidad 3–5 años</t>
  </si>
  <si>
    <t xml:space="preserve">Parte de los ingresos previstos a 3–5 años cubierta por cartera firme y opciones contractuales.</t>
  </si>
  <si>
    <t xml:space="preserve">(Cartera firme + opciones) ejecutables en el horizonte / ingresos previstos en el horizonte.</t>
  </si>
  <si>
    <t xml:space="preserve">3–5 años</t>
  </si>
  <si>
    <t xml:space="preserve">Inferior al 25 %.</t>
  </si>
  <si>
    <t xml:space="preserve">Entre el 25 % y el 40 %.</t>
  </si>
  <si>
    <t xml:space="preserve">Entre el 40 % y el 60 %.</t>
  </si>
  <si>
    <t xml:space="preserve">Entre el 60 % y el 80 %.</t>
  </si>
  <si>
    <t xml:space="preserve">Superior al 80 %.</t>
  </si>
  <si>
    <t xml:space="preserve">Visibilidad 5–10 años</t>
  </si>
  <si>
    <t xml:space="preserve">Existencia de programas de ciclo largo que proyecten actividad a 5–10 años.</t>
  </si>
  <si>
    <t xml:space="preserve">Programas de sostenimiento, acuerdos marco y programas multinacionales en desarrollo con calendario a largo plazo.</t>
  </si>
  <si>
    <t xml:space="preserve">5–10 años</t>
  </si>
  <si>
    <t xml:space="preserve">D01, D03</t>
  </si>
  <si>
    <t xml:space="preserve">Expectativas sin acuerdos.</t>
  </si>
  <si>
    <t xml:space="preserve">Un programa de ciclo largo con contrato.</t>
  </si>
  <si>
    <t xml:space="preserve">Varios programas de ciclo largo con contrato.</t>
  </si>
  <si>
    <t xml:space="preserve">Varios programas con financiación plurianual aprobada y sostenimiento asociado.</t>
  </si>
  <si>
    <t xml:space="preserve">P05</t>
  </si>
  <si>
    <t xml:space="preserve">Conversión a rentabilidad</t>
  </si>
  <si>
    <t xml:space="preserve">Capacidad esperada de traducir el crecimiento en margen.</t>
  </si>
  <si>
    <t xml:space="preserve">Mezcla de contratos (precio fijo frente a coste), fase de los programas (desarrollo frente a serie y sostenimiento), historial de márgenes por fase.</t>
  </si>
  <si>
    <t xml:space="preserve">F01, I04</t>
  </si>
  <si>
    <t xml:space="preserve">Crecimiento concentrado en desarrollo a precio fijo con historial de sobrecostes.</t>
  </si>
  <si>
    <t xml:space="preserve">Mezcla desfavorable.</t>
  </si>
  <si>
    <t xml:space="preserve">Mezcla equilibrada.</t>
  </si>
  <si>
    <t xml:space="preserve">Paso a fase de serie o sostenimiento con márgenes acreditados.</t>
  </si>
  <si>
    <t xml:space="preserve">Mezcla favorable con márgenes crecientes previstos y respaldo contractual.</t>
  </si>
  <si>
    <t xml:space="preserve">Capacidad de ejecución futura</t>
  </si>
  <si>
    <t xml:space="preserve">Adecuación de capacidad, plantilla, proveedores y financiación al crecimiento previsto.</t>
  </si>
  <si>
    <t xml:space="preserve">Brechas identificadas entre el volumen previsto y los recursos disponibles o planificados.</t>
  </si>
  <si>
    <t xml:space="preserve">I02, I03</t>
  </si>
  <si>
    <t xml:space="preserve">Crecimiento previsto incompatible con la capacidad.</t>
  </si>
  <si>
    <t xml:space="preserve">Brechas críticas sin plan.</t>
  </si>
  <si>
    <t xml:space="preserve">Brechas con plan financiado parcialmente.</t>
  </si>
  <si>
    <t xml:space="preserve">Plan de capacidad financiado y en ejecución.</t>
  </si>
  <si>
    <t xml:space="preserve">Capacidad ya disponible o demostrada para el volumen previsto.</t>
  </si>
  <si>
    <t xml:space="preserve">P07</t>
  </si>
  <si>
    <t xml:space="preserve">Balance de catalizadores y riesgos</t>
  </si>
  <si>
    <t xml:space="preserve">Síntesis de las hojas de riesgos y oportunidades por probabilidad e impacto.</t>
  </si>
  <si>
    <t xml:space="preserve">Número, probabilidad e impacto de catalizadores frente a riesgos en el horizonte 12–36 meses.</t>
  </si>
  <si>
    <t xml:space="preserve">Riesgos de alto impacto y alta probabilidad dominan, sin catalizadores.</t>
  </si>
  <si>
    <t xml:space="preserve">Predominan los riesgos.</t>
  </si>
  <si>
    <t xml:space="preserve">Equilibrio.</t>
  </si>
  <si>
    <t xml:space="preserve">Predominan catalizadores con riesgos mitigables.</t>
  </si>
  <si>
    <t xml:space="preserve">Catalizadores concretos y datados con riesgos de bajo impacto.</t>
  </si>
  <si>
    <t xml:space="preserve">Sustituye a los antiguos indicadores separados de catalizadores, riesgos prospectivos y señales tempranas. Las señales pasan a la hoja de alerta temprana.</t>
  </si>
  <si>
    <t xml:space="preserve">P08</t>
  </si>
  <si>
    <t xml:space="preserve">Opcionalidad tecnológica</t>
  </si>
  <si>
    <t xml:space="preserve">Tecnologías en desarrollo con potencial de generar nuevos programas.</t>
  </si>
  <si>
    <t xml:space="preserve">Demostradores, I+D financiada, patentes recientes, compromisos de cliente sobre tecnologías aún no industrializadas.</t>
  </si>
  <si>
    <t xml:space="preserve">3–10 años</t>
  </si>
  <si>
    <t xml:space="preserve">Sin I+D relevante.</t>
  </si>
  <si>
    <t xml:space="preserve">I+D sin demostradores.</t>
  </si>
  <si>
    <t xml:space="preserve">Demostradores en curso.</t>
  </si>
  <si>
    <t xml:space="preserve">Demostradores validados con cliente.</t>
  </si>
  <si>
    <t xml:space="preserve">Tecnologías en transición a programa con compromiso de cliente.</t>
  </si>
  <si>
    <t xml:space="preserve">P09</t>
  </si>
  <si>
    <t xml:space="preserve">Resiliencia estratégica</t>
  </si>
  <si>
    <t xml:space="preserve">Capacidad de absorber el escenario bajista: cancelación del programa principal, recorte presupuestario o pérdida del mercado de exportación.</t>
  </si>
  <si>
    <t xml:space="preserve">Impacto estimado del escenario bajista sobre ingresos, margen y continuidad, y mitigaciones existentes.</t>
  </si>
  <si>
    <t xml:space="preserve">D12, I10</t>
  </si>
  <si>
    <t xml:space="preserve">El escenario bajista compromete la continuidad.</t>
  </si>
  <si>
    <t xml:space="preserve">Impacto severo sin mitigación.</t>
  </si>
  <si>
    <t xml:space="preserve">Impacto relevante con mitigación parcial.</t>
  </si>
  <si>
    <t xml:space="preserve">Impacto absorbible por diversificación.</t>
  </si>
  <si>
    <t xml:space="preserve">Escenario bajista absorbible sin cambio de categoría DCIP.</t>
  </si>
  <si>
    <t xml:space="preserve">PUNTUACION</t>
  </si>
  <si>
    <t xml:space="preserve">RANGO_MIN</t>
  </si>
  <si>
    <t xml:space="preserve">RANGO_MAX</t>
  </si>
  <si>
    <t xml:space="preserve">DISPONIBLE</t>
  </si>
  <si>
    <t xml:space="preserve">PESO_DISP</t>
  </si>
  <si>
    <t xml:space="preserve">PONDERADA</t>
  </si>
  <si>
    <t xml:space="preserve">NIVEL_RUBRICA</t>
  </si>
  <si>
    <t xml:space="preserve">TIPO</t>
  </si>
  <si>
    <t xml:space="preserve">NIVEL_FUENTE</t>
  </si>
  <si>
    <t xml:space="preserve">ANTIG_MESES</t>
  </si>
  <si>
    <t xml:space="preserve">ES_CUENTAS</t>
  </si>
  <si>
    <t xml:space="preserve">CONF_MAX</t>
  </si>
  <si>
    <t xml:space="preserve">CONFIANZA</t>
  </si>
  <si>
    <t xml:space="preserve">CONTROL</t>
  </si>
  <si>
    <t xml:space="preserve">JUSTIFICACION</t>
  </si>
  <si>
    <t xml:space="preserve">EVIDENCIA_IDS</t>
  </si>
  <si>
    <t xml:space="preserve">CONTRADICCION</t>
  </si>
  <si>
    <t xml:space="preserve">OBSERVACIONES</t>
  </si>
  <si>
    <t xml:space="preserve">CONF_NUM</t>
  </si>
  <si>
    <t xml:space="preserve">04_RESULTADO — Agregación por dimensión y DCIP global</t>
  </si>
  <si>
    <t xml:space="preserve">Todo son fórmulas. La nota se publica como rango prudente–normalizado cuando hay indicadores sin evidencia.</t>
  </si>
  <si>
    <t xml:space="preserve">DIMENSION</t>
  </si>
  <si>
    <t xml:space="preserve">PESO_TOTAL</t>
  </si>
  <si>
    <t xml:space="preserve">PESO_DISPONIBLE</t>
  </si>
  <si>
    <t xml:space="preserve">COBERTURA</t>
  </si>
  <si>
    <t xml:space="preserve">ESTADO_COBERTURA</t>
  </si>
  <si>
    <t xml:space="preserve">NORMALIZADA</t>
  </si>
  <si>
    <t xml:space="preserve">PRUDENTE</t>
  </si>
  <si>
    <t xml:space="preserve">NOTA_DIMENSION</t>
  </si>
  <si>
    <t xml:space="preserve">NOTA_MIN</t>
  </si>
  <si>
    <t xml:space="preserve">CONF_MAX_COB</t>
  </si>
  <si>
    <t xml:space="preserve">CONF_INDICADORES</t>
  </si>
  <si>
    <t xml:space="preserve">CONFIANZA_DIM</t>
  </si>
  <si>
    <t xml:space="preserve">CATEGORIA</t>
  </si>
  <si>
    <t xml:space="preserve">DCIP GLOBAL</t>
  </si>
  <si>
    <t xml:space="preserve">CONCEPTO</t>
  </si>
  <si>
    <t xml:space="preserve">DCIP_NORMALIZADO</t>
  </si>
  <si>
    <t xml:space="preserve">Media ponderada de las notas normalizadas, redondeada al entero.</t>
  </si>
  <si>
    <t xml:space="preserve">DCIP_PRUDENTE</t>
  </si>
  <si>
    <t xml:space="preserve">Límite inferior del rango: indicadores sin evidencia a 25.</t>
  </si>
  <si>
    <t xml:space="preserve">CATEGORIA_DCIP</t>
  </si>
  <si>
    <t xml:space="preserve">Si el rango cruza una banda, se publica el rango.</t>
  </si>
  <si>
    <t xml:space="preserve">CONFIANZA_GLOBAL</t>
  </si>
  <si>
    <t xml:space="preserve">La menor de las cuatro dimensiones.</t>
  </si>
  <si>
    <t xml:space="preserve">COBERTURA_GLOBAL</t>
  </si>
  <si>
    <t xml:space="preserve">Media simple de coberturas.</t>
  </si>
  <si>
    <t xml:space="preserve">CONTROLES_SCORING</t>
  </si>
  <si>
    <t xml:space="preserve">Ver columna CONTROL de 03_SCORING.</t>
  </si>
  <si>
    <t xml:space="preserve">ESTADO_EMPRESARIAL</t>
  </si>
  <si>
    <t xml:space="preserve">Juicio del analista, escala de 16_LISTAS. Informado por FIN e IND; no se calcula.</t>
  </si>
  <si>
    <t xml:space="preserve">ATRACTIVIDAD_ESTRATEGICA</t>
  </si>
  <si>
    <t xml:space="preserve">Juicio del analista, escala de 16_LISTAS. Informado por DEF y PRO; no se calcula.</t>
  </si>
  <si>
    <t xml:space="preserve">VALIDEZ_AUDITORIA</t>
  </si>
  <si>
    <t xml:space="preserve">Si es NO VÁLIDA, el expediente no se publica.</t>
  </si>
  <si>
    <t xml:space="preserve">BANDAS DCIP</t>
  </si>
  <si>
    <t xml:space="preserve">BANDA</t>
  </si>
  <si>
    <t xml:space="preserve">MIN</t>
  </si>
  <si>
    <t xml:space="preserve">MAX</t>
  </si>
  <si>
    <t xml:space="preserve">Crítica</t>
  </si>
  <si>
    <t xml:space="preserve">Débil</t>
  </si>
  <si>
    <t xml:space="preserve">Estable</t>
  </si>
  <si>
    <t xml:space="preserve">Favorable</t>
  </si>
  <si>
    <t xml:space="preserve">Muy favorable</t>
  </si>
  <si>
    <t xml:space="preserve">ESCALAS DE JUICIO</t>
  </si>
  <si>
    <t xml:space="preserve">ESTADO EMPRESARIAL</t>
  </si>
  <si>
    <t xml:space="preserve">DESCRIPCION</t>
  </si>
  <si>
    <t xml:space="preserve">CRÍTICO</t>
  </si>
  <si>
    <t xml:space="preserve">Continuidad comprometida: patrimonio, liquidez o capacidad industrial en situación de riesgo inmediato.</t>
  </si>
  <si>
    <t xml:space="preserve">FRÁGIL</t>
  </si>
  <si>
    <t xml:space="preserve">Opera con dependencias relevantes (apoyo público, un programa, un cliente) y márgenes de maniobra reducidos.</t>
  </si>
  <si>
    <t xml:space="preserve">ESTABLE</t>
  </si>
  <si>
    <t xml:space="preserve">Situación económica e industrial sostenible sin tensiones materiales, con debilidades identificadas.</t>
  </si>
  <si>
    <t xml:space="preserve">SÓLIDO</t>
  </si>
  <si>
    <t xml:space="preserve">Finanzas saneadas y capacidad industrial demostrada, con ejecución acreditada.</t>
  </si>
  <si>
    <t xml:space="preserve">MUY SÓLIDO</t>
  </si>
  <si>
    <t xml:space="preserve">Posición financiera e industrial de referencia, con resiliencia demostrada ante escenarios adversos.</t>
  </si>
  <si>
    <t xml:space="preserve">ATRACTIVIDAD ESTRATEGICA</t>
  </si>
  <si>
    <t xml:space="preserve">BAJA</t>
  </si>
  <si>
    <t xml:space="preserve">Sin papel relevante en capacidades, programas o tecnologías de defensa.</t>
  </si>
  <si>
    <t xml:space="preserve">MODERADA</t>
  </si>
  <si>
    <t xml:space="preserve">Suministrador sustituible en programas de interés limitado.</t>
  </si>
  <si>
    <t xml:space="preserve">RELEVANTE</t>
  </si>
  <si>
    <t xml:space="preserve">Participación en programas o tecnologías de interés para la soberanía o la política industrial.</t>
  </si>
  <si>
    <t xml:space="preserve">ALTA</t>
  </si>
  <si>
    <t xml:space="preserve">Integrador o tecnólogo de referencia en programas estratégicos con cartera firme.</t>
  </si>
  <si>
    <t xml:space="preserve">MUY ALTA</t>
  </si>
  <si>
    <t xml:space="preserve">Actor difícilmente sustituible en capacidades críticas, con proyección a largo plazo.</t>
  </si>
  <si>
    <t xml:space="preserve">EVIDENCIA_ID</t>
  </si>
  <si>
    <t xml:space="preserve">ID_INDICADOR</t>
  </si>
  <si>
    <t xml:space="preserve">FECHA_EVIDENCIA</t>
  </si>
  <si>
    <t xml:space="preserve">POSTERIOR_CORTE</t>
  </si>
  <si>
    <t xml:space="preserve">FUENTE_ID</t>
  </si>
  <si>
    <t xml:space="preserve">CITA_EXTRACTO</t>
  </si>
  <si>
    <t xml:space="preserve">REFERENCIA (página / URL)</t>
  </si>
  <si>
    <t xml:space="preserve">PERIMETRO</t>
  </si>
  <si>
    <t xml:space="preserve">MONEDA</t>
  </si>
  <si>
    <t xml:space="preserve">IDIOMA</t>
  </si>
  <si>
    <t xml:space="preserve">TRADUCCION</t>
  </si>
  <si>
    <t xml:space="preserve">RESOLUCION</t>
  </si>
  <si>
    <t xml:space="preserve">06_AUDITORIA — Controles de calidad del expediente</t>
  </si>
  <si>
    <t xml:space="preserve">Si un control CRÍTICO está en NO CUMPLE, el expediente es NO VÁLIDO y no se publica.</t>
  </si>
  <si>
    <t xml:space="preserve">CRÍTICOS NO CUMPLE</t>
  </si>
  <si>
    <t xml:space="preserve">VALIDEZ</t>
  </si>
  <si>
    <t xml:space="preserve">PENDIENTES</t>
  </si>
  <si>
    <t xml:space="preserve">CONTROL_ID</t>
  </si>
  <si>
    <t xml:space="preserve">CRITICO</t>
  </si>
  <si>
    <t xml:space="preserve">METODO_COMPROBACION</t>
  </si>
  <si>
    <t xml:space="preserve">ESTADO</t>
  </si>
  <si>
    <t xml:space="preserve">EVIDENCIA</t>
  </si>
  <si>
    <t xml:space="preserve">Perímetro homogéneo en todas las cifras</t>
  </si>
  <si>
    <t xml:space="preserve">S</t>
  </si>
  <si>
    <t xml:space="preserve">Comprobar que 01_CONFIG y 04_EVIDENCIA usan el mismo perímetro en cada cifra financiera.</t>
  </si>
  <si>
    <t xml:space="preserve">PENDIENTE</t>
  </si>
  <si>
    <t xml:space="preserve">Fecha de corte respetada</t>
  </si>
  <si>
    <t xml:space="preserve">Ninguna evidencia con FECHA_EVIDENCIA posterior a FECHA_CORTE.</t>
  </si>
  <si>
    <t xml:space="preserve">Grupo e individual separados</t>
  </si>
  <si>
    <t xml:space="preserve">Las cifras de sociedad individual están etiquetadas y no se mezclan con consolidadas.</t>
  </si>
  <si>
    <t xml:space="preserve">Contratación distinta de ingresos</t>
  </si>
  <si>
    <t xml:space="preserve">Revisar F08, D02, P01 y el snapshot.</t>
  </si>
  <si>
    <t xml:space="preserve">Cartera distinta de ingresos futuros garantizados</t>
  </si>
  <si>
    <t xml:space="preserve">Revisar F08, D02, P02, P03.</t>
  </si>
  <si>
    <t xml:space="preserve">Cartera firme separada de opciones, MoU y pipeline</t>
  </si>
  <si>
    <t xml:space="preserve">Revisar D02 y las citas de cartera en 04_EVIDENCIA.</t>
  </si>
  <si>
    <t xml:space="preserve">Deuda ordinaria separada de instrumentos híbridos</t>
  </si>
  <si>
    <t xml:space="preserve">N</t>
  </si>
  <si>
    <t xml:space="preserve">Revisar F05 y la nota de deuda en las cuentas.</t>
  </si>
  <si>
    <t xml:space="preserve">Hechos separados de inferencias y expectativas</t>
  </si>
  <si>
    <t xml:space="preserve">Toda fila de 04_EVIDENCIA tiene TIPO; ningún HECHO sin fuente N1–N3.</t>
  </si>
  <si>
    <t xml:space="preserve">Capacidad potencial no puntuada como demostrada</t>
  </si>
  <si>
    <t xml:space="preserve">Revisar I01 y I09.</t>
  </si>
  <si>
    <t xml:space="preserve">Programas contratados separados de potenciales</t>
  </si>
  <si>
    <t xml:space="preserve">Revisar D01 y D11.</t>
  </si>
  <si>
    <t xml:space="preserve">Fuentes primarias priorizadas</t>
  </si>
  <si>
    <t xml:space="preserve">Las cifras financieras del snapshot proceden de N1.</t>
  </si>
  <si>
    <t xml:space="preserve">Cifras verificadas en fuente</t>
  </si>
  <si>
    <t xml:space="preserve">Cada cifra del snapshot tiene EVIDENCIA_ID.</t>
  </si>
  <si>
    <t xml:space="preserve">Cálculos propios identificados</t>
  </si>
  <si>
    <t xml:space="preserve">Ratios y EBITDA calculados están etiquetados ESTIMACIÓN.</t>
  </si>
  <si>
    <t xml:space="preserve">Contradicciones buscadas y resueltas</t>
  </si>
  <si>
    <t xml:space="preserve">Columna CONTRADICCION revisada; resoluciones documentadas.</t>
  </si>
  <si>
    <t xml:space="preserve">Scoring reproducible</t>
  </si>
  <si>
    <t xml:space="preserve">Cada puntuación cita el nivel de la rúbrica y la evidencia.</t>
  </si>
  <si>
    <t xml:space="preserve">Confianza derivada de la evidencia</t>
  </si>
  <si>
    <t xml:space="preserve">CONFIANZA de cada indicador no supera la que permite el nivel de fuente y la antigüedad.</t>
  </si>
  <si>
    <t xml:space="preserve">Información posterior a la fecha de corte excluida</t>
  </si>
  <si>
    <t xml:space="preserve">Igual que control 2, aplicado al texto de la ficha.</t>
  </si>
  <si>
    <t xml:space="preserve">Doble conteo controlado</t>
  </si>
  <si>
    <t xml:space="preserve">Ningún EVIDENCIA_ID sustenta dos indicadores listados como excluyentes en 02_INDICADORES.</t>
  </si>
  <si>
    <t xml:space="preserve">Cobertura declarada por dimensión</t>
  </si>
  <si>
    <t xml:space="preserve">03_RESULTADO muestra cobertura y estado de cada dimensión.</t>
  </si>
  <si>
    <t xml:space="preserve">Moneda, norma contable y ejercicio fiscal declarados</t>
  </si>
  <si>
    <t xml:space="preserve">01_CONFIG completo; conversión a euros documentada.</t>
  </si>
  <si>
    <t xml:space="preserve">Sanciones y control de exportaciones verificados</t>
  </si>
  <si>
    <t xml:space="preserve">D10 cita listas oficiales consultadas y fecha.</t>
  </si>
  <si>
    <t xml:space="preserve">Peso de defensa en ingresos declarado y etiquetado</t>
  </si>
  <si>
    <t xml:space="preserve">01_CONFIG indica el porcentaje y si es HECHO o ESTIMACIÓN.</t>
  </si>
  <si>
    <t xml:space="preserve">07_FICHA — Snapshot, ratios y ficha empresarial</t>
  </si>
  <si>
    <t xml:space="preserve">Importes en moneda original; conversión a M€ automática con TIPO_CAMBIO_EUR de 01_CONFIG. Los ratios alimentan las rúbricas FIN.</t>
  </si>
  <si>
    <t xml:space="preserve">MAGNITUD</t>
  </si>
  <si>
    <t xml:space="preserve">VALOR (moneda original, M)</t>
  </si>
  <si>
    <t xml:space="preserve">VALOR (M€)</t>
  </si>
  <si>
    <t xml:space="preserve">Cifra de negocio</t>
  </si>
  <si>
    <t xml:space="preserve">Ingresos reconocidos del PERIODO_FINANCIERO.</t>
  </si>
  <si>
    <t xml:space="preserve">Ingresos de defensa</t>
  </si>
  <si>
    <t xml:space="preserve">Segmento publicado o estimación; etiquetar.</t>
  </si>
  <si>
    <t xml:space="preserve">Contratación (order intake)</t>
  </si>
  <si>
    <t xml:space="preserve">No equivale a ingresos.</t>
  </si>
  <si>
    <t xml:space="preserve">Cartera total (backlog)</t>
  </si>
  <si>
    <t xml:space="preserve">Según definición de la fuente.</t>
  </si>
  <si>
    <t xml:space="preserve">Cartera firme</t>
  </si>
  <si>
    <t xml:space="preserve">Solo compromisos contractuales firmes.</t>
  </si>
  <si>
    <t xml:space="preserve">Resultado de explotación (EBIT)</t>
  </si>
  <si>
    <t xml:space="preserve">Reportado, no ajustado.</t>
  </si>
  <si>
    <t xml:space="preserve">EBITDA</t>
  </si>
  <si>
    <t xml:space="preserve">Solo publicado o cálculo propio declarado.</t>
  </si>
  <si>
    <t xml:space="preserve">Resultado neto</t>
  </si>
  <si>
    <t xml:space="preserve">Flujo de caja operativo</t>
  </si>
  <si>
    <t xml:space="preserve">Caja y equivalentes</t>
  </si>
  <si>
    <t xml:space="preserve">Deuda financiera bruta</t>
  </si>
  <si>
    <t xml:space="preserve">Préstamos + bonos + arrendamientos.</t>
  </si>
  <si>
    <t xml:space="preserve">Instrumentos híbridos / participativos</t>
  </si>
  <si>
    <t xml:space="preserve">Separados de la deuda ordinaria.</t>
  </si>
  <si>
    <t xml:space="preserve">Patrimonio neto</t>
  </si>
  <si>
    <t xml:space="preserve">Activo total</t>
  </si>
  <si>
    <t xml:space="preserve">Activo corriente</t>
  </si>
  <si>
    <t xml:space="preserve">Pasivo corriente</t>
  </si>
  <si>
    <t xml:space="preserve">Capex</t>
  </si>
  <si>
    <t xml:space="preserve">Inversión en inmovilizado material e intangible.</t>
  </si>
  <si>
    <t xml:space="preserve">Amortización</t>
  </si>
  <si>
    <t xml:space="preserve">Apoyo público del ejercicio</t>
  </si>
  <si>
    <t xml:space="preserve">Según definición de F07.</t>
  </si>
  <si>
    <t xml:space="preserve">Provisiones y contingencias extraordinarias</t>
  </si>
  <si>
    <t xml:space="preserve">Según definición de F10.</t>
  </si>
  <si>
    <t xml:space="preserve">Plantilla (FTE)</t>
  </si>
  <si>
    <t xml:space="preserve">Número, no importe.</t>
  </si>
  <si>
    <t xml:space="preserve">Ingresos de exportación de defensa</t>
  </si>
  <si>
    <t xml:space="preserve">RATIOS CALCULADOS (moneda original; alimentan las rúbricas FIN)</t>
  </si>
  <si>
    <t xml:space="preserve">RATIO</t>
  </si>
  <si>
    <t xml:space="preserve">Margen EBIT</t>
  </si>
  <si>
    <t xml:space="preserve">EBIT / cifra de negocio.</t>
  </si>
  <si>
    <t xml:space="preserve">FCO / EBITDA</t>
  </si>
  <si>
    <t xml:space="preserve">Un solo ejercicio; la rúbrica usa la media de dos.</t>
  </si>
  <si>
    <t xml:space="preserve">Ratio corriente</t>
  </si>
  <si>
    <t xml:space="preserve">Activo corriente / pasivo corriente.</t>
  </si>
  <si>
    <t xml:space="preserve">Deuda financiera neta</t>
  </si>
  <si>
    <t xml:space="preserve">Deuda bruta − caja. Híbridos excluidos.</t>
  </si>
  <si>
    <t xml:space="preserve">Deuda neta / EBITDA</t>
  </si>
  <si>
    <t xml:space="preserve">Si EBITDA ≤ 0 con deuda, puntuar 0 en F05.</t>
  </si>
  <si>
    <t xml:space="preserve">Patrimonio / activo</t>
  </si>
  <si>
    <t xml:space="preserve">Apoyo público / ingresos</t>
  </si>
  <si>
    <t xml:space="preserve">Un ejercicio; la rúbrica usa la media de tres.</t>
  </si>
  <si>
    <t xml:space="preserve">Cartera firme / ingresos (años)</t>
  </si>
  <si>
    <t xml:space="preserve">Book-to-bill</t>
  </si>
  <si>
    <t xml:space="preserve">Contratación / ingresos.</t>
  </si>
  <si>
    <t xml:space="preserve">Capex / amortización</t>
  </si>
  <si>
    <t xml:space="preserve">Contingencias / ingresos</t>
  </si>
  <si>
    <t xml:space="preserve">Peso de defensa en ingresos</t>
  </si>
  <si>
    <t xml:space="preserve">CONFIG</t>
  </si>
  <si>
    <t xml:space="preserve">Debe coincidir con PESO_DEFENSA_INGRESOS de 01_CONFIG.</t>
  </si>
  <si>
    <t xml:space="preserve">Exportación / ingresos de defensa</t>
  </si>
  <si>
    <t xml:space="preserve">Ingresos por empleado (miles, moneda original)</t>
  </si>
  <si>
    <t xml:space="preserve">Comparar con pares homogéneos.</t>
  </si>
  <si>
    <t xml:space="preserve">FICHA EMPRESARIAL (texto)</t>
  </si>
  <si>
    <t xml:space="preserve">CONTENIDO</t>
  </si>
  <si>
    <t xml:space="preserve">TIPO_EVIDENCIA_DOMINANTE</t>
  </si>
  <si>
    <t xml:space="preserve">IDENTIFICACION</t>
  </si>
  <si>
    <t xml:space="preserve">SITUACION</t>
  </si>
  <si>
    <t xml:space="preserve">PROPIEDAD_CONTROL</t>
  </si>
  <si>
    <t xml:space="preserve">FINANZAS</t>
  </si>
  <si>
    <t xml:space="preserve">DEFENSA_PROGRAMAS</t>
  </si>
  <si>
    <t xml:space="preserve">INDUSTRIA_TECNOLOGIA</t>
  </si>
  <si>
    <t xml:space="preserve">MERCADO_INTERNACIONALIZACION</t>
  </si>
  <si>
    <t xml:space="preserve">COMPETENCIA</t>
  </si>
  <si>
    <t xml:space="preserve">RIESGOS</t>
  </si>
  <si>
    <t xml:space="preserve">OPORTUNIDADES</t>
  </si>
  <si>
    <t xml:space="preserve">PROSPECTIVA</t>
  </si>
  <si>
    <t xml:space="preserve">ALERTA_TEMPRANA</t>
  </si>
  <si>
    <t xml:space="preserve">DIAGNOSTICO_FIN</t>
  </si>
  <si>
    <t xml:space="preserve">DIAGNOSTICO_IND</t>
  </si>
  <si>
    <t xml:space="preserve">DIAGNOSTICO_DEF</t>
  </si>
  <si>
    <t xml:space="preserve">DIAGNOSTICO_PRO</t>
  </si>
  <si>
    <t xml:space="preserve">FORTALEZAS (3–5)</t>
  </si>
  <si>
    <t xml:space="preserve">VULNERABILIDADES (3–5)</t>
  </si>
  <si>
    <t xml:space="preserve">JUICIO_FINAL</t>
  </si>
  <si>
    <t xml:space="preserve">RIESGO</t>
  </si>
  <si>
    <t xml:space="preserve">PROBABILIDAD</t>
  </si>
  <si>
    <t xml:space="preserve">IMPACTO</t>
  </si>
  <si>
    <t xml:space="preserve">SEVERIDAD</t>
  </si>
  <si>
    <t xml:space="preserve">INDICADOR_ADELANTADO</t>
  </si>
  <si>
    <t xml:space="preserve">MITIGACION / CONDICION</t>
  </si>
  <si>
    <t xml:space="preserve">OPORTUNIDAD</t>
  </si>
  <si>
    <t xml:space="preserve">CONDICION_HABILITANTE</t>
  </si>
  <si>
    <t xml:space="preserve">ESCENARIO</t>
  </si>
  <si>
    <t xml:space="preserve">IMPULSORES</t>
  </si>
  <si>
    <t xml:space="preserve">SEÑALES_TEMPRANAS</t>
  </si>
  <si>
    <t xml:space="preserve">FACTORES_INVALIDACION</t>
  </si>
  <si>
    <t xml:space="preserve">BASE</t>
  </si>
  <si>
    <t xml:space="preserve">ALCISTA</t>
  </si>
  <si>
    <t xml:space="preserve">BAJISTA</t>
  </si>
  <si>
    <t xml:space="preserve">PRIORIDAD</t>
  </si>
  <si>
    <t xml:space="preserve">AMBITO</t>
  </si>
  <si>
    <t xml:space="preserve">INDICADOR / SEÑAL</t>
  </si>
  <si>
    <t xml:space="preserve">TRIGGER (umbral que dispara la alerta)</t>
  </si>
  <si>
    <t xml:space="preserve">FUENTE DE SEGUIMIENTO</t>
  </si>
  <si>
    <t xml:space="preserve">FRECUENCIA</t>
  </si>
  <si>
    <t xml:space="preserve">ACCION</t>
  </si>
  <si>
    <t xml:space="preserve">NIVEL</t>
  </si>
  <si>
    <t xml:space="preserve">ORGANISMO / EMPRESA</t>
  </si>
  <si>
    <t xml:space="preserve">TITULO</t>
  </si>
  <si>
    <t xml:space="preserve">FECHA</t>
  </si>
  <si>
    <t xml:space="preserve">REFERENCIA (URL / registro)</t>
  </si>
  <si>
    <t xml:space="preserve">AFIRMACIONES_SUSTENTADAS</t>
  </si>
  <si>
    <t xml:space="preserve">FECHA_CORTE_NUEVA</t>
  </si>
  <si>
    <t xml:space="preserve">ELEMENTO (ID / DIM / DCIP)</t>
  </si>
  <si>
    <t xml:space="preserve">VALOR_ANTERIOR</t>
  </si>
  <si>
    <t xml:space="preserve">VALOR_NUEVO</t>
  </si>
  <si>
    <t xml:space="preserve">DELTA</t>
  </si>
  <si>
    <t xml:space="preserve">TIPO_CAMBIO</t>
  </si>
  <si>
    <t xml:space="preserve">CALIFICACION</t>
  </si>
  <si>
    <t xml:space="preserve">EXPLICACION</t>
  </si>
  <si>
    <t xml:space="preserve">VERSION</t>
  </si>
  <si>
    <t xml:space="preserve">15_RANKING — Comparación multiempresa a partir de 14_HISTORICO</t>
  </si>
  <si>
    <t xml:space="preserve">Escribir EMPRESA y FECHA_CORTE (mismas que en 14_HISTORICO). El resto son fórmulas. Comparar solo con la misma fecha de corte y metodología.</t>
  </si>
  <si>
    <t xml:space="preserve">COB_FIN</t>
  </si>
  <si>
    <t xml:space="preserve">COB_IND</t>
  </si>
  <si>
    <t xml:space="preserve">COB_DEF</t>
  </si>
  <si>
    <t xml:space="preserve">COB_PRO</t>
  </si>
  <si>
    <t xml:space="preserve">DCIP</t>
  </si>
  <si>
    <t xml:space="preserve">RANK</t>
  </si>
  <si>
    <t xml:space="preserve">Nota: cada empresa de esta hoja debe tener sus puntuaciones por indicador en 14_HISTORICO con la misma EMPRESA y FECHA_CORTE.</t>
  </si>
  <si>
    <t xml:space="preserve">16_LISTAS — Listas de validación y tablas de consulta</t>
  </si>
  <si>
    <t xml:space="preserve">No modificar sin actualizar la metodología. Las fórmulas de otras hojas dependen de estas posiciones.</t>
  </si>
  <si>
    <t xml:space="preserve">CONF_MAX_NUM</t>
  </si>
  <si>
    <t xml:space="preserve">BANDA_MIN</t>
  </si>
  <si>
    <t xml:space="preserve">BANDA_MAX</t>
  </si>
  <si>
    <t xml:space="preserve">TIPO_EVIDENCIA</t>
  </si>
  <si>
    <t xml:space="preserve">PROB_IMPACTO</t>
  </si>
  <si>
    <t xml:space="preserve">ESTADO_CONTROL</t>
  </si>
  <si>
    <t xml:space="preserve">CALIFICACION_CAMBIO</t>
  </si>
  <si>
    <t xml:space="preserve">ESCENARIO / HORIZONTE</t>
  </si>
  <si>
    <t xml:space="preserve">S_N</t>
  </si>
  <si>
    <t xml:space="preserve">MUY BAJA</t>
  </si>
  <si>
    <t xml:space="preserve">HECHO</t>
  </si>
  <si>
    <t xml:space="preserve">MEJORA</t>
  </si>
  <si>
    <t xml:space="preserve">ESTIMACIÓN</t>
  </si>
  <si>
    <t xml:space="preserve">MEDIA</t>
  </si>
  <si>
    <t xml:space="preserve">CUMPLE</t>
  </si>
  <si>
    <t xml:space="preserve">INFERENCIA</t>
  </si>
  <si>
    <t xml:space="preserve">NO CUMPLE</t>
  </si>
  <si>
    <t xml:space="preserve">DETERIORO</t>
  </si>
  <si>
    <t xml:space="preserve">N4</t>
  </si>
  <si>
    <t xml:space="preserve">EXPECTATIVA</t>
  </si>
  <si>
    <t xml:space="preserve">NO APLICA</t>
  </si>
  <si>
    <t xml:space="preserve">DETERIORO CRÍTICO</t>
  </si>
  <si>
    <t xml:space="preserve">N5</t>
  </si>
  <si>
    <t xml:space="preserve">HIPÓTESIS</t>
  </si>
  <si>
    <t xml:space="preserve">NUEVA INFORMACIÓN</t>
  </si>
  <si>
    <t xml:space="preserve">N6</t>
  </si>
  <si>
    <t xml:space="preserve">ATRACTIVIDAD</t>
  </si>
  <si>
    <t xml:space="preserve">AMBITO_ALERTA</t>
  </si>
  <si>
    <t xml:space="preserve">REAL</t>
  </si>
  <si>
    <t xml:space="preserve">Contratos</t>
  </si>
  <si>
    <t xml:space="preserve">METODOLÓGICO</t>
  </si>
  <si>
    <t xml:space="preserve">Cancelaciones</t>
  </si>
  <si>
    <t xml:space="preserve">Retrasos</t>
  </si>
  <si>
    <t xml:space="preserve">Sobrecostes</t>
  </si>
  <si>
    <t xml:space="preserve">Cartera</t>
  </si>
  <si>
    <t xml:space="preserve">Márgenes</t>
  </si>
  <si>
    <t xml:space="preserve">Caja</t>
  </si>
  <si>
    <t xml:space="preserve">Deuda</t>
  </si>
  <si>
    <t xml:space="preserve">Plantilla</t>
  </si>
  <si>
    <t xml:space="preserve">Inversiones</t>
  </si>
  <si>
    <t xml:space="preserve">Capacidad</t>
  </si>
  <si>
    <t xml:space="preserve">Exportaciones</t>
  </si>
  <si>
    <t xml:space="preserve">Programas</t>
  </si>
  <si>
    <t xml:space="preserve">Regulación y sanciones</t>
  </si>
  <si>
    <t xml:space="preserve">Presupuestos</t>
  </si>
  <si>
    <t xml:space="preserve">17_JURISDICCIONES — Equivalencia de fuentes N1 y N3 por país</t>
  </si>
  <si>
    <t xml:space="preserve">Si un país no figura, aplicar la regla general del documento 04 y añadir la fila. El tope de confianza FIN se aplica salvo cuentas auditadas verificadas.</t>
  </si>
  <si>
    <t xml:space="preserve">NORMA_CONTABLE_HABITUAL</t>
  </si>
  <si>
    <t xml:space="preserve">REGISTRO MERCANTIL / CUENTAS (N1)</t>
  </si>
  <si>
    <t xml:space="preserve">REGULADOR DE MERCADOS (N1)</t>
  </si>
  <si>
    <t xml:space="preserve">CONTRATACION PUBLICA Y DEFENSA (N1)</t>
  </si>
  <si>
    <t xml:space="preserve">INSTITUCIONAL (N3) Y SECTORIAL (N4)</t>
  </si>
  <si>
    <t xml:space="preserve">TOPE_CONF_FIN</t>
  </si>
  <si>
    <t xml:space="preserve">España</t>
  </si>
  <si>
    <t xml:space="preserve">IFRS (cotizadas) / PGC</t>
  </si>
  <si>
    <t xml:space="preserve">Registro Mercantil; BORME</t>
  </si>
  <si>
    <t xml:space="preserve">CNMV</t>
  </si>
  <si>
    <t xml:space="preserve">Plataforma de Contratación del Sector Público; BOE; memorias anuales de contratación del Ministerio de Defensa; DGAM</t>
  </si>
  <si>
    <t xml:space="preserve">SEPI; Tribunal de Cuentas; IGAE; TEDAE (N4)</t>
  </si>
  <si>
    <t xml:space="preserve">Francia</t>
  </si>
  <si>
    <t xml:space="preserve">IFRS / PCG</t>
  </si>
  <si>
    <t xml:space="preserve">Infogreffe (RCS); BODACC</t>
  </si>
  <si>
    <t xml:space="preserve">AMF</t>
  </si>
  <si>
    <t xml:space="preserve">BOAMP; PLACE; DGA</t>
  </si>
  <si>
    <t xml:space="preserve">Cour des comptes; APE; GIFAS y GICAT (N4)</t>
  </si>
  <si>
    <t xml:space="preserve">Alemania</t>
  </si>
  <si>
    <t xml:space="preserve">IFRS / HGB</t>
  </si>
  <si>
    <t xml:space="preserve">Handelsregister; Bundesanzeiger (Unternehmensregister)</t>
  </si>
  <si>
    <t xml:space="preserve">BaFin</t>
  </si>
  <si>
    <t xml:space="preserve">bund.de; Vergabeplattform; BAAINBw</t>
  </si>
  <si>
    <t xml:space="preserve">Bundesrechnungshof; BDSV (N4)</t>
  </si>
  <si>
    <t xml:space="preserve">Italia</t>
  </si>
  <si>
    <t xml:space="preserve">IFRS / OIC</t>
  </si>
  <si>
    <t xml:space="preserve">Registro delle Imprese</t>
  </si>
  <si>
    <t xml:space="preserve">CONSOB</t>
  </si>
  <si>
    <t xml:space="preserve">ANAC; Segretariato Generale della Difesa (SGD/DNA)</t>
  </si>
  <si>
    <t xml:space="preserve">Corte dei conti; AIAD (N4)</t>
  </si>
  <si>
    <t xml:space="preserve">Reino Unido</t>
  </si>
  <si>
    <t xml:space="preserve">IFRS / UK GAAP</t>
  </si>
  <si>
    <t xml:space="preserve">Companies House</t>
  </si>
  <si>
    <t xml:space="preserve">FCA</t>
  </si>
  <si>
    <t xml:space="preserve">Find a Tender; Contracts Finder; MOD DE&amp;S</t>
  </si>
  <si>
    <t xml:space="preserve">National Audit Office; ADS Group (N4)</t>
  </si>
  <si>
    <t xml:space="preserve">Suecia</t>
  </si>
  <si>
    <t xml:space="preserve">IFRS / K3</t>
  </si>
  <si>
    <t xml:space="preserve">Bolagsverket</t>
  </si>
  <si>
    <t xml:space="preserve">Finansinspektionen</t>
  </si>
  <si>
    <t xml:space="preserve">FMV; Upphandlingsmyndigheten</t>
  </si>
  <si>
    <t xml:space="preserve">Riksrevisionen; SOFF (N4)</t>
  </si>
  <si>
    <t xml:space="preserve">Países Bajos</t>
  </si>
  <si>
    <t xml:space="preserve">IFRS / Dutch GAAP</t>
  </si>
  <si>
    <t xml:space="preserve">KVK Handelsregister</t>
  </si>
  <si>
    <t xml:space="preserve">AFM</t>
  </si>
  <si>
    <t xml:space="preserve">TenderNed; Defensie Materieel Organisatie (DMO)</t>
  </si>
  <si>
    <t xml:space="preserve">Algemene Rekenkamer; NIDV (N4)</t>
  </si>
  <si>
    <t xml:space="preserve">Noruega</t>
  </si>
  <si>
    <t xml:space="preserve">IFRS / NGAAP</t>
  </si>
  <si>
    <t xml:space="preserve">Brønnøysundregistrene</t>
  </si>
  <si>
    <t xml:space="preserve">Finanstilsynet</t>
  </si>
  <si>
    <t xml:space="preserve">Doffin; Forsvarsmateriell</t>
  </si>
  <si>
    <t xml:space="preserve">Riksrevisjonen; FSi (N4)</t>
  </si>
  <si>
    <t xml:space="preserve">Polonia</t>
  </si>
  <si>
    <t xml:space="preserve">IFRS / PL GAAP</t>
  </si>
  <si>
    <t xml:space="preserve">KRS</t>
  </si>
  <si>
    <t xml:space="preserve">KNF</t>
  </si>
  <si>
    <t xml:space="preserve">Agencja Uzbrojenia; Platforma Zakupowa</t>
  </si>
  <si>
    <t xml:space="preserve">NIK; PGZ (empresa estatal)</t>
  </si>
  <si>
    <t xml:space="preserve">Grupo PGZ: cuentas consolidadas con desglose limitado por filial.</t>
  </si>
  <si>
    <t xml:space="preserve">Suiza</t>
  </si>
  <si>
    <t xml:space="preserve">IFRS / Swiss GAAP FER</t>
  </si>
  <si>
    <t xml:space="preserve">Zefix; registros cantonales</t>
  </si>
  <si>
    <t xml:space="preserve">FINMA; SIX Exchange Regulation</t>
  </si>
  <si>
    <t xml:space="preserve">simap.ch; armasuisse</t>
  </si>
  <si>
    <t xml:space="preserve">Eidgenössische Finanzkontrolle; Swissmem (N4)</t>
  </si>
  <si>
    <t xml:space="preserve">Estados Unidos</t>
  </si>
  <si>
    <t xml:space="preserve">US GAAP</t>
  </si>
  <si>
    <t xml:space="preserve">SEC EDGAR (10-K, 10-Q, 8-K); registros estatales</t>
  </si>
  <si>
    <t xml:space="preserve">SEC</t>
  </si>
  <si>
    <t xml:space="preserve">SAM.gov; USAspending.gov; anuncios diarios de contratos del DoD</t>
  </si>
  <si>
    <t xml:space="preserve">GAO; DoD IG; CBO; NDIA y AIA (N4)</t>
  </si>
  <si>
    <t xml:space="preserve">Empresas no cotizadas: sin cuentas públicas, tope de confianza FIN MEDIA salvo informes de auditoría pública.</t>
  </si>
  <si>
    <t xml:space="preserve">Canadá</t>
  </si>
  <si>
    <t xml:space="preserve">IFRS / ASPE</t>
  </si>
  <si>
    <t xml:space="preserve">Corporations Canada; registros provinciales</t>
  </si>
  <si>
    <t xml:space="preserve">SEDAR+ (CSA)</t>
  </si>
  <si>
    <t xml:space="preserve">CanadaBuys; PSPC; DND</t>
  </si>
  <si>
    <t xml:space="preserve">Office of the Auditor General; CADSI (N4)</t>
  </si>
  <si>
    <t xml:space="preserve">Israel</t>
  </si>
  <si>
    <t xml:space="preserve">IFRS</t>
  </si>
  <si>
    <t xml:space="preserve">Registrar of Companies</t>
  </si>
  <si>
    <t xml:space="preserve">ISA (MAGNA)</t>
  </si>
  <si>
    <t xml:space="preserve">IMOD; SIBAT (exportación)</t>
  </si>
  <si>
    <t xml:space="preserve">State Comptroller</t>
  </si>
  <si>
    <t xml:space="preserve">Las empresas estatales (IAI, Rafael) publican informes con desglose limitado; los contratos de defensa rara vez se publican con importe.</t>
  </si>
  <si>
    <t xml:space="preserve">Turquía</t>
  </si>
  <si>
    <t xml:space="preserve">TFRS (IFRS)</t>
  </si>
  <si>
    <t xml:space="preserve">Ticaret Sicili</t>
  </si>
  <si>
    <t xml:space="preserve">SPK; KAP (Plataforma de Divulgación Pública)</t>
  </si>
  <si>
    <t xml:space="preserve">SSB (Presidencia de Industrias de Defensa); EKAP</t>
  </si>
  <si>
    <t xml:space="preserve">Sayıştay; SASAD (N4)</t>
  </si>
  <si>
    <t xml:space="preserve">Alta intervención estatal; cifras de exportación publicadas por SSB y SASAD, contrastar.</t>
  </si>
  <si>
    <t xml:space="preserve">Corea del Sur</t>
  </si>
  <si>
    <t xml:space="preserve">K-IFRS</t>
  </si>
  <si>
    <t xml:space="preserve">Registro mercantil (Supreme Court); DART</t>
  </si>
  <si>
    <t xml:space="preserve">FSS (DART)</t>
  </si>
  <si>
    <t xml:space="preserve">DAPA; KONEPS</t>
  </si>
  <si>
    <t xml:space="preserve">Board of Audit and Inspection; KDIA (N4)</t>
  </si>
  <si>
    <t xml:space="preserve">Japón</t>
  </si>
  <si>
    <t xml:space="preserve">J-GAAP / IFRS</t>
  </si>
  <si>
    <t xml:space="preserve">Registro mercantil; EDINET</t>
  </si>
  <si>
    <t xml:space="preserve">FSA (EDINET)</t>
  </si>
  <si>
    <t xml:space="preserve">ATLA; portal de contratación del Ministerio de Defensa</t>
  </si>
  <si>
    <t xml:space="preserve">Board of Audit; SJAC (N4)</t>
  </si>
  <si>
    <t xml:space="preserve">El segmento de defensa suele estar diluido en conglomerados; estimar el peso de defensa y etiquetarlo.</t>
  </si>
  <si>
    <t xml:space="preserve">India</t>
  </si>
  <si>
    <t xml:space="preserve">Ind AS</t>
  </si>
  <si>
    <t xml:space="preserve">MCA21 (Ministry of Corporate Affairs)</t>
  </si>
  <si>
    <t xml:space="preserve">SEBI; BSE y NSE</t>
  </si>
  <si>
    <t xml:space="preserve">Ministry of Defence (DAP); GeM; CPPP</t>
  </si>
  <si>
    <t xml:space="preserve">CAG; DPSU y OFB (empresas estatales)</t>
  </si>
  <si>
    <t xml:space="preserve">Empresas públicas con información presupuestaria en el Parlamento; privadas con desglose limitado.</t>
  </si>
  <si>
    <t xml:space="preserve">Australia</t>
  </si>
  <si>
    <t xml:space="preserve">AASB (IFRS)</t>
  </si>
  <si>
    <t xml:space="preserve">ASIC</t>
  </si>
  <si>
    <t xml:space="preserve">ASX; ASIC</t>
  </si>
  <si>
    <t xml:space="preserve">AusTender; CASG</t>
  </si>
  <si>
    <t xml:space="preserve">ANAO; AIDN (N4)</t>
  </si>
  <si>
    <t xml:space="preserve">Brasil</t>
  </si>
  <si>
    <t xml:space="preserve">BR GAAP (IFRS)</t>
  </si>
  <si>
    <t xml:space="preserve">Juntas Comerciais</t>
  </si>
  <si>
    <t xml:space="preserve">CVM; B3</t>
  </si>
  <si>
    <t xml:space="preserve">Compras.gov.br; Portal da Transparência; Ministério da Defesa</t>
  </si>
  <si>
    <t xml:space="preserve">TCU; ABIMDE (N4)</t>
  </si>
  <si>
    <t xml:space="preserve">Emiratos Árabes Unidos</t>
  </si>
  <si>
    <t xml:space="preserve">Registros de ADGM/DIFC y emiratos</t>
  </si>
  <si>
    <t xml:space="preserve">SCA; ADX y DFM</t>
  </si>
  <si>
    <t xml:space="preserve">Tawazun Council; Ministerio de Defensa</t>
  </si>
  <si>
    <t xml:space="preserve">EDGE Group (estatal)</t>
  </si>
  <si>
    <t xml:space="preserve">Grupos estatales con información financiera parcial; contratos rara vez publicados.</t>
  </si>
  <si>
    <t xml:space="preserve">Singapur</t>
  </si>
  <si>
    <t xml:space="preserve">SFRS (IFRS)</t>
  </si>
  <si>
    <t xml:space="preserve">ACRA</t>
  </si>
  <si>
    <t xml:space="preserve">MAS; SGX</t>
  </si>
  <si>
    <t xml:space="preserve">GeBIZ; DSTA</t>
  </si>
  <si>
    <t xml:space="preserve">Auditor-General</t>
  </si>
  <si>
    <t xml:space="preserve">China</t>
  </si>
  <si>
    <t xml:space="preserve">CAS (próximo a IFRS)</t>
  </si>
  <si>
    <t xml:space="preserve">SAMR (registro nacional); bolsas de Shanghái y Shenzhen</t>
  </si>
  <si>
    <t xml:space="preserve">CSRC</t>
  </si>
  <si>
    <t xml:space="preserve">No existe publicación sistemática de contratos de defensa</t>
  </si>
  <si>
    <t xml:space="preserve">SASAC (grupos estatales); MIIT</t>
  </si>
  <si>
    <t xml:space="preserve">Cuentas de cotizadas auditadas localmente; perímetro de defensa opaco. Confianza máxima MEDIA en FIN y BAJA en DEF salvo evidencia N3 occidental.</t>
  </si>
  <si>
    <t xml:space="preserve">Rusia</t>
  </si>
  <si>
    <t xml:space="preserve">RAS / IFRS (suspendido en parte)</t>
  </si>
  <si>
    <t xml:space="preserve">EGRUL; divulgación suspendida desde 2022 para muchas empresas</t>
  </si>
  <si>
    <t xml:space="preserve">Banco de Rusia; MOEX</t>
  </si>
  <si>
    <t xml:space="preserve">Sin publicación de contratos de defensa</t>
  </si>
  <si>
    <t xml:space="preserve">Rostec (estatal); sanciones UE, OFAC y Reino Unido</t>
  </si>
  <si>
    <t xml:space="preserve">Divulgación financiera suspendida o parcial; sanciones vigentes. Confianza máxima BAJA en todas las dimensiones.</t>
  </si>
  <si>
    <t xml:space="preserve">Ucrania</t>
  </si>
  <si>
    <t xml:space="preserve">IFRS / UAS</t>
  </si>
  <si>
    <t xml:space="preserve">Registro estatal (Opendatabot)</t>
  </si>
  <si>
    <t xml:space="preserve">NSSMC</t>
  </si>
  <si>
    <t xml:space="preserve">Prozorro (parcialmente restringido en defensa)</t>
  </si>
  <si>
    <t xml:space="preserve">Ukroboronprom / Defence Industry of Ukraine</t>
  </si>
  <si>
    <t xml:space="preserve">Información de defensa restringida por el estado de guerra.</t>
  </si>
  <si>
    <t xml:space="preserve">DCIP 2.3 — ESTÁNDAR VISUAL v3.0 · LEER PRIMERO</t>
  </si>
  <si>
    <t xml:space="preserve">La arquitectura gráfica es cerrada y no depende del volumen de contenido.</t>
  </si>
  <si>
    <t xml:space="preserve">REGLA CENTRAL</t>
  </si>
  <si>
    <t xml:space="preserve">CONTENIDO VARIABLE / ARQUITECTURA INVARIABLE.</t>
  </si>
  <si>
    <t xml:space="preserve">FUENTE DE VERDAD DEL CONTENIDO</t>
  </si>
  <si>
    <t xml:space="preserve">04_RESULTADO, 07_FICHA, 08–11 y 12_FUENTES de este archivo, con 06_AUDITORIA en VÁLIDA.</t>
  </si>
  <si>
    <t xml:space="preserve">FUENTE DE VERDAD DE LA FORMA</t>
  </si>
  <si>
    <t xml:space="preserve">21_PLANTILLA_VISUAL + 22_REGLAS_LEGIBILIDAD + 24_MAPA_M18.</t>
  </si>
  <si>
    <t xml:space="preserve">SI NO CABE EL TEXTO</t>
  </si>
  <si>
    <t xml:space="preserve">Condensar y sintetizar dentro de la caja. Nunca cambiar 16:9, retícula, módulos o posiciones.</t>
  </si>
  <si>
    <t xml:space="preserve">SI FALTA UN DATO</t>
  </si>
  <si>
    <t xml:space="preserve">Mantener el módulo y usar N/D, NO DISPONIBLE o EVIDENCIA INSUFICIENTE.</t>
  </si>
  <si>
    <t xml:space="preserve">SI UNA DIMENSION ES NO CONCLUYENTE</t>
  </si>
  <si>
    <t xml:space="preserve">M14 muestra 'NC' en esa dimensión y 'NO CONCLUYENTE' en el DCIP global. No se rellena con estimaciones.</t>
  </si>
  <si>
    <t xml:space="preserve">SI HAY RANGO</t>
  </si>
  <si>
    <t xml:space="preserve">M14 muestra 'nota (mín–máx)' y la categoría como rango, tal como salen de 04_RESULTADO.</t>
  </si>
  <si>
    <t xml:space="preserve">SI FALLA UN CONTROL CRÍTICO</t>
  </si>
  <si>
    <t xml:space="preserve">La infografía es NO VÁLIDA y debe regenerarse tras corregir el expediente.</t>
  </si>
  <si>
    <t xml:space="preserve">COLOR</t>
  </si>
  <si>
    <t xml:space="preserve">Dimensiones: FIN verde, IND azul, DEF naranja, PRO morado, solo para identificar módulos. Bandas DCIP: escala neutra de grises y navy; nunca los colores de dimensión.</t>
  </si>
  <si>
    <t xml:space="preserve">1) expediente validado → 2) plantilla → 3) maquetación → 4) control final → 5) versión final.</t>
  </si>
  <si>
    <t xml:space="preserve">DCIP 2.3  |  PLANTILLA VISUAL MAESTRA v3.0  (16:9, 12 columnas, M01–M18)</t>
  </si>
  <si>
    <t xml:space="preserve">EMPRESA [NOMBRE]  ·  PAÍS  ·  FECHA DE CORTE [DD/MM/AAAA]  ·  PERÍODO  ·  MONEDA / NORMA CONTABLE  ·  PERÍMETRO PRINCIPAL  ·  PERÍMETRO SECUNDARIO [SI PROCEDE]</t>
  </si>
  <si>
    <t xml:space="preserve">M01  |  PERÍMETRO Y DATOS CLAVE</t>
  </si>
  <si>
    <t xml:space="preserve">M02  |  RESUMEN EJECUTIVO</t>
  </si>
  <si>
    <t xml:space="preserve">M03  |  SITUACIÓN EMPRESARIAL</t>
  </si>
  <si>
    <t xml:space="preserve">Empresa · país · jurisdicción · fecha de corte · período · moneda y norma contable · perímetros · peso de defensa (HECHO/ESTIMACIÓN).</t>
  </si>
  <si>
    <t xml:space="preserve">Síntesis ejecutiva: situación, fortalezas, vulnerabilidades y conclusión DCIP.</t>
  </si>
  <si>
    <t xml:space="preserve">Modelo de negocio · escala · presencia · plantilla · posición corporativa.</t>
  </si>
  <si>
    <t xml:space="preserve">M04  |  PROPIEDAD Y CONTROL</t>
  </si>
  <si>
    <t xml:space="preserve">M05  |  FINANZAS</t>
  </si>
  <si>
    <t xml:space="preserve">M06  |  DEFENSA Y PROGRAMAS</t>
  </si>
  <si>
    <t xml:space="preserve">M07  |  INDUSTRIA Y TECNOLOGÍA</t>
  </si>
  <si>
    <t xml:space="preserve">Propiedad · accionistas · control efectivo · gobierno corporativo.</t>
  </si>
  <si>
    <t xml:space="preserve">Ventas · EBIT · caja · deuda neta · liquidez · patrimonio · contratación y cartera firme. Importes en M€ con moneda original entre paréntesis.</t>
  </si>
  <si>
    <t xml:space="preserve">Programas · contratos · clientes gubernamentales · sostenimiento · tecnologías críticas · control de exportaciones.</t>
  </si>
  <si>
    <t xml:space="preserve">Instalaciones · plantilla · tecnología · I+D+i · integración.</t>
  </si>
  <si>
    <t xml:space="preserve">M08  |  CAPACIDAD INDUSTRIAL</t>
  </si>
  <si>
    <t xml:space="preserve">M09  |  MERCADO E INTERNACIONALIZACIÓN</t>
  </si>
  <si>
    <t xml:space="preserve">M10  |  RIESGOS</t>
  </si>
  <si>
    <t xml:space="preserve">M11  |  OPORTUNIDADES</t>
  </si>
  <si>
    <t xml:space="preserve">Instalada → efectiva → demostrada → disponible · cuellos de botella · escalabilidad.</t>
  </si>
  <si>
    <t xml:space="preserve">Mercados · exportaciones · clientes · concentración.</t>
  </si>
  <si>
    <t xml:space="preserve">Riesgos materiales con severidad (08_RIESGOS).</t>
  </si>
  <si>
    <t xml:space="preserve">Oportunidades con severidad (09_OPORTUNIDADES).</t>
  </si>
  <si>
    <t xml:space="preserve">M12  |  PROSPECTIVA</t>
  </si>
  <si>
    <t xml:space="preserve">M13  |  ALERTAS TEMPRANAS</t>
  </si>
  <si>
    <t xml:space="preserve">12–24 meses: BASE / ALCISTA / BAJISTA
3–5 años: BASE / ALCISTA / BAJISTA
5–10 años: BASE / ALCISTA / BAJISTA
Impulsores · riesgos · señales tempranas · factores de invalidación.</t>
  </si>
  <si>
    <t xml:space="preserve">Señales activas de 11_ALERTA_TEMPRANA con trigger y fuente de seguimiento.</t>
  </si>
  <si>
    <t xml:space="preserve">M14  |  SCORING DCIP</t>
  </si>
  <si>
    <t xml:space="preserve">M15  |  ESTADO EMPRESARIAL</t>
  </si>
  <si>
    <t xml:space="preserve">M16  |  ATRACTIVIDAD ESTRATÉGICA</t>
  </si>
  <si>
    <t xml:space="preserve">M17  |  JUICIO DCIP</t>
  </si>
  <si>
    <t xml:space="preserve">M18  |  FUENTES</t>
  </si>
  <si>
    <t xml:space="preserve">FIN [__] (mín __)   IND [__] (mín __)   DEF [__] (mín __)   PRO [__] (mín __)
Cobertura: FIN __ %  IND __ %  DEF __ %  PRO __ %
DCIP GLOBAL [__] (rango __–__)   Categoría: [____]
Confianza: [____]   Ponderación 25/25/25/25</t>
  </si>
  <si>
    <t xml:space="preserve">[CRÍTICO / FRÁGIL / ESTABLE / SÓLIDO / MUY SÓLIDO]
Síntesis breve, separada del juicio estratégico.</t>
  </si>
  <si>
    <t xml:space="preserve">[BAJA / MODERADA / RELEVANTE / ALTA / MUY ALTA]
Relevancia, posición y perspectivas.</t>
  </si>
  <si>
    <t xml:space="preserve">Conclusión integrada, diferenciando hechos, estimaciones, inferencias y expectativas.</t>
  </si>
  <si>
    <t xml:space="preserve">Fuentes principales (FUENTE_ID, nivel, fecha) y trazabilidad. Prioridad N1–N3.</t>
  </si>
  <si>
    <t xml:space="preserve">DCIP 2.3  |  LA CALIDAD DE LA CONCLUSIÓN NUNCA PUEDE SUPERAR LA CALIDAD DE LA EVIDENCIA.</t>
  </si>
  <si>
    <t xml:space="preserve">DCIP 2.3 — REGLAS VISUALES v3.0</t>
  </si>
  <si>
    <t xml:space="preserve">Regla</t>
  </si>
  <si>
    <t xml:space="preserve">Especificación</t>
  </si>
  <si>
    <t xml:space="preserve">Carácter</t>
  </si>
  <si>
    <t xml:space="preserve">Formato</t>
  </si>
  <si>
    <t xml:space="preserve">Horizontal 16:9 obligatorio.</t>
  </si>
  <si>
    <t xml:space="preserve">OBLIGATORIO</t>
  </si>
  <si>
    <t xml:space="preserve">Retícula</t>
  </si>
  <si>
    <t xml:space="preserve">12 columnas fijas; posiciones M01–M18 invariables (24_MAPA_M18).</t>
  </si>
  <si>
    <t xml:space="preserve">Arquitectura</t>
  </si>
  <si>
    <t xml:space="preserve">Exactamente M01–M18; no eliminar, fusionar, añadir ni reordenar.</t>
  </si>
  <si>
    <t xml:space="preserve">Legibilidad</t>
  </si>
  <si>
    <t xml:space="preserve">Cuerpo mínimo 10 pt; preferente 11–13 pt.</t>
  </si>
  <si>
    <t xml:space="preserve">Densidad</t>
  </si>
  <si>
    <t xml:space="preserve">Si no cabe: condensar, eliminar redundancias y abreviar. No reducir indefinidamente la tipografía.</t>
  </si>
  <si>
    <t xml:space="preserve">Color de dimensión</t>
  </si>
  <si>
    <t xml:space="preserve">FIN verde; IND azul; DEF naranja; PRO morado. Solo para identificar módulos. Navy para estructura.</t>
  </si>
  <si>
    <t xml:space="preserve">Color de banda</t>
  </si>
  <si>
    <t xml:space="preserve">Crítica, Débil, Estable, Favorable, Muy favorable en escala neutra (rojo oscuro → gris → navy). Nunca los colores de dimensión.</t>
  </si>
  <si>
    <t xml:space="preserve">Contenido</t>
  </si>
  <si>
    <t xml:space="preserve">Solo información del expediente validado. No investigar durante el renderizado.</t>
  </si>
  <si>
    <t xml:space="preserve">Datos ausentes</t>
  </si>
  <si>
    <t xml:space="preserve">N/D, no disponible o evidencia insuficiente. Nunca inventar.</t>
  </si>
  <si>
    <t xml:space="preserve">Scoring</t>
  </si>
  <si>
    <t xml:space="preserve">Copiar exactamente de 04_RESULTADO: nota, mínimo, cobertura, categoría y confianza. No recalcular. Mostrar NC y rangos tal cual.</t>
  </si>
  <si>
    <t xml:space="preserve">Unidades</t>
  </si>
  <si>
    <t xml:space="preserve">M€ con moneda original entre paréntesis cuando no sea euro; %; FTE. Punto de miles y coma decimal.</t>
  </si>
  <si>
    <t xml:space="preserve">Estado / atractividad</t>
  </si>
  <si>
    <t xml:space="preserve">M15 y M16 independientes y separados, con su escala de cinco niveles.</t>
  </si>
  <si>
    <t xml:space="preserve">Prospectiva</t>
  </si>
  <si>
    <t xml:space="preserve">M12 conserva 12–24 meses, 3–5 años y 5–10 años; BASE / ALCISTA / BAJISTA.</t>
  </si>
  <si>
    <t xml:space="preserve">Fuentes</t>
  </si>
  <si>
    <t xml:space="preserve">M18 siempre visible y legible, con FUENTE_ID y nivel.</t>
  </si>
  <si>
    <t xml:space="preserve">Estética</t>
  </si>
  <si>
    <t xml:space="preserve">Sobria, técnica y profesional, propia de inteligencia empresarial y defensa.</t>
  </si>
  <si>
    <t xml:space="preserve">Control final</t>
  </si>
  <si>
    <t xml:space="preserve">Comprobar módulos, cifras, fechas, nombres, scoring, rangos, cobertura, confianza, fuentes, ortografía y ausencia de invenciones.</t>
  </si>
  <si>
    <t xml:space="preserve">PROMPT ÚNICO — INFOGRAFÍA DCIP 2.3</t>
  </si>
  <si>
    <t xml:space="preserve">INFOGRAFÍA DCIP 2.3 — [EMPRESA]
Usa exclusivamente:
1) el expediente DCIP 2.3 validado de [EMPRESA] (hojas 04_RESULTADO, 07_FICHA, 08_RIESGOS, 09_OPORTUNIDADES, 10_PROSPECTIVA, 11_ALERTA_TEMPRANA y 12_FUENTES, con 06_AUDITORIA en VÁLIDA) como fuente de verdad del contenido;
2) la PLANTILLA VISUAL MAESTRA v3.0 como fuente de verdad de arquitectura y diseño.
CONTENIDO VARIABLE / ARQUITECTURA INVARIABLE.
Aplicar exactamente: horizontal 16:9; retícula de 12 columnas; M01–M18 en sus posiciones; ningún módulo eliminado, fusionado, dividido, añadido, movido o reordenado; M15 Estado empresarial separado de M16 Atractividad estratégica; M17 Juicio DCIP y M18 Fuentes siempre presentes; FIN verde, IND azul, DEF naranja, PRO morado solo como identificadores de módulo; bandas DCIP en escala neutra.
LEGIBILIDAD: cuerpo mínimo 10 pt, preferente 11–13 pt. Si no cabe, condensar y abreviar sin cambiar significado. Nunca solucionar falta de espacio con texto microscópico ni cambiando la arquitectura.
CONTENIDO: copiar exactamente cifras, fechas, nombres, programas, contratos, puntuaciones, mínimos, coberturas, categorías, confianza y fuentes del expediente. Mostrar 'NC' y 'NO CONCLUYENTE' donde el expediente lo indique y los rangos tal como aparecen. No volver a analizar, no recalcular scoring, no añadir información nueva y no inventar datos, palabras, siglas, programas, contratos, fechas o conclusiones. Mantener las distinciones entre ingresos, contratación, cartera, cartera firme, pipeline, contrato, opción, MoU, hecho, estimación, inferencia, expectativa e hipótesis. Importes en M€ con moneda original entre paréntesis cuando no sea euro. Si falta evidencia: N/D o evidencia insuficiente.
CONTROL FINAL: 16:9 · 12 columnas · M01–M18 · posiciones · legibilidad · scoring con rangos y cobertura · confianza · fechas · cifras · nombres · Estado · Atractividad · Juicio · Fuentes · ortografía · ausencia de invenciones. Si alguna condición falla, regenerar antes de entregar.</t>
  </si>
  <si>
    <t xml:space="preserve">Módulo</t>
  </si>
  <si>
    <t xml:space="preserve">Denominación</t>
  </si>
  <si>
    <t xml:space="preserve">Zona</t>
  </si>
  <si>
    <t xml:space="preserve">Columnas</t>
  </si>
  <si>
    <t xml:space="preserve">M01</t>
  </si>
  <si>
    <t xml:space="preserve">Perímetro y datos clave</t>
  </si>
  <si>
    <t xml:space="preserve">1–4</t>
  </si>
  <si>
    <t xml:space="preserve">Empresa, país, fecha de corte, período, moneda, perímetros.</t>
  </si>
  <si>
    <t xml:space="preserve">M02</t>
  </si>
  <si>
    <t xml:space="preserve">Resumen ejecutivo</t>
  </si>
  <si>
    <t xml:space="preserve">5–8</t>
  </si>
  <si>
    <t xml:space="preserve">Síntesis ejecutiva.</t>
  </si>
  <si>
    <t xml:space="preserve">M03</t>
  </si>
  <si>
    <t xml:space="preserve">Situación empresarial</t>
  </si>
  <si>
    <t xml:space="preserve">9–12</t>
  </si>
  <si>
    <t xml:space="preserve">Situación corporativa.</t>
  </si>
  <si>
    <t xml:space="preserve">M04</t>
  </si>
  <si>
    <t xml:space="preserve">Propiedad y control</t>
  </si>
  <si>
    <t xml:space="preserve">1–3</t>
  </si>
  <si>
    <t xml:space="preserve">Propiedad y control.</t>
  </si>
  <si>
    <t xml:space="preserve">M05</t>
  </si>
  <si>
    <t xml:space="preserve">Finanzas</t>
  </si>
  <si>
    <t xml:space="preserve">4–6</t>
  </si>
  <si>
    <t xml:space="preserve">Finanzas.</t>
  </si>
  <si>
    <t xml:space="preserve">M06</t>
  </si>
  <si>
    <t xml:space="preserve">Defensa y programas</t>
  </si>
  <si>
    <t xml:space="preserve">7–9</t>
  </si>
  <si>
    <t xml:space="preserve">Defensa y programas.</t>
  </si>
  <si>
    <t xml:space="preserve">M07</t>
  </si>
  <si>
    <t xml:space="preserve">Industria y tecnología</t>
  </si>
  <si>
    <t xml:space="preserve">10–12</t>
  </si>
  <si>
    <t xml:space="preserve">Industria, tecnología e I+D+i.</t>
  </si>
  <si>
    <t xml:space="preserve">M08</t>
  </si>
  <si>
    <t xml:space="preserve">Capacidad industrial.</t>
  </si>
  <si>
    <t xml:space="preserve">M09</t>
  </si>
  <si>
    <t xml:space="preserve">Mercado e internacionalización</t>
  </si>
  <si>
    <t xml:space="preserve">Mercado e internacionalización.</t>
  </si>
  <si>
    <t xml:space="preserve">M10</t>
  </si>
  <si>
    <t xml:space="preserve">Riesgos</t>
  </si>
  <si>
    <t xml:space="preserve">Riesgos.</t>
  </si>
  <si>
    <t xml:space="preserve">M11</t>
  </si>
  <si>
    <t xml:space="preserve">Oportunidades</t>
  </si>
  <si>
    <t xml:space="preserve">Oportunidades.</t>
  </si>
  <si>
    <t xml:space="preserve">M12</t>
  </si>
  <si>
    <t xml:space="preserve">1–7</t>
  </si>
  <si>
    <t xml:space="preserve">12–24 meses / 3–5 años / 5–10 años.</t>
  </si>
  <si>
    <t xml:space="preserve">M13</t>
  </si>
  <si>
    <t xml:space="preserve">Alertas tempranas</t>
  </si>
  <si>
    <t xml:space="preserve">8–12</t>
  </si>
  <si>
    <t xml:space="preserve">Alertas y señales tempranas.</t>
  </si>
  <si>
    <t xml:space="preserve">M14</t>
  </si>
  <si>
    <t xml:space="preserve">Scoring DCIP</t>
  </si>
  <si>
    <t xml:space="preserve">FIN, IND, DEF, PRO, global, rango, cobertura y confianza.</t>
  </si>
  <si>
    <t xml:space="preserve">M15</t>
  </si>
  <si>
    <t xml:space="preserve">Estado empresarial</t>
  </si>
  <si>
    <t xml:space="preserve">5–6</t>
  </si>
  <si>
    <t xml:space="preserve">Estado empresarial.</t>
  </si>
  <si>
    <t xml:space="preserve">M16</t>
  </si>
  <si>
    <t xml:space="preserve">Atractividad estratégica</t>
  </si>
  <si>
    <t xml:space="preserve">7–8</t>
  </si>
  <si>
    <t xml:space="preserve">Atractividad estratégica.</t>
  </si>
  <si>
    <t xml:space="preserve">M17</t>
  </si>
  <si>
    <t xml:space="preserve">Juicio DCIP</t>
  </si>
  <si>
    <t xml:space="preserve">9–10</t>
  </si>
  <si>
    <t xml:space="preserve">Juicio integrado.</t>
  </si>
  <si>
    <t xml:space="preserve">M18</t>
  </si>
  <si>
    <t xml:space="preserve">11–12</t>
  </si>
  <si>
    <t xml:space="preserve">Fuentes y trazabilidad.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</si>
</sst>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0.0%"/>
    <numFmt numFmtId="167" formatCode="0%"/>
    <numFmt numFmtId="168" formatCode="General"/>
    <numFmt numFmtId="169" formatCode="0.0"/>
    <numFmt numFmtId="170" formatCode="0.00"/>
    <numFmt numFmtId="171" formatCode="#,##0.0"/>
    <numFmt numFmtId="172" formatCode="#,##0"/>
    <numFmt numFmtId="173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61616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B71C1C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16161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1F2A44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CC"/>
        <bgColor rgb="FFFFF3E0"/>
      </patternFill>
    </fill>
    <fill>
      <patternFill patternType="solid">
        <fgColor rgb="FF1F2A44"/>
        <bgColor rgb="FF003366"/>
      </patternFill>
    </fill>
    <fill>
      <patternFill patternType="solid">
        <fgColor rgb="FFE8F5E9"/>
        <bgColor rgb="FFECEFF1"/>
      </patternFill>
    </fill>
    <fill>
      <patternFill patternType="solid">
        <fgColor rgb="FFE3F2FD"/>
        <bgColor rgb="FFECEFF1"/>
      </patternFill>
    </fill>
    <fill>
      <patternFill patternType="solid">
        <fgColor rgb="FFFFF3E0"/>
        <bgColor rgb="FFEEEEEE"/>
      </patternFill>
    </fill>
    <fill>
      <patternFill patternType="solid">
        <fgColor rgb="FFF3E5F5"/>
        <bgColor rgb="FFEEEEEE"/>
      </patternFill>
    </fill>
    <fill>
      <patternFill patternType="solid">
        <fgColor rgb="FFECEFF1"/>
        <bgColor rgb="FFEEEEEE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EEEEEE"/>
        <bgColor rgb="FFECEFF1"/>
      </patternFill>
    </fill>
    <fill>
      <patternFill patternType="solid">
        <fgColor rgb="FFCFD8DC"/>
        <bgColor rgb="FFC8E6C9"/>
      </patternFill>
    </fill>
    <fill>
      <patternFill patternType="solid">
        <fgColor rgb="FFB0BEC5"/>
        <bgColor rgb="FFCFD8DC"/>
      </patternFill>
    </fill>
    <fill>
      <patternFill patternType="solid">
        <fgColor rgb="FF2E7D32"/>
        <bgColor rgb="FF008000"/>
      </patternFill>
    </fill>
    <fill>
      <patternFill patternType="solid">
        <fgColor rgb="FFEF6C00"/>
        <bgColor rgb="FFFF9900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B71C1C"/>
        <sz val="10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C62828"/>
        <sz val="10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616161"/>
        <sz val="10"/>
      </font>
      <fill>
        <patternFill>
          <bgColor rgb="FFEEEEEE"/>
        </patternFill>
      </fill>
    </dxf>
    <dxf>
      <font>
        <name val="Arial"/>
        <charset val="1"/>
        <family val="0"/>
        <b val="1"/>
        <color rgb="FF37474F"/>
        <sz val="10"/>
      </font>
      <fill>
        <patternFill>
          <bgColor rgb="FFCFD8DC"/>
        </patternFill>
      </fill>
    </dxf>
    <dxf>
      <font>
        <name val="Arial"/>
        <charset val="1"/>
        <family val="0"/>
        <b val="1"/>
        <color rgb="FF1F2A44"/>
        <sz val="10"/>
      </font>
      <fill>
        <patternFill>
          <bgColor rgb="FFB0BEC5"/>
        </patternFill>
      </fill>
    </dxf>
    <dxf>
      <fill>
        <patternFill>
          <bgColor rgb="FFFFCDD2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0BEC5"/>
      <rgbColor rgb="FF78909C"/>
      <rgbColor rgb="FFECEFF1"/>
      <rgbColor rgb="FFC62828"/>
      <rgbColor rgb="FFFFFFCC"/>
      <rgbColor rgb="FFE3F2FD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F3E5F5"/>
      <rgbColor rgb="FFFFCDD2"/>
      <rgbColor rgb="FFEEEEEE"/>
      <rgbColor rgb="FFFFE0B2"/>
      <rgbColor rgb="FF3366FF"/>
      <rgbColor rgb="FF33CCCC"/>
      <rgbColor rgb="FF99CC00"/>
      <rgbColor rgb="FFFFC107"/>
      <rgbColor rgb="FFFF9900"/>
      <rgbColor rgb="FFEF6C00"/>
      <rgbColor rgb="FF616161"/>
      <rgbColor rgb="FF969696"/>
      <rgbColor rgb="FF003366"/>
      <rgbColor rgb="FF2E7D32"/>
      <rgbColor rgb="FF003300"/>
      <rgbColor rgb="FF455A64"/>
      <rgbColor rgb="FFB71C1C"/>
      <rgbColor rgb="FF993366"/>
      <rgbColor rgb="FF37474F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24</v>
      </c>
      <c r="B16" s="4"/>
    </row>
    <row r="17" customFormat="false" ht="15" hidden="false" customHeight="false" outlineLevel="0" collapsed="false">
      <c r="A17" s="5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6" t="s">
        <v>29</v>
      </c>
      <c r="B19" s="4" t="s">
        <v>30</v>
      </c>
    </row>
    <row r="20" customFormat="false" ht="15" hidden="false" customHeight="false" outlineLevel="0" collapsed="false">
      <c r="A20" s="3"/>
      <c r="B20" s="4"/>
    </row>
    <row r="21" customFormat="false" ht="23.85" hidden="false" customHeight="false" outlineLevel="0" collapsed="false">
      <c r="A21" s="3" t="s">
        <v>31</v>
      </c>
      <c r="B21" s="4" t="s">
        <v>32</v>
      </c>
    </row>
    <row r="22" customFormat="false" ht="35.05" hidden="false" customHeight="false" outlineLevel="0" collapsed="false">
      <c r="A22" s="3" t="s">
        <v>33</v>
      </c>
      <c r="B22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7" t="s">
        <v>37</v>
      </c>
      <c r="B3" s="7" t="s">
        <v>38</v>
      </c>
      <c r="C3" s="7" t="s">
        <v>39</v>
      </c>
    </row>
    <row r="4" customFormat="false" ht="15" hidden="false" customHeight="false" outlineLevel="0" collapsed="false">
      <c r="A4" s="8" t="s">
        <v>40</v>
      </c>
      <c r="B4" s="9"/>
      <c r="C4" s="10" t="s">
        <v>41</v>
      </c>
    </row>
    <row r="5" customFormat="false" ht="15" hidden="false" customHeight="false" outlineLevel="0" collapsed="false">
      <c r="A5" s="8" t="s">
        <v>42</v>
      </c>
      <c r="B5" s="9"/>
      <c r="C5" s="10" t="s">
        <v>43</v>
      </c>
    </row>
    <row r="6" customFormat="false" ht="15" hidden="false" customHeight="false" outlineLevel="0" collapsed="false">
      <c r="A6" s="8" t="s">
        <v>44</v>
      </c>
      <c r="B6" s="9"/>
      <c r="C6" s="10" t="s">
        <v>45</v>
      </c>
    </row>
    <row r="7" customFormat="false" ht="15" hidden="false" customHeight="false" outlineLevel="0" collapsed="false">
      <c r="A7" s="8" t="s">
        <v>46</v>
      </c>
      <c r="B7" s="11"/>
      <c r="C7" s="10" t="s">
        <v>47</v>
      </c>
    </row>
    <row r="8" customFormat="false" ht="15" hidden="false" customHeight="false" outlineLevel="0" collapsed="false">
      <c r="A8" s="8" t="s">
        <v>48</v>
      </c>
      <c r="B8" s="9"/>
      <c r="C8" s="10" t="s">
        <v>49</v>
      </c>
    </row>
    <row r="9" customFormat="false" ht="15" hidden="false" customHeight="false" outlineLevel="0" collapsed="false">
      <c r="A9" s="8" t="s">
        <v>50</v>
      </c>
      <c r="B9" s="9"/>
      <c r="C9" s="10" t="s">
        <v>51</v>
      </c>
    </row>
    <row r="10" customFormat="false" ht="15" hidden="false" customHeight="false" outlineLevel="0" collapsed="false">
      <c r="A10" s="8" t="s">
        <v>52</v>
      </c>
      <c r="B10" s="9"/>
      <c r="C10" s="10" t="s">
        <v>53</v>
      </c>
    </row>
    <row r="11" customFormat="false" ht="15" hidden="false" customHeight="false" outlineLevel="0" collapsed="false">
      <c r="A11" s="8" t="s">
        <v>54</v>
      </c>
      <c r="B11" s="9"/>
      <c r="C11" s="10" t="s">
        <v>55</v>
      </c>
    </row>
    <row r="12" customFormat="false" ht="15" hidden="false" customHeight="false" outlineLevel="0" collapsed="false">
      <c r="A12" s="8" t="s">
        <v>56</v>
      </c>
      <c r="B12" s="9" t="n">
        <v>1</v>
      </c>
      <c r="C12" s="10" t="s">
        <v>57</v>
      </c>
    </row>
    <row r="13" customFormat="false" ht="15" hidden="false" customHeight="false" outlineLevel="0" collapsed="false">
      <c r="A13" s="8" t="s">
        <v>58</v>
      </c>
      <c r="B13" s="9"/>
      <c r="C13" s="10" t="s">
        <v>59</v>
      </c>
    </row>
    <row r="14" customFormat="false" ht="15" hidden="false" customHeight="false" outlineLevel="0" collapsed="false">
      <c r="A14" s="8" t="s">
        <v>60</v>
      </c>
      <c r="B14" s="9"/>
      <c r="C14" s="10" t="s">
        <v>61</v>
      </c>
    </row>
    <row r="15" customFormat="false" ht="15" hidden="false" customHeight="false" outlineLevel="0" collapsed="false">
      <c r="A15" s="8" t="s">
        <v>62</v>
      </c>
      <c r="B15" s="9"/>
      <c r="C15" s="10" t="s">
        <v>63</v>
      </c>
    </row>
    <row r="16" customFormat="false" ht="15" hidden="false" customHeight="false" outlineLevel="0" collapsed="false">
      <c r="A16" s="8" t="s">
        <v>64</v>
      </c>
      <c r="B16" s="12"/>
      <c r="C16" s="10" t="s">
        <v>65</v>
      </c>
    </row>
    <row r="17" customFormat="false" ht="15" hidden="false" customHeight="false" outlineLevel="0" collapsed="false">
      <c r="A17" s="8" t="s">
        <v>66</v>
      </c>
      <c r="B17" s="9"/>
      <c r="C17" s="10" t="s">
        <v>67</v>
      </c>
    </row>
    <row r="18" customFormat="false" ht="15" hidden="false" customHeight="false" outlineLevel="0" collapsed="false">
      <c r="A18" s="8" t="s">
        <v>68</v>
      </c>
      <c r="B18" s="13" t="n">
        <v>0.25</v>
      </c>
      <c r="C18" s="10" t="s">
        <v>69</v>
      </c>
    </row>
    <row r="19" customFormat="false" ht="15" hidden="false" customHeight="false" outlineLevel="0" collapsed="false">
      <c r="A19" s="8" t="s">
        <v>70</v>
      </c>
      <c r="B19" s="13" t="n">
        <v>0.25</v>
      </c>
      <c r="C19" s="10" t="s">
        <v>69</v>
      </c>
    </row>
    <row r="20" customFormat="false" ht="15" hidden="false" customHeight="false" outlineLevel="0" collapsed="false">
      <c r="A20" s="8" t="s">
        <v>71</v>
      </c>
      <c r="B20" s="13" t="n">
        <v>0.25</v>
      </c>
      <c r="C20" s="10" t="s">
        <v>69</v>
      </c>
    </row>
    <row r="21" customFormat="false" ht="15" hidden="false" customHeight="false" outlineLevel="0" collapsed="false">
      <c r="A21" s="8" t="s">
        <v>72</v>
      </c>
      <c r="B21" s="13" t="n">
        <v>0.25</v>
      </c>
      <c r="C21" s="10" t="s">
        <v>69</v>
      </c>
    </row>
    <row r="22" customFormat="false" ht="15" hidden="false" customHeight="false" outlineLevel="0" collapsed="false">
      <c r="A22" s="8" t="s">
        <v>73</v>
      </c>
      <c r="B22" s="13" t="n">
        <f aca="false">SUM(B18:B21)</f>
        <v>1</v>
      </c>
      <c r="C22" s="10" t="s">
        <v>74</v>
      </c>
    </row>
    <row r="23" customFormat="false" ht="15" hidden="false" customHeight="false" outlineLevel="0" collapsed="false">
      <c r="A23" s="8" t="s">
        <v>75</v>
      </c>
      <c r="B23" s="14" t="s">
        <v>76</v>
      </c>
      <c r="C23" s="10" t="s">
        <v>77</v>
      </c>
    </row>
    <row r="24" customFormat="false" ht="15" hidden="false" customHeight="false" outlineLevel="0" collapsed="false">
      <c r="A24" s="8" t="s">
        <v>78</v>
      </c>
      <c r="B24" s="9" t="s">
        <v>79</v>
      </c>
      <c r="C24" s="10" t="s">
        <v>80</v>
      </c>
    </row>
    <row r="25" customFormat="false" ht="15" hidden="false" customHeight="false" outlineLevel="0" collapsed="false">
      <c r="A25" s="8" t="s">
        <v>81</v>
      </c>
      <c r="B25" s="9"/>
      <c r="C25" s="10"/>
    </row>
    <row r="26" customFormat="false" ht="15" hidden="false" customHeight="false" outlineLevel="0" collapsed="false">
      <c r="A26" s="8" t="s">
        <v>82</v>
      </c>
      <c r="B26" s="11"/>
      <c r="C26" s="10" t="s">
        <v>83</v>
      </c>
    </row>
  </sheetData>
  <dataValidations count="2">
    <dataValidation allowBlank="true" error="Valor no permitido. Use la lista desplegable." errorStyle="stop" errorTitle="DCIP 2.3" operator="between" showDropDown="false" showErrorMessage="false" showInputMessage="false" sqref="B6" type="list">
      <formula1>17_JURISDICCIONES!$A$4:$A$27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B17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7" min="6" style="0" width="44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5" min="11" style="0" width="34"/>
    <col collapsed="false" customWidth="true" hidden="false" outlineLevel="0" max="16" min="16" style="0" width="50"/>
  </cols>
  <sheetData>
    <row r="1" customFormat="false" ht="35.05" hidden="false" customHeight="false" outlineLevel="0" collapsed="false">
      <c r="A1" s="7" t="s">
        <v>84</v>
      </c>
      <c r="B1" s="7" t="s">
        <v>85</v>
      </c>
      <c r="C1" s="7" t="s">
        <v>86</v>
      </c>
      <c r="D1" s="7" t="s">
        <v>87</v>
      </c>
      <c r="E1" s="7" t="s">
        <v>88</v>
      </c>
      <c r="F1" s="7" t="s">
        <v>89</v>
      </c>
      <c r="G1" s="7" t="s">
        <v>90</v>
      </c>
      <c r="H1" s="7" t="s">
        <v>91</v>
      </c>
      <c r="I1" s="7" t="s">
        <v>92</v>
      </c>
      <c r="J1" s="7" t="s">
        <v>93</v>
      </c>
      <c r="K1" s="7" t="s">
        <v>94</v>
      </c>
      <c r="L1" s="7" t="s">
        <v>95</v>
      </c>
      <c r="M1" s="7" t="s">
        <v>96</v>
      </c>
      <c r="N1" s="7" t="s">
        <v>97</v>
      </c>
      <c r="O1" s="7" t="s">
        <v>98</v>
      </c>
      <c r="P1" s="7" t="s">
        <v>39</v>
      </c>
    </row>
    <row r="2" customFormat="false" ht="91.5" hidden="false" customHeight="true" outlineLevel="0" collapsed="false">
      <c r="A2" s="15" t="s">
        <v>99</v>
      </c>
      <c r="B2" s="15" t="s">
        <v>100</v>
      </c>
      <c r="C2" s="8" t="s">
        <v>101</v>
      </c>
      <c r="D2" s="16" t="n">
        <v>14</v>
      </c>
      <c r="E2" s="14" t="s">
        <v>102</v>
      </c>
      <c r="F2" s="14" t="s">
        <v>103</v>
      </c>
      <c r="G2" s="14" t="s">
        <v>104</v>
      </c>
      <c r="H2" s="14" t="s">
        <v>105</v>
      </c>
      <c r="I2" s="16" t="s">
        <v>106</v>
      </c>
      <c r="J2" s="14" t="s">
        <v>107</v>
      </c>
      <c r="K2" s="14" t="s">
        <v>108</v>
      </c>
      <c r="L2" s="14" t="s">
        <v>109</v>
      </c>
      <c r="M2" s="14" t="s">
        <v>110</v>
      </c>
      <c r="N2" s="14" t="s">
        <v>111</v>
      </c>
      <c r="O2" s="14" t="s">
        <v>112</v>
      </c>
      <c r="P2" s="10" t="s">
        <v>113</v>
      </c>
    </row>
    <row r="3" customFormat="false" ht="91.5" hidden="false" customHeight="true" outlineLevel="0" collapsed="false">
      <c r="A3" s="15" t="s">
        <v>114</v>
      </c>
      <c r="B3" s="15" t="s">
        <v>100</v>
      </c>
      <c r="C3" s="8" t="s">
        <v>115</v>
      </c>
      <c r="D3" s="16" t="n">
        <v>8</v>
      </c>
      <c r="E3" s="14" t="s">
        <v>102</v>
      </c>
      <c r="F3" s="14" t="s">
        <v>116</v>
      </c>
      <c r="G3" s="14" t="s">
        <v>117</v>
      </c>
      <c r="H3" s="14" t="s">
        <v>118</v>
      </c>
      <c r="I3" s="16" t="s">
        <v>106</v>
      </c>
      <c r="J3" s="14" t="s">
        <v>99</v>
      </c>
      <c r="K3" s="14" t="s">
        <v>119</v>
      </c>
      <c r="L3" s="14" t="s">
        <v>120</v>
      </c>
      <c r="M3" s="14" t="s">
        <v>121</v>
      </c>
      <c r="N3" s="14" t="s">
        <v>122</v>
      </c>
      <c r="O3" s="14" t="s">
        <v>123</v>
      </c>
      <c r="P3" s="10" t="s">
        <v>124</v>
      </c>
    </row>
    <row r="4" customFormat="false" ht="91.5" hidden="false" customHeight="true" outlineLevel="0" collapsed="false">
      <c r="A4" s="15" t="s">
        <v>125</v>
      </c>
      <c r="B4" s="15" t="s">
        <v>100</v>
      </c>
      <c r="C4" s="8" t="s">
        <v>126</v>
      </c>
      <c r="D4" s="16" t="n">
        <v>12</v>
      </c>
      <c r="E4" s="14" t="s">
        <v>102</v>
      </c>
      <c r="F4" s="14" t="s">
        <v>127</v>
      </c>
      <c r="G4" s="14" t="s">
        <v>128</v>
      </c>
      <c r="H4" s="14" t="s">
        <v>129</v>
      </c>
      <c r="I4" s="16" t="s">
        <v>106</v>
      </c>
      <c r="J4" s="14" t="s">
        <v>130</v>
      </c>
      <c r="K4" s="14" t="s">
        <v>131</v>
      </c>
      <c r="L4" s="14" t="s">
        <v>132</v>
      </c>
      <c r="M4" s="14" t="s">
        <v>133</v>
      </c>
      <c r="N4" s="14" t="s">
        <v>134</v>
      </c>
      <c r="O4" s="14" t="s">
        <v>135</v>
      </c>
      <c r="P4" s="10" t="s">
        <v>136</v>
      </c>
    </row>
    <row r="5" customFormat="false" ht="91.5" hidden="false" customHeight="true" outlineLevel="0" collapsed="false">
      <c r="A5" s="15" t="s">
        <v>130</v>
      </c>
      <c r="B5" s="15" t="s">
        <v>100</v>
      </c>
      <c r="C5" s="8" t="s">
        <v>137</v>
      </c>
      <c r="D5" s="16" t="n">
        <v>8</v>
      </c>
      <c r="E5" s="14" t="s">
        <v>102</v>
      </c>
      <c r="F5" s="14" t="s">
        <v>138</v>
      </c>
      <c r="G5" s="14" t="s">
        <v>139</v>
      </c>
      <c r="H5" s="14" t="s">
        <v>140</v>
      </c>
      <c r="I5" s="16" t="s">
        <v>106</v>
      </c>
      <c r="J5" s="14" t="s">
        <v>141</v>
      </c>
      <c r="K5" s="14" t="s">
        <v>142</v>
      </c>
      <c r="L5" s="14" t="s">
        <v>143</v>
      </c>
      <c r="M5" s="14" t="s">
        <v>144</v>
      </c>
      <c r="N5" s="14" t="s">
        <v>145</v>
      </c>
      <c r="O5" s="14" t="s">
        <v>146</v>
      </c>
      <c r="P5" s="10" t="s">
        <v>147</v>
      </c>
    </row>
    <row r="6" customFormat="false" ht="91.5" hidden="false" customHeight="true" outlineLevel="0" collapsed="false">
      <c r="A6" s="15" t="s">
        <v>148</v>
      </c>
      <c r="B6" s="15" t="s">
        <v>100</v>
      </c>
      <c r="C6" s="8" t="s">
        <v>149</v>
      </c>
      <c r="D6" s="16" t="n">
        <v>10</v>
      </c>
      <c r="E6" s="14" t="s">
        <v>150</v>
      </c>
      <c r="F6" s="14" t="s">
        <v>151</v>
      </c>
      <c r="G6" s="14" t="s">
        <v>152</v>
      </c>
      <c r="H6" s="14" t="s">
        <v>140</v>
      </c>
      <c r="I6" s="16" t="s">
        <v>106</v>
      </c>
      <c r="J6" s="14" t="s">
        <v>153</v>
      </c>
      <c r="K6" s="14" t="s">
        <v>154</v>
      </c>
      <c r="L6" s="14" t="s">
        <v>155</v>
      </c>
      <c r="M6" s="14" t="s">
        <v>156</v>
      </c>
      <c r="N6" s="14" t="s">
        <v>157</v>
      </c>
      <c r="O6" s="14" t="s">
        <v>158</v>
      </c>
      <c r="P6" s="10" t="s">
        <v>159</v>
      </c>
    </row>
    <row r="7" customFormat="false" ht="91.5" hidden="false" customHeight="true" outlineLevel="0" collapsed="false">
      <c r="A7" s="15" t="s">
        <v>160</v>
      </c>
      <c r="B7" s="15" t="s">
        <v>100</v>
      </c>
      <c r="C7" s="8" t="s">
        <v>161</v>
      </c>
      <c r="D7" s="16" t="n">
        <v>10</v>
      </c>
      <c r="E7" s="14" t="s">
        <v>102</v>
      </c>
      <c r="F7" s="14" t="s">
        <v>162</v>
      </c>
      <c r="G7" s="14" t="s">
        <v>163</v>
      </c>
      <c r="H7" s="14" t="s">
        <v>140</v>
      </c>
      <c r="I7" s="16" t="s">
        <v>106</v>
      </c>
      <c r="J7" s="14" t="s">
        <v>148</v>
      </c>
      <c r="K7" s="14" t="s">
        <v>164</v>
      </c>
      <c r="L7" s="14" t="s">
        <v>165</v>
      </c>
      <c r="M7" s="14" t="s">
        <v>166</v>
      </c>
      <c r="N7" s="14" t="s">
        <v>167</v>
      </c>
      <c r="O7" s="14" t="s">
        <v>168</v>
      </c>
      <c r="P7" s="10" t="s">
        <v>169</v>
      </c>
    </row>
    <row r="8" customFormat="false" ht="91.5" hidden="false" customHeight="true" outlineLevel="0" collapsed="false">
      <c r="A8" s="15" t="s">
        <v>170</v>
      </c>
      <c r="B8" s="15" t="s">
        <v>100</v>
      </c>
      <c r="C8" s="8" t="s">
        <v>171</v>
      </c>
      <c r="D8" s="16" t="n">
        <v>8</v>
      </c>
      <c r="E8" s="14" t="s">
        <v>150</v>
      </c>
      <c r="F8" s="14" t="s">
        <v>172</v>
      </c>
      <c r="G8" s="14" t="s">
        <v>173</v>
      </c>
      <c r="H8" s="14" t="s">
        <v>118</v>
      </c>
      <c r="I8" s="16" t="s">
        <v>106</v>
      </c>
      <c r="J8" s="14" t="s">
        <v>174</v>
      </c>
      <c r="K8" s="14" t="s">
        <v>175</v>
      </c>
      <c r="L8" s="14" t="s">
        <v>176</v>
      </c>
      <c r="M8" s="14" t="s">
        <v>177</v>
      </c>
      <c r="N8" s="14" t="s">
        <v>178</v>
      </c>
      <c r="O8" s="14" t="s">
        <v>179</v>
      </c>
      <c r="P8" s="10" t="s">
        <v>180</v>
      </c>
    </row>
    <row r="9" customFormat="false" ht="91.5" hidden="false" customHeight="true" outlineLevel="0" collapsed="false">
      <c r="A9" s="15" t="s">
        <v>181</v>
      </c>
      <c r="B9" s="15" t="s">
        <v>100</v>
      </c>
      <c r="C9" s="8" t="s">
        <v>182</v>
      </c>
      <c r="D9" s="16" t="n">
        <v>14</v>
      </c>
      <c r="E9" s="14" t="s">
        <v>102</v>
      </c>
      <c r="F9" s="14" t="s">
        <v>183</v>
      </c>
      <c r="G9" s="14" t="s">
        <v>184</v>
      </c>
      <c r="H9" s="14" t="s">
        <v>185</v>
      </c>
      <c r="I9" s="16" t="s">
        <v>106</v>
      </c>
      <c r="J9" s="14" t="s">
        <v>186</v>
      </c>
      <c r="K9" s="14" t="s">
        <v>187</v>
      </c>
      <c r="L9" s="14" t="s">
        <v>188</v>
      </c>
      <c r="M9" s="14" t="s">
        <v>189</v>
      </c>
      <c r="N9" s="14" t="s">
        <v>190</v>
      </c>
      <c r="O9" s="14" t="s">
        <v>191</v>
      </c>
      <c r="P9" s="10" t="s">
        <v>192</v>
      </c>
    </row>
    <row r="10" customFormat="false" ht="91.5" hidden="false" customHeight="true" outlineLevel="0" collapsed="false">
      <c r="A10" s="15" t="s">
        <v>193</v>
      </c>
      <c r="B10" s="15" t="s">
        <v>100</v>
      </c>
      <c r="C10" s="8" t="s">
        <v>194</v>
      </c>
      <c r="D10" s="16" t="n">
        <v>8</v>
      </c>
      <c r="E10" s="14" t="s">
        <v>102</v>
      </c>
      <c r="F10" s="14" t="s">
        <v>195</v>
      </c>
      <c r="G10" s="14" t="s">
        <v>196</v>
      </c>
      <c r="H10" s="14" t="s">
        <v>118</v>
      </c>
      <c r="I10" s="16" t="s">
        <v>106</v>
      </c>
      <c r="J10" s="14" t="s">
        <v>197</v>
      </c>
      <c r="K10" s="14" t="s">
        <v>198</v>
      </c>
      <c r="L10" s="14" t="s">
        <v>199</v>
      </c>
      <c r="M10" s="14" t="s">
        <v>200</v>
      </c>
      <c r="N10" s="14" t="s">
        <v>201</v>
      </c>
      <c r="O10" s="14" t="s">
        <v>202</v>
      </c>
      <c r="P10" s="10" t="s">
        <v>203</v>
      </c>
    </row>
    <row r="11" customFormat="false" ht="91.5" hidden="false" customHeight="true" outlineLevel="0" collapsed="false">
      <c r="A11" s="15" t="s">
        <v>204</v>
      </c>
      <c r="B11" s="15" t="s">
        <v>100</v>
      </c>
      <c r="C11" s="8" t="s">
        <v>205</v>
      </c>
      <c r="D11" s="16" t="n">
        <v>8</v>
      </c>
      <c r="E11" s="14" t="s">
        <v>150</v>
      </c>
      <c r="F11" s="14" t="s">
        <v>206</v>
      </c>
      <c r="G11" s="14" t="s">
        <v>207</v>
      </c>
      <c r="H11" s="14" t="s">
        <v>140</v>
      </c>
      <c r="I11" s="16" t="s">
        <v>106</v>
      </c>
      <c r="J11" s="14" t="s">
        <v>208</v>
      </c>
      <c r="K11" s="14" t="s">
        <v>209</v>
      </c>
      <c r="L11" s="14" t="s">
        <v>177</v>
      </c>
      <c r="M11" s="14" t="s">
        <v>210</v>
      </c>
      <c r="N11" s="14" t="s">
        <v>211</v>
      </c>
      <c r="O11" s="14" t="s">
        <v>212</v>
      </c>
      <c r="P11" s="10" t="s">
        <v>213</v>
      </c>
    </row>
    <row r="12" customFormat="false" ht="91.5" hidden="false" customHeight="true" outlineLevel="0" collapsed="false">
      <c r="A12" s="17" t="s">
        <v>214</v>
      </c>
      <c r="B12" s="17" t="s">
        <v>215</v>
      </c>
      <c r="C12" s="8" t="s">
        <v>216</v>
      </c>
      <c r="D12" s="16" t="n">
        <v>18</v>
      </c>
      <c r="E12" s="14" t="s">
        <v>102</v>
      </c>
      <c r="F12" s="14" t="s">
        <v>217</v>
      </c>
      <c r="G12" s="14" t="s">
        <v>218</v>
      </c>
      <c r="H12" s="14" t="s">
        <v>219</v>
      </c>
      <c r="I12" s="16" t="s">
        <v>220</v>
      </c>
      <c r="J12" s="14" t="s">
        <v>221</v>
      </c>
      <c r="K12" s="14" t="s">
        <v>222</v>
      </c>
      <c r="L12" s="14" t="s">
        <v>223</v>
      </c>
      <c r="M12" s="14" t="s">
        <v>224</v>
      </c>
      <c r="N12" s="14" t="s">
        <v>225</v>
      </c>
      <c r="O12" s="14" t="s">
        <v>226</v>
      </c>
      <c r="P12" s="10" t="s">
        <v>227</v>
      </c>
    </row>
    <row r="13" customFormat="false" ht="91.5" hidden="false" customHeight="true" outlineLevel="0" collapsed="false">
      <c r="A13" s="17" t="s">
        <v>228</v>
      </c>
      <c r="B13" s="17" t="s">
        <v>215</v>
      </c>
      <c r="C13" s="8" t="s">
        <v>229</v>
      </c>
      <c r="D13" s="16" t="n">
        <v>10</v>
      </c>
      <c r="E13" s="14" t="s">
        <v>230</v>
      </c>
      <c r="F13" s="14" t="s">
        <v>231</v>
      </c>
      <c r="G13" s="14" t="s">
        <v>232</v>
      </c>
      <c r="H13" s="14" t="s">
        <v>233</v>
      </c>
      <c r="I13" s="16" t="s">
        <v>220</v>
      </c>
      <c r="J13" s="14" t="s">
        <v>234</v>
      </c>
      <c r="K13" s="14" t="s">
        <v>235</v>
      </c>
      <c r="L13" s="14" t="s">
        <v>236</v>
      </c>
      <c r="M13" s="14" t="s">
        <v>237</v>
      </c>
      <c r="N13" s="14" t="s">
        <v>238</v>
      </c>
      <c r="O13" s="14" t="s">
        <v>239</v>
      </c>
      <c r="P13" s="10" t="s">
        <v>240</v>
      </c>
    </row>
    <row r="14" customFormat="false" ht="91.5" hidden="false" customHeight="true" outlineLevel="0" collapsed="false">
      <c r="A14" s="17" t="s">
        <v>241</v>
      </c>
      <c r="B14" s="17" t="s">
        <v>215</v>
      </c>
      <c r="C14" s="8" t="s">
        <v>242</v>
      </c>
      <c r="D14" s="16" t="n">
        <v>10</v>
      </c>
      <c r="E14" s="14" t="s">
        <v>102</v>
      </c>
      <c r="F14" s="14" t="s">
        <v>243</v>
      </c>
      <c r="G14" s="14" t="s">
        <v>244</v>
      </c>
      <c r="H14" s="14" t="s">
        <v>219</v>
      </c>
      <c r="I14" s="16" t="s">
        <v>106</v>
      </c>
      <c r="J14" s="14" t="s">
        <v>245</v>
      </c>
      <c r="K14" s="14" t="s">
        <v>246</v>
      </c>
      <c r="L14" s="14" t="s">
        <v>247</v>
      </c>
      <c r="M14" s="14" t="s">
        <v>248</v>
      </c>
      <c r="N14" s="14" t="s">
        <v>249</v>
      </c>
      <c r="O14" s="14" t="s">
        <v>250</v>
      </c>
      <c r="P14" s="10" t="s">
        <v>251</v>
      </c>
    </row>
    <row r="15" customFormat="false" ht="91.5" hidden="false" customHeight="true" outlineLevel="0" collapsed="false">
      <c r="A15" s="17" t="s">
        <v>252</v>
      </c>
      <c r="B15" s="17" t="s">
        <v>215</v>
      </c>
      <c r="C15" s="8" t="s">
        <v>253</v>
      </c>
      <c r="D15" s="16" t="n">
        <v>12</v>
      </c>
      <c r="E15" s="14" t="s">
        <v>102</v>
      </c>
      <c r="F15" s="14" t="s">
        <v>254</v>
      </c>
      <c r="G15" s="14" t="s">
        <v>255</v>
      </c>
      <c r="H15" s="14" t="s">
        <v>256</v>
      </c>
      <c r="I15" s="16" t="s">
        <v>106</v>
      </c>
      <c r="J15" s="14" t="s">
        <v>257</v>
      </c>
      <c r="K15" s="14" t="s">
        <v>258</v>
      </c>
      <c r="L15" s="14" t="s">
        <v>259</v>
      </c>
      <c r="M15" s="14" t="s">
        <v>260</v>
      </c>
      <c r="N15" s="14" t="s">
        <v>261</v>
      </c>
      <c r="O15" s="14" t="s">
        <v>262</v>
      </c>
      <c r="P15" s="10" t="s">
        <v>263</v>
      </c>
    </row>
    <row r="16" customFormat="false" ht="91.5" hidden="false" customHeight="true" outlineLevel="0" collapsed="false">
      <c r="A16" s="17" t="s">
        <v>264</v>
      </c>
      <c r="B16" s="17" t="s">
        <v>215</v>
      </c>
      <c r="C16" s="8" t="s">
        <v>265</v>
      </c>
      <c r="D16" s="16" t="n">
        <v>10</v>
      </c>
      <c r="E16" s="14" t="s">
        <v>102</v>
      </c>
      <c r="F16" s="14" t="s">
        <v>266</v>
      </c>
      <c r="G16" s="14" t="s">
        <v>267</v>
      </c>
      <c r="H16" s="14" t="s">
        <v>268</v>
      </c>
      <c r="I16" s="16" t="s">
        <v>220</v>
      </c>
      <c r="J16" s="14" t="s">
        <v>269</v>
      </c>
      <c r="K16" s="14" t="s">
        <v>270</v>
      </c>
      <c r="L16" s="14" t="s">
        <v>271</v>
      </c>
      <c r="M16" s="14" t="s">
        <v>272</v>
      </c>
      <c r="N16" s="14" t="s">
        <v>273</v>
      </c>
      <c r="O16" s="14" t="s">
        <v>274</v>
      </c>
      <c r="P16" s="10" t="s">
        <v>275</v>
      </c>
    </row>
    <row r="17" customFormat="false" ht="91.5" hidden="false" customHeight="true" outlineLevel="0" collapsed="false">
      <c r="A17" s="17" t="s">
        <v>276</v>
      </c>
      <c r="B17" s="17" t="s">
        <v>215</v>
      </c>
      <c r="C17" s="8" t="s">
        <v>277</v>
      </c>
      <c r="D17" s="16" t="n">
        <v>8</v>
      </c>
      <c r="E17" s="14" t="s">
        <v>102</v>
      </c>
      <c r="F17" s="14" t="s">
        <v>278</v>
      </c>
      <c r="G17" s="14" t="s">
        <v>279</v>
      </c>
      <c r="H17" s="14" t="s">
        <v>268</v>
      </c>
      <c r="I17" s="16" t="s">
        <v>220</v>
      </c>
      <c r="J17" s="14" t="s">
        <v>280</v>
      </c>
      <c r="K17" s="14" t="s">
        <v>281</v>
      </c>
      <c r="L17" s="14" t="s">
        <v>282</v>
      </c>
      <c r="M17" s="14" t="s">
        <v>283</v>
      </c>
      <c r="N17" s="14" t="s">
        <v>284</v>
      </c>
      <c r="O17" s="14" t="s">
        <v>285</v>
      </c>
      <c r="P17" s="10" t="s">
        <v>286</v>
      </c>
    </row>
    <row r="18" customFormat="false" ht="91.5" hidden="false" customHeight="true" outlineLevel="0" collapsed="false">
      <c r="A18" s="17" t="s">
        <v>287</v>
      </c>
      <c r="B18" s="17" t="s">
        <v>215</v>
      </c>
      <c r="C18" s="8" t="s">
        <v>288</v>
      </c>
      <c r="D18" s="16" t="n">
        <v>6</v>
      </c>
      <c r="E18" s="14" t="s">
        <v>102</v>
      </c>
      <c r="F18" s="14" t="s">
        <v>289</v>
      </c>
      <c r="G18" s="14" t="s">
        <v>290</v>
      </c>
      <c r="H18" s="14" t="s">
        <v>268</v>
      </c>
      <c r="I18" s="16" t="s">
        <v>220</v>
      </c>
      <c r="J18" s="14"/>
      <c r="K18" s="14" t="s">
        <v>291</v>
      </c>
      <c r="L18" s="14" t="s">
        <v>292</v>
      </c>
      <c r="M18" s="14" t="s">
        <v>293</v>
      </c>
      <c r="N18" s="14" t="s">
        <v>294</v>
      </c>
      <c r="O18" s="14" t="s">
        <v>295</v>
      </c>
      <c r="P18" s="10"/>
    </row>
    <row r="19" customFormat="false" ht="91.5" hidden="false" customHeight="true" outlineLevel="0" collapsed="false">
      <c r="A19" s="17" t="s">
        <v>197</v>
      </c>
      <c r="B19" s="17" t="s">
        <v>215</v>
      </c>
      <c r="C19" s="8" t="s">
        <v>296</v>
      </c>
      <c r="D19" s="16" t="n">
        <v>10</v>
      </c>
      <c r="E19" s="14" t="s">
        <v>102</v>
      </c>
      <c r="F19" s="14" t="s">
        <v>297</v>
      </c>
      <c r="G19" s="14" t="s">
        <v>298</v>
      </c>
      <c r="H19" s="14" t="s">
        <v>219</v>
      </c>
      <c r="I19" s="16" t="s">
        <v>106</v>
      </c>
      <c r="J19" s="14" t="s">
        <v>193</v>
      </c>
      <c r="K19" s="14" t="s">
        <v>299</v>
      </c>
      <c r="L19" s="14" t="s">
        <v>300</v>
      </c>
      <c r="M19" s="14" t="s">
        <v>301</v>
      </c>
      <c r="N19" s="14" t="s">
        <v>302</v>
      </c>
      <c r="O19" s="14" t="s">
        <v>303</v>
      </c>
      <c r="P19" s="10"/>
    </row>
    <row r="20" customFormat="false" ht="91.5" hidden="false" customHeight="true" outlineLevel="0" collapsed="false">
      <c r="A20" s="17" t="s">
        <v>304</v>
      </c>
      <c r="B20" s="17" t="s">
        <v>215</v>
      </c>
      <c r="C20" s="8" t="s">
        <v>305</v>
      </c>
      <c r="D20" s="16" t="n">
        <v>8</v>
      </c>
      <c r="E20" s="14" t="s">
        <v>102</v>
      </c>
      <c r="F20" s="14" t="s">
        <v>306</v>
      </c>
      <c r="G20" s="14" t="s">
        <v>307</v>
      </c>
      <c r="H20" s="14" t="s">
        <v>308</v>
      </c>
      <c r="I20" s="16" t="s">
        <v>220</v>
      </c>
      <c r="J20" s="14" t="s">
        <v>214</v>
      </c>
      <c r="K20" s="14" t="s">
        <v>309</v>
      </c>
      <c r="L20" s="14" t="s">
        <v>310</v>
      </c>
      <c r="M20" s="14" t="s">
        <v>311</v>
      </c>
      <c r="N20" s="14" t="s">
        <v>312</v>
      </c>
      <c r="O20" s="14" t="s">
        <v>313</v>
      </c>
      <c r="P20" s="10"/>
    </row>
    <row r="21" customFormat="false" ht="91.5" hidden="false" customHeight="true" outlineLevel="0" collapsed="false">
      <c r="A21" s="17" t="s">
        <v>314</v>
      </c>
      <c r="B21" s="17" t="s">
        <v>215</v>
      </c>
      <c r="C21" s="8" t="s">
        <v>315</v>
      </c>
      <c r="D21" s="16" t="n">
        <v>8</v>
      </c>
      <c r="E21" s="14" t="s">
        <v>102</v>
      </c>
      <c r="F21" s="14" t="s">
        <v>316</v>
      </c>
      <c r="G21" s="14" t="s">
        <v>317</v>
      </c>
      <c r="H21" s="14" t="s">
        <v>268</v>
      </c>
      <c r="I21" s="16" t="s">
        <v>220</v>
      </c>
      <c r="J21" s="14" t="s">
        <v>318</v>
      </c>
      <c r="K21" s="14" t="s">
        <v>319</v>
      </c>
      <c r="L21" s="14" t="s">
        <v>320</v>
      </c>
      <c r="M21" s="14" t="s">
        <v>321</v>
      </c>
      <c r="N21" s="14" t="s">
        <v>322</v>
      </c>
      <c r="O21" s="14" t="s">
        <v>323</v>
      </c>
      <c r="P21" s="10"/>
    </row>
    <row r="22" customFormat="false" ht="91.5" hidden="false" customHeight="true" outlineLevel="0" collapsed="false">
      <c r="A22" s="18" t="s">
        <v>324</v>
      </c>
      <c r="B22" s="18" t="s">
        <v>325</v>
      </c>
      <c r="C22" s="8" t="s">
        <v>326</v>
      </c>
      <c r="D22" s="16" t="n">
        <v>12</v>
      </c>
      <c r="E22" s="14" t="s">
        <v>102</v>
      </c>
      <c r="F22" s="14" t="s">
        <v>327</v>
      </c>
      <c r="G22" s="14" t="s">
        <v>328</v>
      </c>
      <c r="H22" s="14" t="s">
        <v>329</v>
      </c>
      <c r="I22" s="16" t="s">
        <v>106</v>
      </c>
      <c r="J22" s="14" t="s">
        <v>330</v>
      </c>
      <c r="K22" s="14" t="s">
        <v>331</v>
      </c>
      <c r="L22" s="14" t="s">
        <v>332</v>
      </c>
      <c r="M22" s="14" t="s">
        <v>333</v>
      </c>
      <c r="N22" s="14" t="s">
        <v>334</v>
      </c>
      <c r="O22" s="14" t="s">
        <v>335</v>
      </c>
      <c r="P22" s="10" t="s">
        <v>336</v>
      </c>
    </row>
    <row r="23" customFormat="false" ht="91.5" hidden="false" customHeight="true" outlineLevel="0" collapsed="false">
      <c r="A23" s="18" t="s">
        <v>337</v>
      </c>
      <c r="B23" s="18" t="s">
        <v>325</v>
      </c>
      <c r="C23" s="8" t="s">
        <v>338</v>
      </c>
      <c r="D23" s="16" t="n">
        <v>12</v>
      </c>
      <c r="E23" s="14" t="s">
        <v>102</v>
      </c>
      <c r="F23" s="14" t="s">
        <v>339</v>
      </c>
      <c r="G23" s="14" t="s">
        <v>340</v>
      </c>
      <c r="H23" s="14" t="s">
        <v>140</v>
      </c>
      <c r="I23" s="16" t="s">
        <v>106</v>
      </c>
      <c r="J23" s="14" t="s">
        <v>341</v>
      </c>
      <c r="K23" s="14" t="s">
        <v>342</v>
      </c>
      <c r="L23" s="14" t="s">
        <v>343</v>
      </c>
      <c r="M23" s="14" t="s">
        <v>344</v>
      </c>
      <c r="N23" s="14" t="s">
        <v>345</v>
      </c>
      <c r="O23" s="14" t="s">
        <v>346</v>
      </c>
      <c r="P23" s="10" t="s">
        <v>347</v>
      </c>
    </row>
    <row r="24" customFormat="false" ht="91.5" hidden="false" customHeight="true" outlineLevel="0" collapsed="false">
      <c r="A24" s="18" t="s">
        <v>348</v>
      </c>
      <c r="B24" s="18" t="s">
        <v>325</v>
      </c>
      <c r="C24" s="8" t="s">
        <v>349</v>
      </c>
      <c r="D24" s="16" t="n">
        <v>9</v>
      </c>
      <c r="E24" s="14" t="s">
        <v>102</v>
      </c>
      <c r="F24" s="14" t="s">
        <v>350</v>
      </c>
      <c r="G24" s="14" t="s">
        <v>351</v>
      </c>
      <c r="H24" s="14" t="s">
        <v>352</v>
      </c>
      <c r="I24" s="16" t="s">
        <v>106</v>
      </c>
      <c r="J24" s="14" t="s">
        <v>353</v>
      </c>
      <c r="K24" s="14" t="s">
        <v>354</v>
      </c>
      <c r="L24" s="14" t="s">
        <v>355</v>
      </c>
      <c r="M24" s="14" t="s">
        <v>356</v>
      </c>
      <c r="N24" s="14" t="s">
        <v>357</v>
      </c>
      <c r="O24" s="14" t="s">
        <v>358</v>
      </c>
      <c r="P24" s="10"/>
    </row>
    <row r="25" customFormat="false" ht="91.5" hidden="false" customHeight="true" outlineLevel="0" collapsed="false">
      <c r="A25" s="18" t="s">
        <v>280</v>
      </c>
      <c r="B25" s="18" t="s">
        <v>325</v>
      </c>
      <c r="C25" s="8" t="s">
        <v>359</v>
      </c>
      <c r="D25" s="16" t="n">
        <v>10</v>
      </c>
      <c r="E25" s="14" t="s">
        <v>102</v>
      </c>
      <c r="F25" s="14" t="s">
        <v>360</v>
      </c>
      <c r="G25" s="14" t="s">
        <v>361</v>
      </c>
      <c r="H25" s="14" t="s">
        <v>362</v>
      </c>
      <c r="I25" s="16" t="s">
        <v>106</v>
      </c>
      <c r="J25" s="14" t="s">
        <v>363</v>
      </c>
      <c r="K25" s="14" t="s">
        <v>364</v>
      </c>
      <c r="L25" s="14" t="s">
        <v>365</v>
      </c>
      <c r="M25" s="14" t="s">
        <v>366</v>
      </c>
      <c r="N25" s="14" t="s">
        <v>367</v>
      </c>
      <c r="O25" s="14" t="s">
        <v>368</v>
      </c>
      <c r="P25" s="10"/>
    </row>
    <row r="26" customFormat="false" ht="91.5" hidden="false" customHeight="true" outlineLevel="0" collapsed="false">
      <c r="A26" s="18" t="s">
        <v>369</v>
      </c>
      <c r="B26" s="18" t="s">
        <v>325</v>
      </c>
      <c r="C26" s="8" t="s">
        <v>370</v>
      </c>
      <c r="D26" s="16" t="n">
        <v>10</v>
      </c>
      <c r="E26" s="14" t="s">
        <v>102</v>
      </c>
      <c r="F26" s="14" t="s">
        <v>371</v>
      </c>
      <c r="G26" s="14" t="s">
        <v>372</v>
      </c>
      <c r="H26" s="14" t="s">
        <v>373</v>
      </c>
      <c r="I26" s="16" t="s">
        <v>374</v>
      </c>
      <c r="J26" s="14" t="s">
        <v>375</v>
      </c>
      <c r="K26" s="14" t="s">
        <v>376</v>
      </c>
      <c r="L26" s="14" t="s">
        <v>377</v>
      </c>
      <c r="M26" s="14" t="s">
        <v>378</v>
      </c>
      <c r="N26" s="14" t="s">
        <v>379</v>
      </c>
      <c r="O26" s="14" t="s">
        <v>380</v>
      </c>
      <c r="P26" s="10" t="s">
        <v>381</v>
      </c>
    </row>
    <row r="27" customFormat="false" ht="91.5" hidden="false" customHeight="true" outlineLevel="0" collapsed="false">
      <c r="A27" s="18" t="s">
        <v>382</v>
      </c>
      <c r="B27" s="18" t="s">
        <v>325</v>
      </c>
      <c r="C27" s="8" t="s">
        <v>383</v>
      </c>
      <c r="D27" s="16" t="n">
        <v>8</v>
      </c>
      <c r="E27" s="14" t="s">
        <v>102</v>
      </c>
      <c r="F27" s="14" t="s">
        <v>384</v>
      </c>
      <c r="G27" s="14" t="s">
        <v>385</v>
      </c>
      <c r="H27" s="14" t="s">
        <v>329</v>
      </c>
      <c r="I27" s="16" t="s">
        <v>106</v>
      </c>
      <c r="J27" s="14" t="s">
        <v>386</v>
      </c>
      <c r="K27" s="14" t="s">
        <v>387</v>
      </c>
      <c r="L27" s="14" t="s">
        <v>388</v>
      </c>
      <c r="M27" s="14" t="s">
        <v>389</v>
      </c>
      <c r="N27" s="14" t="s">
        <v>390</v>
      </c>
      <c r="O27" s="14" t="s">
        <v>391</v>
      </c>
      <c r="P27" s="10"/>
    </row>
    <row r="28" customFormat="false" ht="91.5" hidden="false" customHeight="true" outlineLevel="0" collapsed="false">
      <c r="A28" s="18" t="s">
        <v>392</v>
      </c>
      <c r="B28" s="18" t="s">
        <v>325</v>
      </c>
      <c r="C28" s="8" t="s">
        <v>393</v>
      </c>
      <c r="D28" s="16" t="n">
        <v>8</v>
      </c>
      <c r="E28" s="14" t="s">
        <v>102</v>
      </c>
      <c r="F28" s="14" t="s">
        <v>394</v>
      </c>
      <c r="G28" s="14" t="s">
        <v>395</v>
      </c>
      <c r="H28" s="14" t="s">
        <v>396</v>
      </c>
      <c r="I28" s="16" t="s">
        <v>106</v>
      </c>
      <c r="J28" s="14" t="s">
        <v>382</v>
      </c>
      <c r="K28" s="14" t="s">
        <v>397</v>
      </c>
      <c r="L28" s="14" t="s">
        <v>398</v>
      </c>
      <c r="M28" s="14" t="s">
        <v>399</v>
      </c>
      <c r="N28" s="14" t="s">
        <v>400</v>
      </c>
      <c r="O28" s="14" t="s">
        <v>401</v>
      </c>
      <c r="P28" s="10" t="s">
        <v>402</v>
      </c>
    </row>
    <row r="29" customFormat="false" ht="91.5" hidden="false" customHeight="true" outlineLevel="0" collapsed="false">
      <c r="A29" s="18" t="s">
        <v>403</v>
      </c>
      <c r="B29" s="18" t="s">
        <v>325</v>
      </c>
      <c r="C29" s="8" t="s">
        <v>404</v>
      </c>
      <c r="D29" s="16" t="n">
        <v>6</v>
      </c>
      <c r="E29" s="14" t="s">
        <v>102</v>
      </c>
      <c r="F29" s="14" t="s">
        <v>405</v>
      </c>
      <c r="G29" s="14" t="s">
        <v>406</v>
      </c>
      <c r="H29" s="14" t="s">
        <v>268</v>
      </c>
      <c r="I29" s="16" t="s">
        <v>374</v>
      </c>
      <c r="J29" s="14"/>
      <c r="K29" s="14" t="s">
        <v>291</v>
      </c>
      <c r="L29" s="14" t="s">
        <v>407</v>
      </c>
      <c r="M29" s="14" t="s">
        <v>408</v>
      </c>
      <c r="N29" s="14" t="s">
        <v>409</v>
      </c>
      <c r="O29" s="14" t="s">
        <v>410</v>
      </c>
      <c r="P29" s="10" t="s">
        <v>411</v>
      </c>
    </row>
    <row r="30" customFormat="false" ht="91.5" hidden="false" customHeight="true" outlineLevel="0" collapsed="false">
      <c r="A30" s="18" t="s">
        <v>412</v>
      </c>
      <c r="B30" s="18" t="s">
        <v>325</v>
      </c>
      <c r="C30" s="8" t="s">
        <v>413</v>
      </c>
      <c r="D30" s="16" t="n">
        <v>7</v>
      </c>
      <c r="E30" s="14" t="s">
        <v>102</v>
      </c>
      <c r="F30" s="14" t="s">
        <v>414</v>
      </c>
      <c r="G30" s="14" t="s">
        <v>415</v>
      </c>
      <c r="H30" s="14" t="s">
        <v>268</v>
      </c>
      <c r="I30" s="16" t="s">
        <v>220</v>
      </c>
      <c r="J30" s="14" t="s">
        <v>416</v>
      </c>
      <c r="K30" s="14" t="s">
        <v>417</v>
      </c>
      <c r="L30" s="14" t="s">
        <v>418</v>
      </c>
      <c r="M30" s="14" t="s">
        <v>419</v>
      </c>
      <c r="N30" s="14" t="s">
        <v>420</v>
      </c>
      <c r="O30" s="14" t="s">
        <v>421</v>
      </c>
      <c r="P30" s="10"/>
    </row>
    <row r="31" customFormat="false" ht="91.5" hidden="false" customHeight="true" outlineLevel="0" collapsed="false">
      <c r="A31" s="18" t="s">
        <v>422</v>
      </c>
      <c r="B31" s="18" t="s">
        <v>325</v>
      </c>
      <c r="C31" s="8" t="s">
        <v>423</v>
      </c>
      <c r="D31" s="16" t="n">
        <v>8</v>
      </c>
      <c r="E31" s="14" t="s">
        <v>102</v>
      </c>
      <c r="F31" s="14" t="s">
        <v>424</v>
      </c>
      <c r="G31" s="14" t="s">
        <v>425</v>
      </c>
      <c r="H31" s="14" t="s">
        <v>268</v>
      </c>
      <c r="I31" s="16" t="s">
        <v>106</v>
      </c>
      <c r="J31" s="14" t="s">
        <v>426</v>
      </c>
      <c r="K31" s="14" t="s">
        <v>427</v>
      </c>
      <c r="L31" s="14" t="s">
        <v>428</v>
      </c>
      <c r="M31" s="14" t="s">
        <v>429</v>
      </c>
      <c r="N31" s="14" t="s">
        <v>430</v>
      </c>
      <c r="O31" s="14" t="s">
        <v>431</v>
      </c>
      <c r="P31" s="10" t="s">
        <v>432</v>
      </c>
    </row>
    <row r="32" customFormat="false" ht="91.5" hidden="false" customHeight="true" outlineLevel="0" collapsed="false">
      <c r="A32" s="18" t="s">
        <v>433</v>
      </c>
      <c r="B32" s="18" t="s">
        <v>325</v>
      </c>
      <c r="C32" s="8" t="s">
        <v>434</v>
      </c>
      <c r="D32" s="16" t="n">
        <v>5</v>
      </c>
      <c r="E32" s="14" t="s">
        <v>102</v>
      </c>
      <c r="F32" s="14" t="s">
        <v>435</v>
      </c>
      <c r="G32" s="14" t="s">
        <v>436</v>
      </c>
      <c r="H32" s="14" t="s">
        <v>437</v>
      </c>
      <c r="I32" s="16" t="s">
        <v>374</v>
      </c>
      <c r="J32" s="14" t="s">
        <v>438</v>
      </c>
      <c r="K32" s="14" t="s">
        <v>376</v>
      </c>
      <c r="L32" s="14" t="s">
        <v>439</v>
      </c>
      <c r="M32" s="14" t="s">
        <v>440</v>
      </c>
      <c r="N32" s="14" t="s">
        <v>441</v>
      </c>
      <c r="O32" s="14" t="s">
        <v>442</v>
      </c>
      <c r="P32" s="10" t="s">
        <v>443</v>
      </c>
    </row>
    <row r="33" customFormat="false" ht="91.5" hidden="false" customHeight="true" outlineLevel="0" collapsed="false">
      <c r="A33" s="18" t="s">
        <v>444</v>
      </c>
      <c r="B33" s="18" t="s">
        <v>325</v>
      </c>
      <c r="C33" s="8" t="s">
        <v>445</v>
      </c>
      <c r="D33" s="16" t="n">
        <v>5</v>
      </c>
      <c r="E33" s="14" t="s">
        <v>150</v>
      </c>
      <c r="F33" s="14" t="s">
        <v>446</v>
      </c>
      <c r="G33" s="14" t="s">
        <v>447</v>
      </c>
      <c r="H33" s="14" t="s">
        <v>396</v>
      </c>
      <c r="I33" s="16" t="s">
        <v>106</v>
      </c>
      <c r="J33" s="14" t="s">
        <v>448</v>
      </c>
      <c r="K33" s="14" t="s">
        <v>449</v>
      </c>
      <c r="L33" s="14" t="s">
        <v>450</v>
      </c>
      <c r="M33" s="14" t="s">
        <v>451</v>
      </c>
      <c r="N33" s="14" t="s">
        <v>452</v>
      </c>
      <c r="O33" s="14" t="s">
        <v>453</v>
      </c>
      <c r="P33" s="10" t="s">
        <v>454</v>
      </c>
    </row>
    <row r="34" customFormat="false" ht="91.5" hidden="false" customHeight="true" outlineLevel="0" collapsed="false">
      <c r="A34" s="19" t="s">
        <v>455</v>
      </c>
      <c r="B34" s="19" t="s">
        <v>456</v>
      </c>
      <c r="C34" s="8" t="s">
        <v>457</v>
      </c>
      <c r="D34" s="16" t="n">
        <v>12</v>
      </c>
      <c r="E34" s="14" t="s">
        <v>102</v>
      </c>
      <c r="F34" s="14" t="s">
        <v>458</v>
      </c>
      <c r="G34" s="14" t="s">
        <v>459</v>
      </c>
      <c r="H34" s="14" t="s">
        <v>308</v>
      </c>
      <c r="I34" s="16" t="s">
        <v>220</v>
      </c>
      <c r="J34" s="14" t="s">
        <v>460</v>
      </c>
      <c r="K34" s="14" t="s">
        <v>461</v>
      </c>
      <c r="L34" s="14" t="s">
        <v>462</v>
      </c>
      <c r="M34" s="14" t="s">
        <v>463</v>
      </c>
      <c r="N34" s="14" t="s">
        <v>464</v>
      </c>
      <c r="O34" s="14" t="s">
        <v>465</v>
      </c>
      <c r="P34" s="10" t="s">
        <v>466</v>
      </c>
    </row>
    <row r="35" customFormat="false" ht="91.5" hidden="false" customHeight="true" outlineLevel="0" collapsed="false">
      <c r="A35" s="19" t="s">
        <v>460</v>
      </c>
      <c r="B35" s="19" t="s">
        <v>456</v>
      </c>
      <c r="C35" s="8" t="s">
        <v>467</v>
      </c>
      <c r="D35" s="16" t="n">
        <v>14</v>
      </c>
      <c r="E35" s="14" t="s">
        <v>102</v>
      </c>
      <c r="F35" s="14" t="s">
        <v>468</v>
      </c>
      <c r="G35" s="14" t="s">
        <v>469</v>
      </c>
      <c r="H35" s="14" t="s">
        <v>308</v>
      </c>
      <c r="I35" s="16" t="s">
        <v>106</v>
      </c>
      <c r="J35" s="14" t="s">
        <v>470</v>
      </c>
      <c r="K35" s="14" t="s">
        <v>471</v>
      </c>
      <c r="L35" s="14" t="s">
        <v>472</v>
      </c>
      <c r="M35" s="14" t="s">
        <v>473</v>
      </c>
      <c r="N35" s="14" t="s">
        <v>474</v>
      </c>
      <c r="O35" s="14" t="s">
        <v>475</v>
      </c>
      <c r="P35" s="10"/>
    </row>
    <row r="36" customFormat="false" ht="91.5" hidden="false" customHeight="true" outlineLevel="0" collapsed="false">
      <c r="A36" s="19" t="s">
        <v>476</v>
      </c>
      <c r="B36" s="19" t="s">
        <v>456</v>
      </c>
      <c r="C36" s="8" t="s">
        <v>477</v>
      </c>
      <c r="D36" s="16" t="n">
        <v>10</v>
      </c>
      <c r="E36" s="14" t="s">
        <v>102</v>
      </c>
      <c r="F36" s="14" t="s">
        <v>478</v>
      </c>
      <c r="G36" s="14" t="s">
        <v>479</v>
      </c>
      <c r="H36" s="14" t="s">
        <v>480</v>
      </c>
      <c r="I36" s="16" t="s">
        <v>106</v>
      </c>
      <c r="J36" s="14" t="s">
        <v>433</v>
      </c>
      <c r="K36" s="14" t="s">
        <v>481</v>
      </c>
      <c r="L36" s="14" t="s">
        <v>482</v>
      </c>
      <c r="M36" s="14" t="s">
        <v>483</v>
      </c>
      <c r="N36" s="14" t="s">
        <v>484</v>
      </c>
      <c r="O36" s="14" t="s">
        <v>485</v>
      </c>
      <c r="P36" s="10"/>
    </row>
    <row r="37" customFormat="false" ht="91.5" hidden="false" customHeight="true" outlineLevel="0" collapsed="false">
      <c r="A37" s="19" t="s">
        <v>353</v>
      </c>
      <c r="B37" s="19" t="s">
        <v>456</v>
      </c>
      <c r="C37" s="8" t="s">
        <v>486</v>
      </c>
      <c r="D37" s="16" t="n">
        <v>6</v>
      </c>
      <c r="E37" s="14" t="s">
        <v>102</v>
      </c>
      <c r="F37" s="14" t="s">
        <v>487</v>
      </c>
      <c r="G37" s="14" t="s">
        <v>488</v>
      </c>
      <c r="H37" s="14" t="s">
        <v>489</v>
      </c>
      <c r="I37" s="16" t="s">
        <v>374</v>
      </c>
      <c r="J37" s="14" t="s">
        <v>490</v>
      </c>
      <c r="K37" s="14" t="s">
        <v>331</v>
      </c>
      <c r="L37" s="14" t="s">
        <v>491</v>
      </c>
      <c r="M37" s="14" t="s">
        <v>492</v>
      </c>
      <c r="N37" s="14" t="s">
        <v>493</v>
      </c>
      <c r="O37" s="14" t="s">
        <v>494</v>
      </c>
      <c r="P37" s="10"/>
    </row>
    <row r="38" customFormat="false" ht="91.5" hidden="false" customHeight="true" outlineLevel="0" collapsed="false">
      <c r="A38" s="19" t="s">
        <v>495</v>
      </c>
      <c r="B38" s="19" t="s">
        <v>456</v>
      </c>
      <c r="C38" s="8" t="s">
        <v>496</v>
      </c>
      <c r="D38" s="16" t="n">
        <v>14</v>
      </c>
      <c r="E38" s="14" t="s">
        <v>102</v>
      </c>
      <c r="F38" s="14" t="s">
        <v>497</v>
      </c>
      <c r="G38" s="14" t="s">
        <v>498</v>
      </c>
      <c r="H38" s="14" t="s">
        <v>233</v>
      </c>
      <c r="I38" s="16" t="s">
        <v>220</v>
      </c>
      <c r="J38" s="14" t="s">
        <v>499</v>
      </c>
      <c r="K38" s="14" t="s">
        <v>500</v>
      </c>
      <c r="L38" s="14" t="s">
        <v>501</v>
      </c>
      <c r="M38" s="14" t="s">
        <v>502</v>
      </c>
      <c r="N38" s="14" t="s">
        <v>503</v>
      </c>
      <c r="O38" s="14" t="s">
        <v>504</v>
      </c>
      <c r="P38" s="10"/>
    </row>
    <row r="39" customFormat="false" ht="91.5" hidden="false" customHeight="true" outlineLevel="0" collapsed="false">
      <c r="A39" s="19" t="s">
        <v>245</v>
      </c>
      <c r="B39" s="19" t="s">
        <v>456</v>
      </c>
      <c r="C39" s="8" t="s">
        <v>505</v>
      </c>
      <c r="D39" s="16" t="n">
        <v>12</v>
      </c>
      <c r="E39" s="14" t="s">
        <v>102</v>
      </c>
      <c r="F39" s="14" t="s">
        <v>506</v>
      </c>
      <c r="G39" s="14" t="s">
        <v>507</v>
      </c>
      <c r="H39" s="14" t="s">
        <v>233</v>
      </c>
      <c r="I39" s="16" t="s">
        <v>220</v>
      </c>
      <c r="J39" s="14" t="s">
        <v>508</v>
      </c>
      <c r="K39" s="14" t="s">
        <v>509</v>
      </c>
      <c r="L39" s="14" t="s">
        <v>510</v>
      </c>
      <c r="M39" s="14" t="s">
        <v>511</v>
      </c>
      <c r="N39" s="14" t="s">
        <v>512</v>
      </c>
      <c r="O39" s="14" t="s">
        <v>513</v>
      </c>
      <c r="P39" s="10"/>
    </row>
    <row r="40" customFormat="false" ht="91.5" hidden="false" customHeight="true" outlineLevel="0" collapsed="false">
      <c r="A40" s="19" t="s">
        <v>514</v>
      </c>
      <c r="B40" s="19" t="s">
        <v>456</v>
      </c>
      <c r="C40" s="8" t="s">
        <v>515</v>
      </c>
      <c r="D40" s="16" t="n">
        <v>12</v>
      </c>
      <c r="E40" s="14" t="s">
        <v>102</v>
      </c>
      <c r="F40" s="14" t="s">
        <v>516</v>
      </c>
      <c r="G40" s="14" t="s">
        <v>517</v>
      </c>
      <c r="H40" s="14" t="s">
        <v>233</v>
      </c>
      <c r="I40" s="16" t="s">
        <v>220</v>
      </c>
      <c r="J40" s="14" t="s">
        <v>204</v>
      </c>
      <c r="K40" s="14" t="s">
        <v>518</v>
      </c>
      <c r="L40" s="14" t="s">
        <v>519</v>
      </c>
      <c r="M40" s="14" t="s">
        <v>520</v>
      </c>
      <c r="N40" s="14" t="s">
        <v>521</v>
      </c>
      <c r="O40" s="14" t="s">
        <v>522</v>
      </c>
      <c r="P40" s="10" t="s">
        <v>523</v>
      </c>
    </row>
    <row r="41" customFormat="false" ht="91.5" hidden="false" customHeight="true" outlineLevel="0" collapsed="false">
      <c r="A41" s="19" t="s">
        <v>524</v>
      </c>
      <c r="B41" s="19" t="s">
        <v>456</v>
      </c>
      <c r="C41" s="8" t="s">
        <v>525</v>
      </c>
      <c r="D41" s="16" t="n">
        <v>10</v>
      </c>
      <c r="E41" s="14" t="s">
        <v>102</v>
      </c>
      <c r="F41" s="14" t="s">
        <v>526</v>
      </c>
      <c r="G41" s="14" t="s">
        <v>527</v>
      </c>
      <c r="H41" s="14" t="s">
        <v>528</v>
      </c>
      <c r="I41" s="16" t="s">
        <v>374</v>
      </c>
      <c r="J41" s="14" t="s">
        <v>369</v>
      </c>
      <c r="K41" s="14" t="s">
        <v>529</v>
      </c>
      <c r="L41" s="14" t="s">
        <v>530</v>
      </c>
      <c r="M41" s="14" t="s">
        <v>531</v>
      </c>
      <c r="N41" s="14" t="s">
        <v>532</v>
      </c>
      <c r="O41" s="14" t="s">
        <v>533</v>
      </c>
      <c r="P41" s="10"/>
    </row>
    <row r="42" customFormat="false" ht="91.5" hidden="false" customHeight="true" outlineLevel="0" collapsed="false">
      <c r="A42" s="19" t="s">
        <v>534</v>
      </c>
      <c r="B42" s="19" t="s">
        <v>456</v>
      </c>
      <c r="C42" s="8" t="s">
        <v>535</v>
      </c>
      <c r="D42" s="16" t="n">
        <v>10</v>
      </c>
      <c r="E42" s="14" t="s">
        <v>102</v>
      </c>
      <c r="F42" s="14" t="s">
        <v>536</v>
      </c>
      <c r="G42" s="14" t="s">
        <v>537</v>
      </c>
      <c r="H42" s="14" t="s">
        <v>480</v>
      </c>
      <c r="I42" s="16" t="s">
        <v>220</v>
      </c>
      <c r="J42" s="14" t="s">
        <v>538</v>
      </c>
      <c r="K42" s="14" t="s">
        <v>539</v>
      </c>
      <c r="L42" s="14" t="s">
        <v>540</v>
      </c>
      <c r="M42" s="14" t="s">
        <v>541</v>
      </c>
      <c r="N42" s="14" t="s">
        <v>542</v>
      </c>
      <c r="O42" s="14" t="s">
        <v>543</v>
      </c>
      <c r="P42" s="10"/>
    </row>
  </sheetData>
  <autoFilter ref="A1:P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107"/>
    <pageSetUpPr fitToPage="false"/>
  </sheetPr>
  <dimension ref="A1:W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9" min="6" style="0" width="9"/>
    <col collapsed="false" customWidth="true" hidden="false" outlineLevel="0" max="11" min="10" style="0" width="10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7" min="16" style="0" width="11"/>
    <col collapsed="false" customWidth="true" hidden="false" outlineLevel="0" max="18" min="18" style="0" width="12"/>
    <col collapsed="false" customWidth="true" hidden="false" outlineLevel="0" max="19" min="19" style="0" width="48"/>
    <col collapsed="false" customWidth="true" hidden="false" outlineLevel="0" max="20" min="20" style="0" width="16"/>
    <col collapsed="false" customWidth="true" hidden="false" outlineLevel="0" max="22" min="21" style="0" width="30"/>
    <col collapsed="false" customWidth="true" hidden="false" outlineLevel="0" max="23" min="23" style="0" width="9"/>
  </cols>
  <sheetData>
    <row r="1" customFormat="false" ht="23.85" hidden="false" customHeight="false" outlineLevel="0" collapsed="false">
      <c r="A1" s="7" t="s">
        <v>84</v>
      </c>
      <c r="B1" s="7" t="s">
        <v>85</v>
      </c>
      <c r="C1" s="7" t="s">
        <v>86</v>
      </c>
      <c r="D1" s="7" t="s">
        <v>87</v>
      </c>
      <c r="E1" s="7" t="s">
        <v>544</v>
      </c>
      <c r="F1" s="7" t="s">
        <v>545</v>
      </c>
      <c r="G1" s="7" t="s">
        <v>546</v>
      </c>
      <c r="H1" s="7" t="s">
        <v>547</v>
      </c>
      <c r="I1" s="7" t="s">
        <v>548</v>
      </c>
      <c r="J1" s="7" t="s">
        <v>549</v>
      </c>
      <c r="K1" s="7" t="s">
        <v>550</v>
      </c>
      <c r="L1" s="7" t="s">
        <v>551</v>
      </c>
      <c r="M1" s="7" t="s">
        <v>552</v>
      </c>
      <c r="N1" s="7" t="s">
        <v>553</v>
      </c>
      <c r="O1" s="7" t="s">
        <v>554</v>
      </c>
      <c r="P1" s="7" t="s">
        <v>555</v>
      </c>
      <c r="Q1" s="7" t="s">
        <v>556</v>
      </c>
      <c r="R1" s="7" t="s">
        <v>557</v>
      </c>
      <c r="S1" s="7" t="s">
        <v>558</v>
      </c>
      <c r="T1" s="7" t="s">
        <v>559</v>
      </c>
      <c r="U1" s="7" t="s">
        <v>560</v>
      </c>
      <c r="V1" s="7" t="s">
        <v>561</v>
      </c>
      <c r="W1" s="7" t="s">
        <v>562</v>
      </c>
    </row>
    <row r="2" customFormat="false" ht="15" hidden="false" customHeight="false" outlineLevel="0" collapsed="false">
      <c r="A2" s="20" t="str">
        <f aca="false">02_INDICADORES!A2</f>
        <v>F01</v>
      </c>
      <c r="B2" s="20" t="str">
        <f aca="false">02_INDICADORES!B2</f>
        <v>FIN</v>
      </c>
      <c r="C2" s="21" t="str">
        <f aca="false">02_INDICADORES!C2</f>
        <v>Rentabilidad operativa</v>
      </c>
      <c r="D2" s="22" t="n">
        <f aca="false">02_INDICADORES!D2</f>
        <v>14</v>
      </c>
      <c r="E2" s="23"/>
      <c r="F2" s="23"/>
      <c r="G2" s="23"/>
      <c r="H2" s="16" t="n">
        <f aca="false">IF(E2="",0,1)</f>
        <v>0</v>
      </c>
      <c r="I2" s="16" t="n">
        <f aca="false">D2*H2</f>
        <v>0</v>
      </c>
      <c r="J2" s="16" t="n">
        <f aca="false">IF(H2=1,E2*D2,0)</f>
        <v>0</v>
      </c>
      <c r="K2" s="16" t="str">
        <f aca="false">IF(E2="","",IF(E2&lt;=12,0,IF(E2&lt;=37,25,IF(E2&lt;=62,50,IF(E2&lt;=87,75,100)))))</f>
        <v/>
      </c>
      <c r="L2" s="23"/>
      <c r="M2" s="23"/>
      <c r="N2" s="23"/>
      <c r="O2" s="23"/>
      <c r="P2" s="16" t="str">
        <f aca="false">IF(M2="","",INDEX(16_LISTAS!$A$4:$A$8,MAX(1,INDEX(16_LISTAS!$E$4:$E$9,MATCH(M2,16_LISTAS!$D$4:$D$9,0))-IF(N2="",0,IF(N2&lt;=IF(O2="S",18,12),0,IF(N2&lt;=IF(O2="S",30,24),1,2))))))</f>
        <v/>
      </c>
      <c r="Q2" s="23"/>
      <c r="R2" s="16" t="str">
        <f aca="false">IF(E2="","",IF(Q2="","FALTA CONFIANZA",IF(P2="","FALTA NIVEL FUENTE",IF(MATCH(Q2,16_LISTAS!$A$4:$A$8,0)&gt;MATCH(P2,16_LISTAS!$A$4:$A$8,0),"EXCEDE CONF_MAX","OK"))))</f>
        <v/>
      </c>
      <c r="S2" s="9"/>
      <c r="T2" s="9"/>
      <c r="U2" s="9"/>
      <c r="V2" s="9"/>
      <c r="W2" s="24" t="n">
        <f aca="false">IF(Q2="",0,MATCH(Q2,16_LISTAS!$A$4:$A$8,0))</f>
        <v>0</v>
      </c>
    </row>
    <row r="3" customFormat="false" ht="15" hidden="false" customHeight="false" outlineLevel="0" collapsed="false">
      <c r="A3" s="20" t="str">
        <f aca="false">02_INDICADORES!A3</f>
        <v>F02</v>
      </c>
      <c r="B3" s="20" t="str">
        <f aca="false">02_INDICADORES!B3</f>
        <v>FIN</v>
      </c>
      <c r="C3" s="21" t="str">
        <f aca="false">02_INDICADORES!C3</f>
        <v>Evolución de rentabilidad</v>
      </c>
      <c r="D3" s="22" t="n">
        <f aca="false">02_INDICADORES!D3</f>
        <v>8</v>
      </c>
      <c r="E3" s="23"/>
      <c r="F3" s="23"/>
      <c r="G3" s="23"/>
      <c r="H3" s="16" t="n">
        <f aca="false">IF(E3="",0,1)</f>
        <v>0</v>
      </c>
      <c r="I3" s="16" t="n">
        <f aca="false">D3*H3</f>
        <v>0</v>
      </c>
      <c r="J3" s="16" t="n">
        <f aca="false">IF(H3=1,E3*D3,0)</f>
        <v>0</v>
      </c>
      <c r="K3" s="16" t="str">
        <f aca="false">IF(E3="","",IF(E3&lt;=12,0,IF(E3&lt;=37,25,IF(E3&lt;=62,50,IF(E3&lt;=87,75,100)))))</f>
        <v/>
      </c>
      <c r="L3" s="23"/>
      <c r="M3" s="23"/>
      <c r="N3" s="23"/>
      <c r="O3" s="23"/>
      <c r="P3" s="16" t="str">
        <f aca="false">IF(M3="","",INDEX(16_LISTAS!$A$4:$A$8,MAX(1,INDEX(16_LISTAS!$E$4:$E$9,MATCH(M3,16_LISTAS!$D$4:$D$9,0))-IF(N3="",0,IF(N3&lt;=IF(O3="S",18,12),0,IF(N3&lt;=IF(O3="S",30,24),1,2))))))</f>
        <v/>
      </c>
      <c r="Q3" s="23"/>
      <c r="R3" s="16" t="str">
        <f aca="false">IF(E3="","",IF(Q3="","FALTA CONFIANZA",IF(P3="","FALTA NIVEL FUENTE",IF(MATCH(Q3,16_LISTAS!$A$4:$A$8,0)&gt;MATCH(P3,16_LISTAS!$A$4:$A$8,0),"EXCEDE CONF_MAX","OK"))))</f>
        <v/>
      </c>
      <c r="S3" s="9"/>
      <c r="T3" s="9"/>
      <c r="U3" s="9"/>
      <c r="V3" s="9"/>
      <c r="W3" s="24" t="n">
        <f aca="false">IF(Q3="",0,MATCH(Q3,16_LISTAS!$A$4:$A$8,0))</f>
        <v>0</v>
      </c>
    </row>
    <row r="4" customFormat="false" ht="15" hidden="false" customHeight="false" outlineLevel="0" collapsed="false">
      <c r="A4" s="20" t="str">
        <f aca="false">02_INDICADORES!A4</f>
        <v>F03</v>
      </c>
      <c r="B4" s="20" t="str">
        <f aca="false">02_INDICADORES!B4</f>
        <v>FIN</v>
      </c>
      <c r="C4" s="21" t="str">
        <f aca="false">02_INDICADORES!C4</f>
        <v>Generación de caja operativa</v>
      </c>
      <c r="D4" s="22" t="n">
        <f aca="false">02_INDICADORES!D4</f>
        <v>12</v>
      </c>
      <c r="E4" s="23"/>
      <c r="F4" s="23"/>
      <c r="G4" s="23"/>
      <c r="H4" s="16" t="n">
        <f aca="false">IF(E4="",0,1)</f>
        <v>0</v>
      </c>
      <c r="I4" s="16" t="n">
        <f aca="false">D4*H4</f>
        <v>0</v>
      </c>
      <c r="J4" s="16" t="n">
        <f aca="false">IF(H4=1,E4*D4,0)</f>
        <v>0</v>
      </c>
      <c r="K4" s="16" t="str">
        <f aca="false">IF(E4="","",IF(E4&lt;=12,0,IF(E4&lt;=37,25,IF(E4&lt;=62,50,IF(E4&lt;=87,75,100)))))</f>
        <v/>
      </c>
      <c r="L4" s="23"/>
      <c r="M4" s="23"/>
      <c r="N4" s="23"/>
      <c r="O4" s="23"/>
      <c r="P4" s="16" t="str">
        <f aca="false">IF(M4="","",INDEX(16_LISTAS!$A$4:$A$8,MAX(1,INDEX(16_LISTAS!$E$4:$E$9,MATCH(M4,16_LISTAS!$D$4:$D$9,0))-IF(N4="",0,IF(N4&lt;=IF(O4="S",18,12),0,IF(N4&lt;=IF(O4="S",30,24),1,2))))))</f>
        <v/>
      </c>
      <c r="Q4" s="23"/>
      <c r="R4" s="16" t="str">
        <f aca="false">IF(E4="","",IF(Q4="","FALTA CONFIANZA",IF(P4="","FALTA NIVEL FUENTE",IF(MATCH(Q4,16_LISTAS!$A$4:$A$8,0)&gt;MATCH(P4,16_LISTAS!$A$4:$A$8,0),"EXCEDE CONF_MAX","OK"))))</f>
        <v/>
      </c>
      <c r="S4" s="9"/>
      <c r="T4" s="9"/>
      <c r="U4" s="9"/>
      <c r="V4" s="9"/>
      <c r="W4" s="24" t="n">
        <f aca="false">IF(Q4="",0,MATCH(Q4,16_LISTAS!$A$4:$A$8,0))</f>
        <v>0</v>
      </c>
    </row>
    <row r="5" customFormat="false" ht="15" hidden="false" customHeight="false" outlineLevel="0" collapsed="false">
      <c r="A5" s="20" t="str">
        <f aca="false">02_INDICADORES!A5</f>
        <v>F04</v>
      </c>
      <c r="B5" s="20" t="str">
        <f aca="false">02_INDICADORES!B5</f>
        <v>FIN</v>
      </c>
      <c r="C5" s="21" t="str">
        <f aca="false">02_INDICADORES!C5</f>
        <v>Liquidez</v>
      </c>
      <c r="D5" s="22" t="n">
        <f aca="false">02_INDICADORES!D5</f>
        <v>8</v>
      </c>
      <c r="E5" s="23"/>
      <c r="F5" s="23"/>
      <c r="G5" s="23"/>
      <c r="H5" s="16" t="n">
        <f aca="false">IF(E5="",0,1)</f>
        <v>0</v>
      </c>
      <c r="I5" s="16" t="n">
        <f aca="false">D5*H5</f>
        <v>0</v>
      </c>
      <c r="J5" s="16" t="n">
        <f aca="false">IF(H5=1,E5*D5,0)</f>
        <v>0</v>
      </c>
      <c r="K5" s="16" t="str">
        <f aca="false">IF(E5="","",IF(E5&lt;=12,0,IF(E5&lt;=37,25,IF(E5&lt;=62,50,IF(E5&lt;=87,75,100)))))</f>
        <v/>
      </c>
      <c r="L5" s="23"/>
      <c r="M5" s="23"/>
      <c r="N5" s="23"/>
      <c r="O5" s="23"/>
      <c r="P5" s="16" t="str">
        <f aca="false">IF(M5="","",INDEX(16_LISTAS!$A$4:$A$8,MAX(1,INDEX(16_LISTAS!$E$4:$E$9,MATCH(M5,16_LISTAS!$D$4:$D$9,0))-IF(N5="",0,IF(N5&lt;=IF(O5="S",18,12),0,IF(N5&lt;=IF(O5="S",30,24),1,2))))))</f>
        <v/>
      </c>
      <c r="Q5" s="23"/>
      <c r="R5" s="16" t="str">
        <f aca="false">IF(E5="","",IF(Q5="","FALTA CONFIANZA",IF(P5="","FALTA NIVEL FUENTE",IF(MATCH(Q5,16_LISTAS!$A$4:$A$8,0)&gt;MATCH(P5,16_LISTAS!$A$4:$A$8,0),"EXCEDE CONF_MAX","OK"))))</f>
        <v/>
      </c>
      <c r="S5" s="9"/>
      <c r="T5" s="9"/>
      <c r="U5" s="9"/>
      <c r="V5" s="9"/>
      <c r="W5" s="24" t="n">
        <f aca="false">IF(Q5="",0,MATCH(Q5,16_LISTAS!$A$4:$A$8,0))</f>
        <v>0</v>
      </c>
    </row>
    <row r="6" customFormat="false" ht="15" hidden="false" customHeight="false" outlineLevel="0" collapsed="false">
      <c r="A6" s="20" t="str">
        <f aca="false">02_INDICADORES!A6</f>
        <v>F05</v>
      </c>
      <c r="B6" s="20" t="str">
        <f aca="false">02_INDICADORES!B6</f>
        <v>FIN</v>
      </c>
      <c r="C6" s="21" t="str">
        <f aca="false">02_INDICADORES!C6</f>
        <v>Endeudamiento financiero</v>
      </c>
      <c r="D6" s="22" t="n">
        <f aca="false">02_INDICADORES!D6</f>
        <v>10</v>
      </c>
      <c r="E6" s="23"/>
      <c r="F6" s="23"/>
      <c r="G6" s="23"/>
      <c r="H6" s="16" t="n">
        <f aca="false">IF(E6="",0,1)</f>
        <v>0</v>
      </c>
      <c r="I6" s="16" t="n">
        <f aca="false">D6*H6</f>
        <v>0</v>
      </c>
      <c r="J6" s="16" t="n">
        <f aca="false">IF(H6=1,E6*D6,0)</f>
        <v>0</v>
      </c>
      <c r="K6" s="16" t="str">
        <f aca="false">IF(E6="","",IF(E6&lt;=12,0,IF(E6&lt;=37,25,IF(E6&lt;=62,50,IF(E6&lt;=87,75,100)))))</f>
        <v/>
      </c>
      <c r="L6" s="23"/>
      <c r="M6" s="23"/>
      <c r="N6" s="23"/>
      <c r="O6" s="23"/>
      <c r="P6" s="16" t="str">
        <f aca="false">IF(M6="","",INDEX(16_LISTAS!$A$4:$A$8,MAX(1,INDEX(16_LISTAS!$E$4:$E$9,MATCH(M6,16_LISTAS!$D$4:$D$9,0))-IF(N6="",0,IF(N6&lt;=IF(O6="S",18,12),0,IF(N6&lt;=IF(O6="S",30,24),1,2))))))</f>
        <v/>
      </c>
      <c r="Q6" s="23"/>
      <c r="R6" s="16" t="str">
        <f aca="false">IF(E6="","",IF(Q6="","FALTA CONFIANZA",IF(P6="","FALTA NIVEL FUENTE",IF(MATCH(Q6,16_LISTAS!$A$4:$A$8,0)&gt;MATCH(P6,16_LISTAS!$A$4:$A$8,0),"EXCEDE CONF_MAX","OK"))))</f>
        <v/>
      </c>
      <c r="S6" s="9"/>
      <c r="T6" s="9"/>
      <c r="U6" s="9"/>
      <c r="V6" s="9"/>
      <c r="W6" s="24" t="n">
        <f aca="false">IF(Q6="",0,MATCH(Q6,16_LISTAS!$A$4:$A$8,0))</f>
        <v>0</v>
      </c>
    </row>
    <row r="7" customFormat="false" ht="15" hidden="false" customHeight="false" outlineLevel="0" collapsed="false">
      <c r="A7" s="20" t="str">
        <f aca="false">02_INDICADORES!A7</f>
        <v>F06</v>
      </c>
      <c r="B7" s="20" t="str">
        <f aca="false">02_INDICADORES!B7</f>
        <v>FIN</v>
      </c>
      <c r="C7" s="21" t="str">
        <f aca="false">02_INDICADORES!C7</f>
        <v>Patrimonio y solvencia</v>
      </c>
      <c r="D7" s="22" t="n">
        <f aca="false">02_INDICADORES!D7</f>
        <v>10</v>
      </c>
      <c r="E7" s="23"/>
      <c r="F7" s="23"/>
      <c r="G7" s="23"/>
      <c r="H7" s="16" t="n">
        <f aca="false">IF(E7="",0,1)</f>
        <v>0</v>
      </c>
      <c r="I7" s="16" t="n">
        <f aca="false">D7*H7</f>
        <v>0</v>
      </c>
      <c r="J7" s="16" t="n">
        <f aca="false">IF(H7=1,E7*D7,0)</f>
        <v>0</v>
      </c>
      <c r="K7" s="16" t="str">
        <f aca="false">IF(E7="","",IF(E7&lt;=12,0,IF(E7&lt;=37,25,IF(E7&lt;=62,50,IF(E7&lt;=87,75,100)))))</f>
        <v/>
      </c>
      <c r="L7" s="23"/>
      <c r="M7" s="23"/>
      <c r="N7" s="23"/>
      <c r="O7" s="23"/>
      <c r="P7" s="16" t="str">
        <f aca="false">IF(M7="","",INDEX(16_LISTAS!$A$4:$A$8,MAX(1,INDEX(16_LISTAS!$E$4:$E$9,MATCH(M7,16_LISTAS!$D$4:$D$9,0))-IF(N7="",0,IF(N7&lt;=IF(O7="S",18,12),0,IF(N7&lt;=IF(O7="S",30,24),1,2))))))</f>
        <v/>
      </c>
      <c r="Q7" s="23"/>
      <c r="R7" s="16" t="str">
        <f aca="false">IF(E7="","",IF(Q7="","FALTA CONFIANZA",IF(P7="","FALTA NIVEL FUENTE",IF(MATCH(Q7,16_LISTAS!$A$4:$A$8,0)&gt;MATCH(P7,16_LISTAS!$A$4:$A$8,0),"EXCEDE CONF_MAX","OK"))))</f>
        <v/>
      </c>
      <c r="S7" s="9"/>
      <c r="T7" s="9"/>
      <c r="U7" s="9"/>
      <c r="V7" s="9"/>
      <c r="W7" s="24" t="n">
        <f aca="false">IF(Q7="",0,MATCH(Q7,16_LISTAS!$A$4:$A$8,0))</f>
        <v>0</v>
      </c>
    </row>
    <row r="8" customFormat="false" ht="15" hidden="false" customHeight="false" outlineLevel="0" collapsed="false">
      <c r="A8" s="20" t="str">
        <f aca="false">02_INDICADORES!A8</f>
        <v>F07</v>
      </c>
      <c r="B8" s="20" t="str">
        <f aca="false">02_INDICADORES!B8</f>
        <v>FIN</v>
      </c>
      <c r="C8" s="21" t="str">
        <f aca="false">02_INDICADORES!C8</f>
        <v>Dependencia financiera de apoyo público</v>
      </c>
      <c r="D8" s="22" t="n">
        <f aca="false">02_INDICADORES!D8</f>
        <v>8</v>
      </c>
      <c r="E8" s="23"/>
      <c r="F8" s="23"/>
      <c r="G8" s="23"/>
      <c r="H8" s="16" t="n">
        <f aca="false">IF(E8="",0,1)</f>
        <v>0</v>
      </c>
      <c r="I8" s="16" t="n">
        <f aca="false">D8*H8</f>
        <v>0</v>
      </c>
      <c r="J8" s="16" t="n">
        <f aca="false">IF(H8=1,E8*D8,0)</f>
        <v>0</v>
      </c>
      <c r="K8" s="16" t="str">
        <f aca="false">IF(E8="","",IF(E8&lt;=12,0,IF(E8&lt;=37,25,IF(E8&lt;=62,50,IF(E8&lt;=87,75,100)))))</f>
        <v/>
      </c>
      <c r="L8" s="23"/>
      <c r="M8" s="23"/>
      <c r="N8" s="23"/>
      <c r="O8" s="23"/>
      <c r="P8" s="16" t="str">
        <f aca="false">IF(M8="","",INDEX(16_LISTAS!$A$4:$A$8,MAX(1,INDEX(16_LISTAS!$E$4:$E$9,MATCH(M8,16_LISTAS!$D$4:$D$9,0))-IF(N8="",0,IF(N8&lt;=IF(O8="S",18,12),0,IF(N8&lt;=IF(O8="S",30,24),1,2))))))</f>
        <v/>
      </c>
      <c r="Q8" s="23"/>
      <c r="R8" s="16" t="str">
        <f aca="false">IF(E8="","",IF(Q8="","FALTA CONFIANZA",IF(P8="","FALTA NIVEL FUENTE",IF(MATCH(Q8,16_LISTAS!$A$4:$A$8,0)&gt;MATCH(P8,16_LISTAS!$A$4:$A$8,0),"EXCEDE CONF_MAX","OK"))))</f>
        <v/>
      </c>
      <c r="S8" s="9"/>
      <c r="T8" s="9"/>
      <c r="U8" s="9"/>
      <c r="V8" s="9"/>
      <c r="W8" s="24" t="n">
        <f aca="false">IF(Q8="",0,MATCH(Q8,16_LISTAS!$A$4:$A$8,0))</f>
        <v>0</v>
      </c>
    </row>
    <row r="9" customFormat="false" ht="15" hidden="false" customHeight="false" outlineLevel="0" collapsed="false">
      <c r="A9" s="20" t="str">
        <f aca="false">02_INDICADORES!A9</f>
        <v>F08</v>
      </c>
      <c r="B9" s="20" t="str">
        <f aca="false">02_INDICADORES!B9</f>
        <v>FIN</v>
      </c>
      <c r="C9" s="21" t="str">
        <f aca="false">02_INDICADORES!C9</f>
        <v>Cartera: cobertura y conversión</v>
      </c>
      <c r="D9" s="22" t="n">
        <f aca="false">02_INDICADORES!D9</f>
        <v>14</v>
      </c>
      <c r="E9" s="23"/>
      <c r="F9" s="23"/>
      <c r="G9" s="23"/>
      <c r="H9" s="16" t="n">
        <f aca="false">IF(E9="",0,1)</f>
        <v>0</v>
      </c>
      <c r="I9" s="16" t="n">
        <f aca="false">D9*H9</f>
        <v>0</v>
      </c>
      <c r="J9" s="16" t="n">
        <f aca="false">IF(H9=1,E9*D9,0)</f>
        <v>0</v>
      </c>
      <c r="K9" s="16" t="str">
        <f aca="false">IF(E9="","",IF(E9&lt;=12,0,IF(E9&lt;=37,25,IF(E9&lt;=62,50,IF(E9&lt;=87,75,100)))))</f>
        <v/>
      </c>
      <c r="L9" s="23"/>
      <c r="M9" s="23"/>
      <c r="N9" s="23"/>
      <c r="O9" s="23"/>
      <c r="P9" s="16" t="str">
        <f aca="false">IF(M9="","",INDEX(16_LISTAS!$A$4:$A$8,MAX(1,INDEX(16_LISTAS!$E$4:$E$9,MATCH(M9,16_LISTAS!$D$4:$D$9,0))-IF(N9="",0,IF(N9&lt;=IF(O9="S",18,12),0,IF(N9&lt;=IF(O9="S",30,24),1,2))))))</f>
        <v/>
      </c>
      <c r="Q9" s="23"/>
      <c r="R9" s="16" t="str">
        <f aca="false">IF(E9="","",IF(Q9="","FALTA CONFIANZA",IF(P9="","FALTA NIVEL FUENTE",IF(MATCH(Q9,16_LISTAS!$A$4:$A$8,0)&gt;MATCH(P9,16_LISTAS!$A$4:$A$8,0),"EXCEDE CONF_MAX","OK"))))</f>
        <v/>
      </c>
      <c r="S9" s="9"/>
      <c r="T9" s="9"/>
      <c r="U9" s="9"/>
      <c r="V9" s="9"/>
      <c r="W9" s="24" t="n">
        <f aca="false">IF(Q9="",0,MATCH(Q9,16_LISTAS!$A$4:$A$8,0))</f>
        <v>0</v>
      </c>
    </row>
    <row r="10" customFormat="false" ht="15" hidden="false" customHeight="false" outlineLevel="0" collapsed="false">
      <c r="A10" s="20" t="str">
        <f aca="false">02_INDICADORES!A10</f>
        <v>F09</v>
      </c>
      <c r="B10" s="20" t="str">
        <f aca="false">02_INDICADORES!B10</f>
        <v>FIN</v>
      </c>
      <c r="C10" s="21" t="str">
        <f aca="false">02_INDICADORES!C10</f>
        <v>Disciplina de capital</v>
      </c>
      <c r="D10" s="22" t="n">
        <f aca="false">02_INDICADORES!D10</f>
        <v>8</v>
      </c>
      <c r="E10" s="23"/>
      <c r="F10" s="23"/>
      <c r="G10" s="23"/>
      <c r="H10" s="16" t="n">
        <f aca="false">IF(E10="",0,1)</f>
        <v>0</v>
      </c>
      <c r="I10" s="16" t="n">
        <f aca="false">D10*H10</f>
        <v>0</v>
      </c>
      <c r="J10" s="16" t="n">
        <f aca="false">IF(H10=1,E10*D10,0)</f>
        <v>0</v>
      </c>
      <c r="K10" s="16" t="str">
        <f aca="false">IF(E10="","",IF(E10&lt;=12,0,IF(E10&lt;=37,25,IF(E10&lt;=62,50,IF(E10&lt;=87,75,100)))))</f>
        <v/>
      </c>
      <c r="L10" s="23"/>
      <c r="M10" s="23"/>
      <c r="N10" s="23"/>
      <c r="O10" s="23"/>
      <c r="P10" s="16" t="str">
        <f aca="false">IF(M10="","",INDEX(16_LISTAS!$A$4:$A$8,MAX(1,INDEX(16_LISTAS!$E$4:$E$9,MATCH(M10,16_LISTAS!$D$4:$D$9,0))-IF(N10="",0,IF(N10&lt;=IF(O10="S",18,12),0,IF(N10&lt;=IF(O10="S",30,24),1,2))))))</f>
        <v/>
      </c>
      <c r="Q10" s="23"/>
      <c r="R10" s="16" t="str">
        <f aca="false">IF(E10="","",IF(Q10="","FALTA CONFIANZA",IF(P10="","FALTA NIVEL FUENTE",IF(MATCH(Q10,16_LISTAS!$A$4:$A$8,0)&gt;MATCH(P10,16_LISTAS!$A$4:$A$8,0),"EXCEDE CONF_MAX","OK"))))</f>
        <v/>
      </c>
      <c r="S10" s="9"/>
      <c r="T10" s="9"/>
      <c r="U10" s="9"/>
      <c r="V10" s="9"/>
      <c r="W10" s="24" t="n">
        <f aca="false">IF(Q10="",0,MATCH(Q10,16_LISTAS!$A$4:$A$8,0))</f>
        <v>0</v>
      </c>
    </row>
    <row r="11" customFormat="false" ht="15" hidden="false" customHeight="false" outlineLevel="0" collapsed="false">
      <c r="A11" s="20" t="str">
        <f aca="false">02_INDICADORES!A11</f>
        <v>F10</v>
      </c>
      <c r="B11" s="20" t="str">
        <f aca="false">02_INDICADORES!B11</f>
        <v>FIN</v>
      </c>
      <c r="C11" s="21" t="str">
        <f aca="false">02_INDICADORES!C11</f>
        <v>Riesgo financiero extraordinario</v>
      </c>
      <c r="D11" s="22" t="n">
        <f aca="false">02_INDICADORES!D11</f>
        <v>8</v>
      </c>
      <c r="E11" s="23"/>
      <c r="F11" s="23"/>
      <c r="G11" s="23"/>
      <c r="H11" s="16" t="n">
        <f aca="false">IF(E11="",0,1)</f>
        <v>0</v>
      </c>
      <c r="I11" s="16" t="n">
        <f aca="false">D11*H11</f>
        <v>0</v>
      </c>
      <c r="J11" s="16" t="n">
        <f aca="false">IF(H11=1,E11*D11,0)</f>
        <v>0</v>
      </c>
      <c r="K11" s="16" t="str">
        <f aca="false">IF(E11="","",IF(E11&lt;=12,0,IF(E11&lt;=37,25,IF(E11&lt;=62,50,IF(E11&lt;=87,75,100)))))</f>
        <v/>
      </c>
      <c r="L11" s="23"/>
      <c r="M11" s="23"/>
      <c r="N11" s="23"/>
      <c r="O11" s="23"/>
      <c r="P11" s="16" t="str">
        <f aca="false">IF(M11="","",INDEX(16_LISTAS!$A$4:$A$8,MAX(1,INDEX(16_LISTAS!$E$4:$E$9,MATCH(M11,16_LISTAS!$D$4:$D$9,0))-IF(N11="",0,IF(N11&lt;=IF(O11="S",18,12),0,IF(N11&lt;=IF(O11="S",30,24),1,2))))))</f>
        <v/>
      </c>
      <c r="Q11" s="23"/>
      <c r="R11" s="16" t="str">
        <f aca="false">IF(E11="","",IF(Q11="","FALTA CONFIANZA",IF(P11="","FALTA NIVEL FUENTE",IF(MATCH(Q11,16_LISTAS!$A$4:$A$8,0)&gt;MATCH(P11,16_LISTAS!$A$4:$A$8,0),"EXCEDE CONF_MAX","OK"))))</f>
        <v/>
      </c>
      <c r="S11" s="9"/>
      <c r="T11" s="9"/>
      <c r="U11" s="9"/>
      <c r="V11" s="9"/>
      <c r="W11" s="24" t="n">
        <f aca="false">IF(Q11="",0,MATCH(Q11,16_LISTAS!$A$4:$A$8,0))</f>
        <v>0</v>
      </c>
    </row>
    <row r="12" customFormat="false" ht="15" hidden="false" customHeight="false" outlineLevel="0" collapsed="false">
      <c r="A12" s="25" t="str">
        <f aca="false">02_INDICADORES!A12</f>
        <v>I01</v>
      </c>
      <c r="B12" s="25" t="str">
        <f aca="false">02_INDICADORES!B12</f>
        <v>IND</v>
      </c>
      <c r="C12" s="21" t="str">
        <f aca="false">02_INDICADORES!C12</f>
        <v>Capacidad industrial</v>
      </c>
      <c r="D12" s="22" t="n">
        <f aca="false">02_INDICADORES!D12</f>
        <v>18</v>
      </c>
      <c r="E12" s="23"/>
      <c r="F12" s="23"/>
      <c r="G12" s="23"/>
      <c r="H12" s="16" t="n">
        <f aca="false">IF(E12="",0,1)</f>
        <v>0</v>
      </c>
      <c r="I12" s="16" t="n">
        <f aca="false">D12*H12</f>
        <v>0</v>
      </c>
      <c r="J12" s="16" t="n">
        <f aca="false">IF(H12=1,E12*D12,0)</f>
        <v>0</v>
      </c>
      <c r="K12" s="16" t="str">
        <f aca="false">IF(E12="","",IF(E12&lt;=12,0,IF(E12&lt;=37,25,IF(E12&lt;=62,50,IF(E12&lt;=87,75,100)))))</f>
        <v/>
      </c>
      <c r="L12" s="23"/>
      <c r="M12" s="23"/>
      <c r="N12" s="23"/>
      <c r="O12" s="23"/>
      <c r="P12" s="16" t="str">
        <f aca="false">IF(M12="","",INDEX(16_LISTAS!$A$4:$A$8,MAX(1,INDEX(16_LISTAS!$E$4:$E$9,MATCH(M12,16_LISTAS!$D$4:$D$9,0))-IF(N12="",0,IF(N12&lt;=IF(O12="S",18,12),0,IF(N12&lt;=IF(O12="S",30,24),1,2))))))</f>
        <v/>
      </c>
      <c r="Q12" s="23"/>
      <c r="R12" s="16" t="str">
        <f aca="false">IF(E12="","",IF(Q12="","FALTA CONFIANZA",IF(P12="","FALTA NIVEL FUENTE",IF(MATCH(Q12,16_LISTAS!$A$4:$A$8,0)&gt;MATCH(P12,16_LISTAS!$A$4:$A$8,0),"EXCEDE CONF_MAX","OK"))))</f>
        <v/>
      </c>
      <c r="S12" s="9"/>
      <c r="T12" s="9"/>
      <c r="U12" s="9"/>
      <c r="V12" s="9"/>
      <c r="W12" s="24" t="n">
        <f aca="false">IF(Q12="",0,MATCH(Q12,16_LISTAS!$A$4:$A$8,0))</f>
        <v>0</v>
      </c>
    </row>
    <row r="13" customFormat="false" ht="15" hidden="false" customHeight="false" outlineLevel="0" collapsed="false">
      <c r="A13" s="25" t="str">
        <f aca="false">02_INDICADORES!A13</f>
        <v>I02</v>
      </c>
      <c r="B13" s="25" t="str">
        <f aca="false">02_INDICADORES!B13</f>
        <v>IND</v>
      </c>
      <c r="C13" s="21" t="str">
        <f aca="false">02_INDICADORES!C13</f>
        <v>Carga y utilización</v>
      </c>
      <c r="D13" s="22" t="n">
        <f aca="false">02_INDICADORES!D13</f>
        <v>10</v>
      </c>
      <c r="E13" s="23"/>
      <c r="F13" s="23"/>
      <c r="G13" s="23"/>
      <c r="H13" s="16" t="n">
        <f aca="false">IF(E13="",0,1)</f>
        <v>0</v>
      </c>
      <c r="I13" s="16" t="n">
        <f aca="false">D13*H13</f>
        <v>0</v>
      </c>
      <c r="J13" s="16" t="n">
        <f aca="false">IF(H13=1,E13*D13,0)</f>
        <v>0</v>
      </c>
      <c r="K13" s="16" t="str">
        <f aca="false">IF(E13="","",IF(E13&lt;=12,0,IF(E13&lt;=37,25,IF(E13&lt;=62,50,IF(E13&lt;=87,75,100)))))</f>
        <v/>
      </c>
      <c r="L13" s="23"/>
      <c r="M13" s="23"/>
      <c r="N13" s="23"/>
      <c r="O13" s="23"/>
      <c r="P13" s="16" t="str">
        <f aca="false">IF(M13="","",INDEX(16_LISTAS!$A$4:$A$8,MAX(1,INDEX(16_LISTAS!$E$4:$E$9,MATCH(M13,16_LISTAS!$D$4:$D$9,0))-IF(N13="",0,IF(N13&lt;=IF(O13="S",18,12),0,IF(N13&lt;=IF(O13="S",30,24),1,2))))))</f>
        <v/>
      </c>
      <c r="Q13" s="23"/>
      <c r="R13" s="16" t="str">
        <f aca="false">IF(E13="","",IF(Q13="","FALTA CONFIANZA",IF(P13="","FALTA NIVEL FUENTE",IF(MATCH(Q13,16_LISTAS!$A$4:$A$8,0)&gt;MATCH(P13,16_LISTAS!$A$4:$A$8,0),"EXCEDE CONF_MAX","OK"))))</f>
        <v/>
      </c>
      <c r="S13" s="9"/>
      <c r="T13" s="9"/>
      <c r="U13" s="9"/>
      <c r="V13" s="9"/>
      <c r="W13" s="24" t="n">
        <f aca="false">IF(Q13="",0,MATCH(Q13,16_LISTAS!$A$4:$A$8,0))</f>
        <v>0</v>
      </c>
    </row>
    <row r="14" customFormat="false" ht="15" hidden="false" customHeight="false" outlineLevel="0" collapsed="false">
      <c r="A14" s="25" t="str">
        <f aca="false">02_INDICADORES!A14</f>
        <v>I03</v>
      </c>
      <c r="B14" s="25" t="str">
        <f aca="false">02_INDICADORES!B14</f>
        <v>IND</v>
      </c>
      <c r="C14" s="21" t="str">
        <f aca="false">02_INDICADORES!C14</f>
        <v>Plantilla y cualificación</v>
      </c>
      <c r="D14" s="22" t="n">
        <f aca="false">02_INDICADORES!D14</f>
        <v>10</v>
      </c>
      <c r="E14" s="23"/>
      <c r="F14" s="23"/>
      <c r="G14" s="23"/>
      <c r="H14" s="16" t="n">
        <f aca="false">IF(E14="",0,1)</f>
        <v>0</v>
      </c>
      <c r="I14" s="16" t="n">
        <f aca="false">D14*H14</f>
        <v>0</v>
      </c>
      <c r="J14" s="16" t="n">
        <f aca="false">IF(H14=1,E14*D14,0)</f>
        <v>0</v>
      </c>
      <c r="K14" s="16" t="str">
        <f aca="false">IF(E14="","",IF(E14&lt;=12,0,IF(E14&lt;=37,25,IF(E14&lt;=62,50,IF(E14&lt;=87,75,100)))))</f>
        <v/>
      </c>
      <c r="L14" s="23"/>
      <c r="M14" s="23"/>
      <c r="N14" s="23"/>
      <c r="O14" s="23"/>
      <c r="P14" s="16" t="str">
        <f aca="false">IF(M14="","",INDEX(16_LISTAS!$A$4:$A$8,MAX(1,INDEX(16_LISTAS!$E$4:$E$9,MATCH(M14,16_LISTAS!$D$4:$D$9,0))-IF(N14="",0,IF(N14&lt;=IF(O14="S",18,12),0,IF(N14&lt;=IF(O14="S",30,24),1,2))))))</f>
        <v/>
      </c>
      <c r="Q14" s="23"/>
      <c r="R14" s="16" t="str">
        <f aca="false">IF(E14="","",IF(Q14="","FALTA CONFIANZA",IF(P14="","FALTA NIVEL FUENTE",IF(MATCH(Q14,16_LISTAS!$A$4:$A$8,0)&gt;MATCH(P14,16_LISTAS!$A$4:$A$8,0),"EXCEDE CONF_MAX","OK"))))</f>
        <v/>
      </c>
      <c r="S14" s="9"/>
      <c r="T14" s="9"/>
      <c r="U14" s="9"/>
      <c r="V14" s="9"/>
      <c r="W14" s="24" t="n">
        <f aca="false">IF(Q14="",0,MATCH(Q14,16_LISTAS!$A$4:$A$8,0))</f>
        <v>0</v>
      </c>
    </row>
    <row r="15" customFormat="false" ht="15" hidden="false" customHeight="false" outlineLevel="0" collapsed="false">
      <c r="A15" s="25" t="str">
        <f aca="false">02_INDICADORES!A15</f>
        <v>I04</v>
      </c>
      <c r="B15" s="25" t="str">
        <f aca="false">02_INDICADORES!B15</f>
        <v>IND</v>
      </c>
      <c r="C15" s="21" t="str">
        <f aca="false">02_INDICADORES!C15</f>
        <v>Productividad y ejecución de programas</v>
      </c>
      <c r="D15" s="22" t="n">
        <f aca="false">02_INDICADORES!D15</f>
        <v>12</v>
      </c>
      <c r="E15" s="23"/>
      <c r="F15" s="23"/>
      <c r="G15" s="23"/>
      <c r="H15" s="16" t="n">
        <f aca="false">IF(E15="",0,1)</f>
        <v>0</v>
      </c>
      <c r="I15" s="16" t="n">
        <f aca="false">D15*H15</f>
        <v>0</v>
      </c>
      <c r="J15" s="16" t="n">
        <f aca="false">IF(H15=1,E15*D15,0)</f>
        <v>0</v>
      </c>
      <c r="K15" s="16" t="str">
        <f aca="false">IF(E15="","",IF(E15&lt;=12,0,IF(E15&lt;=37,25,IF(E15&lt;=62,50,IF(E15&lt;=87,75,100)))))</f>
        <v/>
      </c>
      <c r="L15" s="23"/>
      <c r="M15" s="23"/>
      <c r="N15" s="23"/>
      <c r="O15" s="23"/>
      <c r="P15" s="16" t="str">
        <f aca="false">IF(M15="","",INDEX(16_LISTAS!$A$4:$A$8,MAX(1,INDEX(16_LISTAS!$E$4:$E$9,MATCH(M15,16_LISTAS!$D$4:$D$9,0))-IF(N15="",0,IF(N15&lt;=IF(O15="S",18,12),0,IF(N15&lt;=IF(O15="S",30,24),1,2))))))</f>
        <v/>
      </c>
      <c r="Q15" s="23"/>
      <c r="R15" s="16" t="str">
        <f aca="false">IF(E15="","",IF(Q15="","FALTA CONFIANZA",IF(P15="","FALTA NIVEL FUENTE",IF(MATCH(Q15,16_LISTAS!$A$4:$A$8,0)&gt;MATCH(P15,16_LISTAS!$A$4:$A$8,0),"EXCEDE CONF_MAX","OK"))))</f>
        <v/>
      </c>
      <c r="S15" s="9"/>
      <c r="T15" s="9"/>
      <c r="U15" s="9"/>
      <c r="V15" s="9"/>
      <c r="W15" s="24" t="n">
        <f aca="false">IF(Q15="",0,MATCH(Q15,16_LISTAS!$A$4:$A$8,0))</f>
        <v>0</v>
      </c>
    </row>
    <row r="16" customFormat="false" ht="15" hidden="false" customHeight="false" outlineLevel="0" collapsed="false">
      <c r="A16" s="25" t="str">
        <f aca="false">02_INDICADORES!A16</f>
        <v>I05</v>
      </c>
      <c r="B16" s="25" t="str">
        <f aca="false">02_INDICADORES!B16</f>
        <v>IND</v>
      </c>
      <c r="C16" s="21" t="str">
        <f aca="false">02_INDICADORES!C16</f>
        <v>Cadena de suministro</v>
      </c>
      <c r="D16" s="22" t="n">
        <f aca="false">02_INDICADORES!D16</f>
        <v>10</v>
      </c>
      <c r="E16" s="23"/>
      <c r="F16" s="23"/>
      <c r="G16" s="23"/>
      <c r="H16" s="16" t="n">
        <f aca="false">IF(E16="",0,1)</f>
        <v>0</v>
      </c>
      <c r="I16" s="16" t="n">
        <f aca="false">D16*H16</f>
        <v>0</v>
      </c>
      <c r="J16" s="16" t="n">
        <f aca="false">IF(H16=1,E16*D16,0)</f>
        <v>0</v>
      </c>
      <c r="K16" s="16" t="str">
        <f aca="false">IF(E16="","",IF(E16&lt;=12,0,IF(E16&lt;=37,25,IF(E16&lt;=62,50,IF(E16&lt;=87,75,100)))))</f>
        <v/>
      </c>
      <c r="L16" s="23"/>
      <c r="M16" s="23"/>
      <c r="N16" s="23"/>
      <c r="O16" s="23"/>
      <c r="P16" s="16" t="str">
        <f aca="false">IF(M16="","",INDEX(16_LISTAS!$A$4:$A$8,MAX(1,INDEX(16_LISTAS!$E$4:$E$9,MATCH(M16,16_LISTAS!$D$4:$D$9,0))-IF(N16="",0,IF(N16&lt;=IF(O16="S",18,12),0,IF(N16&lt;=IF(O16="S",30,24),1,2))))))</f>
        <v/>
      </c>
      <c r="Q16" s="23"/>
      <c r="R16" s="16" t="str">
        <f aca="false">IF(E16="","",IF(Q16="","FALTA CONFIANZA",IF(P16="","FALTA NIVEL FUENTE",IF(MATCH(Q16,16_LISTAS!$A$4:$A$8,0)&gt;MATCH(P16,16_LISTAS!$A$4:$A$8,0),"EXCEDE CONF_MAX","OK"))))</f>
        <v/>
      </c>
      <c r="S16" s="9"/>
      <c r="T16" s="9"/>
      <c r="U16" s="9"/>
      <c r="V16" s="9"/>
      <c r="W16" s="24" t="n">
        <f aca="false">IF(Q16="",0,MATCH(Q16,16_LISTAS!$A$4:$A$8,0))</f>
        <v>0</v>
      </c>
    </row>
    <row r="17" customFormat="false" ht="15" hidden="false" customHeight="false" outlineLevel="0" collapsed="false">
      <c r="A17" s="25" t="str">
        <f aca="false">02_INDICADORES!A17</f>
        <v>I06</v>
      </c>
      <c r="B17" s="25" t="str">
        <f aca="false">02_INDICADORES!B17</f>
        <v>IND</v>
      </c>
      <c r="C17" s="21" t="str">
        <f aca="false">02_INDICADORES!C17</f>
        <v>Integración industrial</v>
      </c>
      <c r="D17" s="22" t="n">
        <f aca="false">02_INDICADORES!D17</f>
        <v>8</v>
      </c>
      <c r="E17" s="23"/>
      <c r="F17" s="23"/>
      <c r="G17" s="23"/>
      <c r="H17" s="16" t="n">
        <f aca="false">IF(E17="",0,1)</f>
        <v>0</v>
      </c>
      <c r="I17" s="16" t="n">
        <f aca="false">D17*H17</f>
        <v>0</v>
      </c>
      <c r="J17" s="16" t="n">
        <f aca="false">IF(H17=1,E17*D17,0)</f>
        <v>0</v>
      </c>
      <c r="K17" s="16" t="str">
        <f aca="false">IF(E17="","",IF(E17&lt;=12,0,IF(E17&lt;=37,25,IF(E17&lt;=62,50,IF(E17&lt;=87,75,100)))))</f>
        <v/>
      </c>
      <c r="L17" s="23"/>
      <c r="M17" s="23"/>
      <c r="N17" s="23"/>
      <c r="O17" s="23"/>
      <c r="P17" s="16" t="str">
        <f aca="false">IF(M17="","",INDEX(16_LISTAS!$A$4:$A$8,MAX(1,INDEX(16_LISTAS!$E$4:$E$9,MATCH(M17,16_LISTAS!$D$4:$D$9,0))-IF(N17="",0,IF(N17&lt;=IF(O17="S",18,12),0,IF(N17&lt;=IF(O17="S",30,24),1,2))))))</f>
        <v/>
      </c>
      <c r="Q17" s="23"/>
      <c r="R17" s="16" t="str">
        <f aca="false">IF(E17="","",IF(Q17="","FALTA CONFIANZA",IF(P17="","FALTA NIVEL FUENTE",IF(MATCH(Q17,16_LISTAS!$A$4:$A$8,0)&gt;MATCH(P17,16_LISTAS!$A$4:$A$8,0),"EXCEDE CONF_MAX","OK"))))</f>
        <v/>
      </c>
      <c r="S17" s="9"/>
      <c r="T17" s="9"/>
      <c r="U17" s="9"/>
      <c r="V17" s="9"/>
      <c r="W17" s="24" t="n">
        <f aca="false">IF(Q17="",0,MATCH(Q17,16_LISTAS!$A$4:$A$8,0))</f>
        <v>0</v>
      </c>
    </row>
    <row r="18" customFormat="false" ht="15" hidden="false" customHeight="false" outlineLevel="0" collapsed="false">
      <c r="A18" s="25" t="str">
        <f aca="false">02_INDICADORES!A18</f>
        <v>I07</v>
      </c>
      <c r="B18" s="25" t="str">
        <f aca="false">02_INDICADORES!B18</f>
        <v>IND</v>
      </c>
      <c r="C18" s="21" t="str">
        <f aca="false">02_INDICADORES!C18</f>
        <v>Digitalización industrial</v>
      </c>
      <c r="D18" s="22" t="n">
        <f aca="false">02_INDICADORES!D18</f>
        <v>6</v>
      </c>
      <c r="E18" s="23"/>
      <c r="F18" s="23"/>
      <c r="G18" s="23"/>
      <c r="H18" s="16" t="n">
        <f aca="false">IF(E18="",0,1)</f>
        <v>0</v>
      </c>
      <c r="I18" s="16" t="n">
        <f aca="false">D18*H18</f>
        <v>0</v>
      </c>
      <c r="J18" s="16" t="n">
        <f aca="false">IF(H18=1,E18*D18,0)</f>
        <v>0</v>
      </c>
      <c r="K18" s="16" t="str">
        <f aca="false">IF(E18="","",IF(E18&lt;=12,0,IF(E18&lt;=37,25,IF(E18&lt;=62,50,IF(E18&lt;=87,75,100)))))</f>
        <v/>
      </c>
      <c r="L18" s="23"/>
      <c r="M18" s="23"/>
      <c r="N18" s="23"/>
      <c r="O18" s="23"/>
      <c r="P18" s="16" t="str">
        <f aca="false">IF(M18="","",INDEX(16_LISTAS!$A$4:$A$8,MAX(1,INDEX(16_LISTAS!$E$4:$E$9,MATCH(M18,16_LISTAS!$D$4:$D$9,0))-IF(N18="",0,IF(N18&lt;=IF(O18="S",18,12),0,IF(N18&lt;=IF(O18="S",30,24),1,2))))))</f>
        <v/>
      </c>
      <c r="Q18" s="23"/>
      <c r="R18" s="16" t="str">
        <f aca="false">IF(E18="","",IF(Q18="","FALTA CONFIANZA",IF(P18="","FALTA NIVEL FUENTE",IF(MATCH(Q18,16_LISTAS!$A$4:$A$8,0)&gt;MATCH(P18,16_LISTAS!$A$4:$A$8,0),"EXCEDE CONF_MAX","OK"))))</f>
        <v/>
      </c>
      <c r="S18" s="9"/>
      <c r="T18" s="9"/>
      <c r="U18" s="9"/>
      <c r="V18" s="9"/>
      <c r="W18" s="24" t="n">
        <f aca="false">IF(Q18="",0,MATCH(Q18,16_LISTAS!$A$4:$A$8,0))</f>
        <v>0</v>
      </c>
    </row>
    <row r="19" customFormat="false" ht="15" hidden="false" customHeight="false" outlineLevel="0" collapsed="false">
      <c r="A19" s="25" t="str">
        <f aca="false">02_INDICADORES!A19</f>
        <v>I08</v>
      </c>
      <c r="B19" s="25" t="str">
        <f aca="false">02_INDICADORES!B19</f>
        <v>IND</v>
      </c>
      <c r="C19" s="21" t="str">
        <f aca="false">02_INDICADORES!C19</f>
        <v>Inversión industrial</v>
      </c>
      <c r="D19" s="22" t="n">
        <f aca="false">02_INDICADORES!D19</f>
        <v>10</v>
      </c>
      <c r="E19" s="23"/>
      <c r="F19" s="23"/>
      <c r="G19" s="23"/>
      <c r="H19" s="16" t="n">
        <f aca="false">IF(E19="",0,1)</f>
        <v>0</v>
      </c>
      <c r="I19" s="16" t="n">
        <f aca="false">D19*H19</f>
        <v>0</v>
      </c>
      <c r="J19" s="16" t="n">
        <f aca="false">IF(H19=1,E19*D19,0)</f>
        <v>0</v>
      </c>
      <c r="K19" s="16" t="str">
        <f aca="false">IF(E19="","",IF(E19&lt;=12,0,IF(E19&lt;=37,25,IF(E19&lt;=62,50,IF(E19&lt;=87,75,100)))))</f>
        <v/>
      </c>
      <c r="L19" s="23"/>
      <c r="M19" s="23"/>
      <c r="N19" s="23"/>
      <c r="O19" s="23"/>
      <c r="P19" s="16" t="str">
        <f aca="false">IF(M19="","",INDEX(16_LISTAS!$A$4:$A$8,MAX(1,INDEX(16_LISTAS!$E$4:$E$9,MATCH(M19,16_LISTAS!$D$4:$D$9,0))-IF(N19="",0,IF(N19&lt;=IF(O19="S",18,12),0,IF(N19&lt;=IF(O19="S",30,24),1,2))))))</f>
        <v/>
      </c>
      <c r="Q19" s="23"/>
      <c r="R19" s="16" t="str">
        <f aca="false">IF(E19="","",IF(Q19="","FALTA CONFIANZA",IF(P19="","FALTA NIVEL FUENTE",IF(MATCH(Q19,16_LISTAS!$A$4:$A$8,0)&gt;MATCH(P19,16_LISTAS!$A$4:$A$8,0),"EXCEDE CONF_MAX","OK"))))</f>
        <v/>
      </c>
      <c r="S19" s="9"/>
      <c r="T19" s="9"/>
      <c r="U19" s="9"/>
      <c r="V19" s="9"/>
      <c r="W19" s="24" t="n">
        <f aca="false">IF(Q19="",0,MATCH(Q19,16_LISTAS!$A$4:$A$8,0))</f>
        <v>0</v>
      </c>
    </row>
    <row r="20" customFormat="false" ht="15" hidden="false" customHeight="false" outlineLevel="0" collapsed="false">
      <c r="A20" s="25" t="str">
        <f aca="false">02_INDICADORES!A20</f>
        <v>I09</v>
      </c>
      <c r="B20" s="25" t="str">
        <f aca="false">02_INDICADORES!B20</f>
        <v>IND</v>
      </c>
      <c r="C20" s="21" t="str">
        <f aca="false">02_INDICADORES!C20</f>
        <v>Escalabilidad</v>
      </c>
      <c r="D20" s="22" t="n">
        <f aca="false">02_INDICADORES!D20</f>
        <v>8</v>
      </c>
      <c r="E20" s="23"/>
      <c r="F20" s="23"/>
      <c r="G20" s="23"/>
      <c r="H20" s="16" t="n">
        <f aca="false">IF(E20="",0,1)</f>
        <v>0</v>
      </c>
      <c r="I20" s="16" t="n">
        <f aca="false">D20*H20</f>
        <v>0</v>
      </c>
      <c r="J20" s="16" t="n">
        <f aca="false">IF(H20=1,E20*D20,0)</f>
        <v>0</v>
      </c>
      <c r="K20" s="16" t="str">
        <f aca="false">IF(E20="","",IF(E20&lt;=12,0,IF(E20&lt;=37,25,IF(E20&lt;=62,50,IF(E20&lt;=87,75,100)))))</f>
        <v/>
      </c>
      <c r="L20" s="23"/>
      <c r="M20" s="23"/>
      <c r="N20" s="23"/>
      <c r="O20" s="23"/>
      <c r="P20" s="16" t="str">
        <f aca="false">IF(M20="","",INDEX(16_LISTAS!$A$4:$A$8,MAX(1,INDEX(16_LISTAS!$E$4:$E$9,MATCH(M20,16_LISTAS!$D$4:$D$9,0))-IF(N20="",0,IF(N20&lt;=IF(O20="S",18,12),0,IF(N20&lt;=IF(O20="S",30,24),1,2))))))</f>
        <v/>
      </c>
      <c r="Q20" s="23"/>
      <c r="R20" s="16" t="str">
        <f aca="false">IF(E20="","",IF(Q20="","FALTA CONFIANZA",IF(P20="","FALTA NIVEL FUENTE",IF(MATCH(Q20,16_LISTAS!$A$4:$A$8,0)&gt;MATCH(P20,16_LISTAS!$A$4:$A$8,0),"EXCEDE CONF_MAX","OK"))))</f>
        <v/>
      </c>
      <c r="S20" s="9"/>
      <c r="T20" s="9"/>
      <c r="U20" s="9"/>
      <c r="V20" s="9"/>
      <c r="W20" s="24" t="n">
        <f aca="false">IF(Q20="",0,MATCH(Q20,16_LISTAS!$A$4:$A$8,0))</f>
        <v>0</v>
      </c>
    </row>
    <row r="21" customFormat="false" ht="15" hidden="false" customHeight="false" outlineLevel="0" collapsed="false">
      <c r="A21" s="25" t="str">
        <f aca="false">02_INDICADORES!A21</f>
        <v>I10</v>
      </c>
      <c r="B21" s="25" t="str">
        <f aca="false">02_INDICADORES!B21</f>
        <v>IND</v>
      </c>
      <c r="C21" s="21" t="str">
        <f aca="false">02_INDICADORES!C21</f>
        <v>Resiliencia industrial</v>
      </c>
      <c r="D21" s="22" t="n">
        <f aca="false">02_INDICADORES!D21</f>
        <v>8</v>
      </c>
      <c r="E21" s="23"/>
      <c r="F21" s="23"/>
      <c r="G21" s="23"/>
      <c r="H21" s="16" t="n">
        <f aca="false">IF(E21="",0,1)</f>
        <v>0</v>
      </c>
      <c r="I21" s="16" t="n">
        <f aca="false">D21*H21</f>
        <v>0</v>
      </c>
      <c r="J21" s="16" t="n">
        <f aca="false">IF(H21=1,E21*D21,0)</f>
        <v>0</v>
      </c>
      <c r="K21" s="16" t="str">
        <f aca="false">IF(E21="","",IF(E21&lt;=12,0,IF(E21&lt;=37,25,IF(E21&lt;=62,50,IF(E21&lt;=87,75,100)))))</f>
        <v/>
      </c>
      <c r="L21" s="23"/>
      <c r="M21" s="23"/>
      <c r="N21" s="23"/>
      <c r="O21" s="23"/>
      <c r="P21" s="16" t="str">
        <f aca="false">IF(M21="","",INDEX(16_LISTAS!$A$4:$A$8,MAX(1,INDEX(16_LISTAS!$E$4:$E$9,MATCH(M21,16_LISTAS!$D$4:$D$9,0))-IF(N21="",0,IF(N21&lt;=IF(O21="S",18,12),0,IF(N21&lt;=IF(O21="S",30,24),1,2))))))</f>
        <v/>
      </c>
      <c r="Q21" s="23"/>
      <c r="R21" s="16" t="str">
        <f aca="false">IF(E21="","",IF(Q21="","FALTA CONFIANZA",IF(P21="","FALTA NIVEL FUENTE",IF(MATCH(Q21,16_LISTAS!$A$4:$A$8,0)&gt;MATCH(P21,16_LISTAS!$A$4:$A$8,0),"EXCEDE CONF_MAX","OK"))))</f>
        <v/>
      </c>
      <c r="S21" s="9"/>
      <c r="T21" s="9"/>
      <c r="U21" s="9"/>
      <c r="V21" s="9"/>
      <c r="W21" s="24" t="n">
        <f aca="false">IF(Q21="",0,MATCH(Q21,16_LISTAS!$A$4:$A$8,0))</f>
        <v>0</v>
      </c>
    </row>
    <row r="22" customFormat="false" ht="15" hidden="false" customHeight="false" outlineLevel="0" collapsed="false">
      <c r="A22" s="26" t="str">
        <f aca="false">02_INDICADORES!A22</f>
        <v>D01</v>
      </c>
      <c r="B22" s="26" t="str">
        <f aca="false">02_INDICADORES!B22</f>
        <v>DEF</v>
      </c>
      <c r="C22" s="21" t="str">
        <f aca="false">02_INDICADORES!C22</f>
        <v>Programas estratégicos</v>
      </c>
      <c r="D22" s="22" t="n">
        <f aca="false">02_INDICADORES!D22</f>
        <v>12</v>
      </c>
      <c r="E22" s="23"/>
      <c r="F22" s="23"/>
      <c r="G22" s="23"/>
      <c r="H22" s="16" t="n">
        <f aca="false">IF(E22="",0,1)</f>
        <v>0</v>
      </c>
      <c r="I22" s="16" t="n">
        <f aca="false">D22*H22</f>
        <v>0</v>
      </c>
      <c r="J22" s="16" t="n">
        <f aca="false">IF(H22=1,E22*D22,0)</f>
        <v>0</v>
      </c>
      <c r="K22" s="16" t="str">
        <f aca="false">IF(E22="","",IF(E22&lt;=12,0,IF(E22&lt;=37,25,IF(E22&lt;=62,50,IF(E22&lt;=87,75,100)))))</f>
        <v/>
      </c>
      <c r="L22" s="23"/>
      <c r="M22" s="23"/>
      <c r="N22" s="23"/>
      <c r="O22" s="23"/>
      <c r="P22" s="16" t="str">
        <f aca="false">IF(M22="","",INDEX(16_LISTAS!$A$4:$A$8,MAX(1,INDEX(16_LISTAS!$E$4:$E$9,MATCH(M22,16_LISTAS!$D$4:$D$9,0))-IF(N22="",0,IF(N22&lt;=IF(O22="S",18,12),0,IF(N22&lt;=IF(O22="S",30,24),1,2))))))</f>
        <v/>
      </c>
      <c r="Q22" s="23"/>
      <c r="R22" s="16" t="str">
        <f aca="false">IF(E22="","",IF(Q22="","FALTA CONFIANZA",IF(P22="","FALTA NIVEL FUENTE",IF(MATCH(Q22,16_LISTAS!$A$4:$A$8,0)&gt;MATCH(P22,16_LISTAS!$A$4:$A$8,0),"EXCEDE CONF_MAX","OK"))))</f>
        <v/>
      </c>
      <c r="S22" s="9"/>
      <c r="T22" s="9"/>
      <c r="U22" s="9"/>
      <c r="V22" s="9"/>
      <c r="W22" s="24" t="n">
        <f aca="false">IF(Q22="",0,MATCH(Q22,16_LISTAS!$A$4:$A$8,0))</f>
        <v>0</v>
      </c>
    </row>
    <row r="23" customFormat="false" ht="15" hidden="false" customHeight="false" outlineLevel="0" collapsed="false">
      <c r="A23" s="26" t="str">
        <f aca="false">02_INDICADORES!A23</f>
        <v>D02</v>
      </c>
      <c r="B23" s="26" t="str">
        <f aca="false">02_INDICADORES!B23</f>
        <v>DEF</v>
      </c>
      <c r="C23" s="21" t="str">
        <f aca="false">02_INDICADORES!C23</f>
        <v>Backlog militar firme</v>
      </c>
      <c r="D23" s="22" t="n">
        <f aca="false">02_INDICADORES!D23</f>
        <v>12</v>
      </c>
      <c r="E23" s="23"/>
      <c r="F23" s="23"/>
      <c r="G23" s="23"/>
      <c r="H23" s="16" t="n">
        <f aca="false">IF(E23="",0,1)</f>
        <v>0</v>
      </c>
      <c r="I23" s="16" t="n">
        <f aca="false">D23*H23</f>
        <v>0</v>
      </c>
      <c r="J23" s="16" t="n">
        <f aca="false">IF(H23=1,E23*D23,0)</f>
        <v>0</v>
      </c>
      <c r="K23" s="16" t="str">
        <f aca="false">IF(E23="","",IF(E23&lt;=12,0,IF(E23&lt;=37,25,IF(E23&lt;=62,50,IF(E23&lt;=87,75,100)))))</f>
        <v/>
      </c>
      <c r="L23" s="23"/>
      <c r="M23" s="23"/>
      <c r="N23" s="23"/>
      <c r="O23" s="23"/>
      <c r="P23" s="16" t="str">
        <f aca="false">IF(M23="","",INDEX(16_LISTAS!$A$4:$A$8,MAX(1,INDEX(16_LISTAS!$E$4:$E$9,MATCH(M23,16_LISTAS!$D$4:$D$9,0))-IF(N23="",0,IF(N23&lt;=IF(O23="S",18,12),0,IF(N23&lt;=IF(O23="S",30,24),1,2))))))</f>
        <v/>
      </c>
      <c r="Q23" s="23"/>
      <c r="R23" s="16" t="str">
        <f aca="false">IF(E23="","",IF(Q23="","FALTA CONFIANZA",IF(P23="","FALTA NIVEL FUENTE",IF(MATCH(Q23,16_LISTAS!$A$4:$A$8,0)&gt;MATCH(P23,16_LISTAS!$A$4:$A$8,0),"EXCEDE CONF_MAX","OK"))))</f>
        <v/>
      </c>
      <c r="S23" s="9"/>
      <c r="T23" s="9"/>
      <c r="U23" s="9"/>
      <c r="V23" s="9"/>
      <c r="W23" s="24" t="n">
        <f aca="false">IF(Q23="",0,MATCH(Q23,16_LISTAS!$A$4:$A$8,0))</f>
        <v>0</v>
      </c>
    </row>
    <row r="24" customFormat="false" ht="15" hidden="false" customHeight="false" outlineLevel="0" collapsed="false">
      <c r="A24" s="26" t="str">
        <f aca="false">02_INDICADORES!A24</f>
        <v>D03</v>
      </c>
      <c r="B24" s="26" t="str">
        <f aca="false">02_INDICADORES!B24</f>
        <v>DEF</v>
      </c>
      <c r="C24" s="21" t="str">
        <f aca="false">02_INDICADORES!C24</f>
        <v>Sostenimiento y ciclo de vida</v>
      </c>
      <c r="D24" s="22" t="n">
        <f aca="false">02_INDICADORES!D24</f>
        <v>9</v>
      </c>
      <c r="E24" s="23"/>
      <c r="F24" s="23"/>
      <c r="G24" s="23"/>
      <c r="H24" s="16" t="n">
        <f aca="false">IF(E24="",0,1)</f>
        <v>0</v>
      </c>
      <c r="I24" s="16" t="n">
        <f aca="false">D24*H24</f>
        <v>0</v>
      </c>
      <c r="J24" s="16" t="n">
        <f aca="false">IF(H24=1,E24*D24,0)</f>
        <v>0</v>
      </c>
      <c r="K24" s="16" t="str">
        <f aca="false">IF(E24="","",IF(E24&lt;=12,0,IF(E24&lt;=37,25,IF(E24&lt;=62,50,IF(E24&lt;=87,75,100)))))</f>
        <v/>
      </c>
      <c r="L24" s="23"/>
      <c r="M24" s="23"/>
      <c r="N24" s="23"/>
      <c r="O24" s="23"/>
      <c r="P24" s="16" t="str">
        <f aca="false">IF(M24="","",INDEX(16_LISTAS!$A$4:$A$8,MAX(1,INDEX(16_LISTAS!$E$4:$E$9,MATCH(M24,16_LISTAS!$D$4:$D$9,0))-IF(N24="",0,IF(N24&lt;=IF(O24="S",18,12),0,IF(N24&lt;=IF(O24="S",30,24),1,2))))))</f>
        <v/>
      </c>
      <c r="Q24" s="23"/>
      <c r="R24" s="16" t="str">
        <f aca="false">IF(E24="","",IF(Q24="","FALTA CONFIANZA",IF(P24="","FALTA NIVEL FUENTE",IF(MATCH(Q24,16_LISTAS!$A$4:$A$8,0)&gt;MATCH(P24,16_LISTAS!$A$4:$A$8,0),"EXCEDE CONF_MAX","OK"))))</f>
        <v/>
      </c>
      <c r="S24" s="9"/>
      <c r="T24" s="9"/>
      <c r="U24" s="9"/>
      <c r="V24" s="9"/>
      <c r="W24" s="24" t="n">
        <f aca="false">IF(Q24="",0,MATCH(Q24,16_LISTAS!$A$4:$A$8,0))</f>
        <v>0</v>
      </c>
    </row>
    <row r="25" customFormat="false" ht="15" hidden="false" customHeight="false" outlineLevel="0" collapsed="false">
      <c r="A25" s="26" t="str">
        <f aca="false">02_INDICADORES!A25</f>
        <v>D04</v>
      </c>
      <c r="B25" s="26" t="str">
        <f aca="false">02_INDICADORES!B25</f>
        <v>DEF</v>
      </c>
      <c r="C25" s="21" t="str">
        <f aca="false">02_INDICADORES!C25</f>
        <v>Integración de sistemas</v>
      </c>
      <c r="D25" s="22" t="n">
        <f aca="false">02_INDICADORES!D25</f>
        <v>10</v>
      </c>
      <c r="E25" s="23"/>
      <c r="F25" s="23"/>
      <c r="G25" s="23"/>
      <c r="H25" s="16" t="n">
        <f aca="false">IF(E25="",0,1)</f>
        <v>0</v>
      </c>
      <c r="I25" s="16" t="n">
        <f aca="false">D25*H25</f>
        <v>0</v>
      </c>
      <c r="J25" s="16" t="n">
        <f aca="false">IF(H25=1,E25*D25,0)</f>
        <v>0</v>
      </c>
      <c r="K25" s="16" t="str">
        <f aca="false">IF(E25="","",IF(E25&lt;=12,0,IF(E25&lt;=37,25,IF(E25&lt;=62,50,IF(E25&lt;=87,75,100)))))</f>
        <v/>
      </c>
      <c r="L25" s="23"/>
      <c r="M25" s="23"/>
      <c r="N25" s="23"/>
      <c r="O25" s="23"/>
      <c r="P25" s="16" t="str">
        <f aca="false">IF(M25="","",INDEX(16_LISTAS!$A$4:$A$8,MAX(1,INDEX(16_LISTAS!$E$4:$E$9,MATCH(M25,16_LISTAS!$D$4:$D$9,0))-IF(N25="",0,IF(N25&lt;=IF(O25="S",18,12),0,IF(N25&lt;=IF(O25="S",30,24),1,2))))))</f>
        <v/>
      </c>
      <c r="Q25" s="23"/>
      <c r="R25" s="16" t="str">
        <f aca="false">IF(E25="","",IF(Q25="","FALTA CONFIANZA",IF(P25="","FALTA NIVEL FUENTE",IF(MATCH(Q25,16_LISTAS!$A$4:$A$8,0)&gt;MATCH(P25,16_LISTAS!$A$4:$A$8,0),"EXCEDE CONF_MAX","OK"))))</f>
        <v/>
      </c>
      <c r="S25" s="9"/>
      <c r="T25" s="9"/>
      <c r="U25" s="9"/>
      <c r="V25" s="9"/>
      <c r="W25" s="24" t="n">
        <f aca="false">IF(Q25="",0,MATCH(Q25,16_LISTAS!$A$4:$A$8,0))</f>
        <v>0</v>
      </c>
    </row>
    <row r="26" customFormat="false" ht="15" hidden="false" customHeight="false" outlineLevel="0" collapsed="false">
      <c r="A26" s="26" t="str">
        <f aca="false">02_INDICADORES!A26</f>
        <v>D05</v>
      </c>
      <c r="B26" s="26" t="str">
        <f aca="false">02_INDICADORES!B26</f>
        <v>DEF</v>
      </c>
      <c r="C26" s="21" t="str">
        <f aca="false">02_INDICADORES!C26</f>
        <v>Tecnologías críticas</v>
      </c>
      <c r="D26" s="22" t="n">
        <f aca="false">02_INDICADORES!D26</f>
        <v>10</v>
      </c>
      <c r="E26" s="23"/>
      <c r="F26" s="23"/>
      <c r="G26" s="23"/>
      <c r="H26" s="16" t="n">
        <f aca="false">IF(E26="",0,1)</f>
        <v>0</v>
      </c>
      <c r="I26" s="16" t="n">
        <f aca="false">D26*H26</f>
        <v>0</v>
      </c>
      <c r="J26" s="16" t="n">
        <f aca="false">IF(H26=1,E26*D26,0)</f>
        <v>0</v>
      </c>
      <c r="K26" s="16" t="str">
        <f aca="false">IF(E26="","",IF(E26&lt;=12,0,IF(E26&lt;=37,25,IF(E26&lt;=62,50,IF(E26&lt;=87,75,100)))))</f>
        <v/>
      </c>
      <c r="L26" s="23"/>
      <c r="M26" s="23"/>
      <c r="N26" s="23"/>
      <c r="O26" s="23"/>
      <c r="P26" s="16" t="str">
        <f aca="false">IF(M26="","",INDEX(16_LISTAS!$A$4:$A$8,MAX(1,INDEX(16_LISTAS!$E$4:$E$9,MATCH(M26,16_LISTAS!$D$4:$D$9,0))-IF(N26="",0,IF(N26&lt;=IF(O26="S",18,12),0,IF(N26&lt;=IF(O26="S",30,24),1,2))))))</f>
        <v/>
      </c>
      <c r="Q26" s="23"/>
      <c r="R26" s="16" t="str">
        <f aca="false">IF(E26="","",IF(Q26="","FALTA CONFIANZA",IF(P26="","FALTA NIVEL FUENTE",IF(MATCH(Q26,16_LISTAS!$A$4:$A$8,0)&gt;MATCH(P26,16_LISTAS!$A$4:$A$8,0),"EXCEDE CONF_MAX","OK"))))</f>
        <v/>
      </c>
      <c r="S26" s="9"/>
      <c r="T26" s="9"/>
      <c r="U26" s="9"/>
      <c r="V26" s="9"/>
      <c r="W26" s="24" t="n">
        <f aca="false">IF(Q26="",0,MATCH(Q26,16_LISTAS!$A$4:$A$8,0))</f>
        <v>0</v>
      </c>
    </row>
    <row r="27" customFormat="false" ht="15" hidden="false" customHeight="false" outlineLevel="0" collapsed="false">
      <c r="A27" s="26" t="str">
        <f aca="false">02_INDICADORES!A27</f>
        <v>D06</v>
      </c>
      <c r="B27" s="26" t="str">
        <f aca="false">02_INDICADORES!B27</f>
        <v>DEF</v>
      </c>
      <c r="C27" s="21" t="str">
        <f aca="false">02_INDICADORES!C27</f>
        <v>Clientes gubernamentales</v>
      </c>
      <c r="D27" s="22" t="n">
        <f aca="false">02_INDICADORES!D27</f>
        <v>8</v>
      </c>
      <c r="E27" s="23"/>
      <c r="F27" s="23"/>
      <c r="G27" s="23"/>
      <c r="H27" s="16" t="n">
        <f aca="false">IF(E27="",0,1)</f>
        <v>0</v>
      </c>
      <c r="I27" s="16" t="n">
        <f aca="false">D27*H27</f>
        <v>0</v>
      </c>
      <c r="J27" s="16" t="n">
        <f aca="false">IF(H27=1,E27*D27,0)</f>
        <v>0</v>
      </c>
      <c r="K27" s="16" t="str">
        <f aca="false">IF(E27="","",IF(E27&lt;=12,0,IF(E27&lt;=37,25,IF(E27&lt;=62,50,IF(E27&lt;=87,75,100)))))</f>
        <v/>
      </c>
      <c r="L27" s="23"/>
      <c r="M27" s="23"/>
      <c r="N27" s="23"/>
      <c r="O27" s="23"/>
      <c r="P27" s="16" t="str">
        <f aca="false">IF(M27="","",INDEX(16_LISTAS!$A$4:$A$8,MAX(1,INDEX(16_LISTAS!$E$4:$E$9,MATCH(M27,16_LISTAS!$D$4:$D$9,0))-IF(N27="",0,IF(N27&lt;=IF(O27="S",18,12),0,IF(N27&lt;=IF(O27="S",30,24),1,2))))))</f>
        <v/>
      </c>
      <c r="Q27" s="23"/>
      <c r="R27" s="16" t="str">
        <f aca="false">IF(E27="","",IF(Q27="","FALTA CONFIANZA",IF(P27="","FALTA NIVEL FUENTE",IF(MATCH(Q27,16_LISTAS!$A$4:$A$8,0)&gt;MATCH(P27,16_LISTAS!$A$4:$A$8,0),"EXCEDE CONF_MAX","OK"))))</f>
        <v/>
      </c>
      <c r="S27" s="9"/>
      <c r="T27" s="9"/>
      <c r="U27" s="9"/>
      <c r="V27" s="9"/>
      <c r="W27" s="24" t="n">
        <f aca="false">IF(Q27="",0,MATCH(Q27,16_LISTAS!$A$4:$A$8,0))</f>
        <v>0</v>
      </c>
    </row>
    <row r="28" customFormat="false" ht="15" hidden="false" customHeight="false" outlineLevel="0" collapsed="false">
      <c r="A28" s="26" t="str">
        <f aca="false">02_INDICADORES!A28</f>
        <v>D07</v>
      </c>
      <c r="B28" s="26" t="str">
        <f aca="false">02_INDICADORES!B28</f>
        <v>DEF</v>
      </c>
      <c r="C28" s="21" t="str">
        <f aca="false">02_INDICADORES!C28</f>
        <v>Exportación de defensa</v>
      </c>
      <c r="D28" s="22" t="n">
        <f aca="false">02_INDICADORES!D28</f>
        <v>8</v>
      </c>
      <c r="E28" s="23"/>
      <c r="F28" s="23"/>
      <c r="G28" s="23"/>
      <c r="H28" s="16" t="n">
        <f aca="false">IF(E28="",0,1)</f>
        <v>0</v>
      </c>
      <c r="I28" s="16" t="n">
        <f aca="false">D28*H28</f>
        <v>0</v>
      </c>
      <c r="J28" s="16" t="n">
        <f aca="false">IF(H28=1,E28*D28,0)</f>
        <v>0</v>
      </c>
      <c r="K28" s="16" t="str">
        <f aca="false">IF(E28="","",IF(E28&lt;=12,0,IF(E28&lt;=37,25,IF(E28&lt;=62,50,IF(E28&lt;=87,75,100)))))</f>
        <v/>
      </c>
      <c r="L28" s="23"/>
      <c r="M28" s="23"/>
      <c r="N28" s="23"/>
      <c r="O28" s="23"/>
      <c r="P28" s="16" t="str">
        <f aca="false">IF(M28="","",INDEX(16_LISTAS!$A$4:$A$8,MAX(1,INDEX(16_LISTAS!$E$4:$E$9,MATCH(M28,16_LISTAS!$D$4:$D$9,0))-IF(N28="",0,IF(N28&lt;=IF(O28="S",18,12),0,IF(N28&lt;=IF(O28="S",30,24),1,2))))))</f>
        <v/>
      </c>
      <c r="Q28" s="23"/>
      <c r="R28" s="16" t="str">
        <f aca="false">IF(E28="","",IF(Q28="","FALTA CONFIANZA",IF(P28="","FALTA NIVEL FUENTE",IF(MATCH(Q28,16_LISTAS!$A$4:$A$8,0)&gt;MATCH(P28,16_LISTAS!$A$4:$A$8,0),"EXCEDE CONF_MAX","OK"))))</f>
        <v/>
      </c>
      <c r="S28" s="9"/>
      <c r="T28" s="9"/>
      <c r="U28" s="9"/>
      <c r="V28" s="9"/>
      <c r="W28" s="24" t="n">
        <f aca="false">IF(Q28="",0,MATCH(Q28,16_LISTAS!$A$4:$A$8,0))</f>
        <v>0</v>
      </c>
    </row>
    <row r="29" customFormat="false" ht="15" hidden="false" customHeight="false" outlineLevel="0" collapsed="false">
      <c r="A29" s="26" t="str">
        <f aca="false">02_INDICADORES!A29</f>
        <v>D08</v>
      </c>
      <c r="B29" s="26" t="str">
        <f aca="false">02_INDICADORES!B29</f>
        <v>DEF</v>
      </c>
      <c r="C29" s="21" t="str">
        <f aca="false">02_INDICADORES!C29</f>
        <v>Interoperabilidad y estándares</v>
      </c>
      <c r="D29" s="22" t="n">
        <f aca="false">02_INDICADORES!D29</f>
        <v>6</v>
      </c>
      <c r="E29" s="23"/>
      <c r="F29" s="23"/>
      <c r="G29" s="23"/>
      <c r="H29" s="16" t="n">
        <f aca="false">IF(E29="",0,1)</f>
        <v>0</v>
      </c>
      <c r="I29" s="16" t="n">
        <f aca="false">D29*H29</f>
        <v>0</v>
      </c>
      <c r="J29" s="16" t="n">
        <f aca="false">IF(H29=1,E29*D29,0)</f>
        <v>0</v>
      </c>
      <c r="K29" s="16" t="str">
        <f aca="false">IF(E29="","",IF(E29&lt;=12,0,IF(E29&lt;=37,25,IF(E29&lt;=62,50,IF(E29&lt;=87,75,100)))))</f>
        <v/>
      </c>
      <c r="L29" s="23"/>
      <c r="M29" s="23"/>
      <c r="N29" s="23"/>
      <c r="O29" s="23"/>
      <c r="P29" s="16" t="str">
        <f aca="false">IF(M29="","",INDEX(16_LISTAS!$A$4:$A$8,MAX(1,INDEX(16_LISTAS!$E$4:$E$9,MATCH(M29,16_LISTAS!$D$4:$D$9,0))-IF(N29="",0,IF(N29&lt;=IF(O29="S",18,12),0,IF(N29&lt;=IF(O29="S",30,24),1,2))))))</f>
        <v/>
      </c>
      <c r="Q29" s="23"/>
      <c r="R29" s="16" t="str">
        <f aca="false">IF(E29="","",IF(Q29="","FALTA CONFIANZA",IF(P29="","FALTA NIVEL FUENTE",IF(MATCH(Q29,16_LISTAS!$A$4:$A$8,0)&gt;MATCH(P29,16_LISTAS!$A$4:$A$8,0),"EXCEDE CONF_MAX","OK"))))</f>
        <v/>
      </c>
      <c r="S29" s="9"/>
      <c r="T29" s="9"/>
      <c r="U29" s="9"/>
      <c r="V29" s="9"/>
      <c r="W29" s="24" t="n">
        <f aca="false">IF(Q29="",0,MATCH(Q29,16_LISTAS!$A$4:$A$8,0))</f>
        <v>0</v>
      </c>
    </row>
    <row r="30" customFormat="false" ht="15" hidden="false" customHeight="false" outlineLevel="0" collapsed="false">
      <c r="A30" s="26" t="str">
        <f aca="false">02_INDICADORES!A30</f>
        <v>D09</v>
      </c>
      <c r="B30" s="26" t="str">
        <f aca="false">02_INDICADORES!B30</f>
        <v>DEF</v>
      </c>
      <c r="C30" s="21" t="str">
        <f aca="false">02_INDICADORES!C30</f>
        <v>Propiedad intelectual y know-how</v>
      </c>
      <c r="D30" s="22" t="n">
        <f aca="false">02_INDICADORES!D30</f>
        <v>7</v>
      </c>
      <c r="E30" s="23"/>
      <c r="F30" s="23"/>
      <c r="G30" s="23"/>
      <c r="H30" s="16" t="n">
        <f aca="false">IF(E30="",0,1)</f>
        <v>0</v>
      </c>
      <c r="I30" s="16" t="n">
        <f aca="false">D30*H30</f>
        <v>0</v>
      </c>
      <c r="J30" s="16" t="n">
        <f aca="false">IF(H30=1,E30*D30,0)</f>
        <v>0</v>
      </c>
      <c r="K30" s="16" t="str">
        <f aca="false">IF(E30="","",IF(E30&lt;=12,0,IF(E30&lt;=37,25,IF(E30&lt;=62,50,IF(E30&lt;=87,75,100)))))</f>
        <v/>
      </c>
      <c r="L30" s="23"/>
      <c r="M30" s="23"/>
      <c r="N30" s="23"/>
      <c r="O30" s="23"/>
      <c r="P30" s="16" t="str">
        <f aca="false">IF(M30="","",INDEX(16_LISTAS!$A$4:$A$8,MAX(1,INDEX(16_LISTAS!$E$4:$E$9,MATCH(M30,16_LISTAS!$D$4:$D$9,0))-IF(N30="",0,IF(N30&lt;=IF(O30="S",18,12),0,IF(N30&lt;=IF(O30="S",30,24),1,2))))))</f>
        <v/>
      </c>
      <c r="Q30" s="23"/>
      <c r="R30" s="16" t="str">
        <f aca="false">IF(E30="","",IF(Q30="","FALTA CONFIANZA",IF(P30="","FALTA NIVEL FUENTE",IF(MATCH(Q30,16_LISTAS!$A$4:$A$8,0)&gt;MATCH(P30,16_LISTAS!$A$4:$A$8,0),"EXCEDE CONF_MAX","OK"))))</f>
        <v/>
      </c>
      <c r="S30" s="9"/>
      <c r="T30" s="9"/>
      <c r="U30" s="9"/>
      <c r="V30" s="9"/>
      <c r="W30" s="24" t="n">
        <f aca="false">IF(Q30="",0,MATCH(Q30,16_LISTAS!$A$4:$A$8,0))</f>
        <v>0</v>
      </c>
    </row>
    <row r="31" customFormat="false" ht="23.85" hidden="false" customHeight="false" outlineLevel="0" collapsed="false">
      <c r="A31" s="26" t="str">
        <f aca="false">02_INDICADORES!A31</f>
        <v>D10</v>
      </c>
      <c r="B31" s="26" t="str">
        <f aca="false">02_INDICADORES!B31</f>
        <v>DEF</v>
      </c>
      <c r="C31" s="21" t="str">
        <f aca="false">02_INDICADORES!C31</f>
        <v>Autonomía, soberanía y control de exportaciones</v>
      </c>
      <c r="D31" s="22" t="n">
        <f aca="false">02_INDICADORES!D31</f>
        <v>8</v>
      </c>
      <c r="E31" s="23"/>
      <c r="F31" s="23"/>
      <c r="G31" s="23"/>
      <c r="H31" s="16" t="n">
        <f aca="false">IF(E31="",0,1)</f>
        <v>0</v>
      </c>
      <c r="I31" s="16" t="n">
        <f aca="false">D31*H31</f>
        <v>0</v>
      </c>
      <c r="J31" s="16" t="n">
        <f aca="false">IF(H31=1,E31*D31,0)</f>
        <v>0</v>
      </c>
      <c r="K31" s="16" t="str">
        <f aca="false">IF(E31="","",IF(E31&lt;=12,0,IF(E31&lt;=37,25,IF(E31&lt;=62,50,IF(E31&lt;=87,75,100)))))</f>
        <v/>
      </c>
      <c r="L31" s="23"/>
      <c r="M31" s="23"/>
      <c r="N31" s="23"/>
      <c r="O31" s="23"/>
      <c r="P31" s="16" t="str">
        <f aca="false">IF(M31="","",INDEX(16_LISTAS!$A$4:$A$8,MAX(1,INDEX(16_LISTAS!$E$4:$E$9,MATCH(M31,16_LISTAS!$D$4:$D$9,0))-IF(N31="",0,IF(N31&lt;=IF(O31="S",18,12),0,IF(N31&lt;=IF(O31="S",30,24),1,2))))))</f>
        <v/>
      </c>
      <c r="Q31" s="23"/>
      <c r="R31" s="16" t="str">
        <f aca="false">IF(E31="","",IF(Q31="","FALTA CONFIANZA",IF(P31="","FALTA NIVEL FUENTE",IF(MATCH(Q31,16_LISTAS!$A$4:$A$8,0)&gt;MATCH(P31,16_LISTAS!$A$4:$A$8,0),"EXCEDE CONF_MAX","OK"))))</f>
        <v/>
      </c>
      <c r="S31" s="9"/>
      <c r="T31" s="9"/>
      <c r="U31" s="9"/>
      <c r="V31" s="9"/>
      <c r="W31" s="24" t="n">
        <f aca="false">IF(Q31="",0,MATCH(Q31,16_LISTAS!$A$4:$A$8,0))</f>
        <v>0</v>
      </c>
    </row>
    <row r="32" customFormat="false" ht="15" hidden="false" customHeight="false" outlineLevel="0" collapsed="false">
      <c r="A32" s="26" t="str">
        <f aca="false">02_INDICADORES!A32</f>
        <v>D11</v>
      </c>
      <c r="B32" s="26" t="str">
        <f aca="false">02_INDICADORES!B32</f>
        <v>DEF</v>
      </c>
      <c r="C32" s="21" t="str">
        <f aca="false">02_INDICADORES!C32</f>
        <v>Pipeline estratégico</v>
      </c>
      <c r="D32" s="22" t="n">
        <f aca="false">02_INDICADORES!D32</f>
        <v>5</v>
      </c>
      <c r="E32" s="23"/>
      <c r="F32" s="23"/>
      <c r="G32" s="23"/>
      <c r="H32" s="16" t="n">
        <f aca="false">IF(E32="",0,1)</f>
        <v>0</v>
      </c>
      <c r="I32" s="16" t="n">
        <f aca="false">D32*H32</f>
        <v>0</v>
      </c>
      <c r="J32" s="16" t="n">
        <f aca="false">IF(H32=1,E32*D32,0)</f>
        <v>0</v>
      </c>
      <c r="K32" s="16" t="str">
        <f aca="false">IF(E32="","",IF(E32&lt;=12,0,IF(E32&lt;=37,25,IF(E32&lt;=62,50,IF(E32&lt;=87,75,100)))))</f>
        <v/>
      </c>
      <c r="L32" s="23"/>
      <c r="M32" s="23"/>
      <c r="N32" s="23"/>
      <c r="O32" s="23"/>
      <c r="P32" s="16" t="str">
        <f aca="false">IF(M32="","",INDEX(16_LISTAS!$A$4:$A$8,MAX(1,INDEX(16_LISTAS!$E$4:$E$9,MATCH(M32,16_LISTAS!$D$4:$D$9,0))-IF(N32="",0,IF(N32&lt;=IF(O32="S",18,12),0,IF(N32&lt;=IF(O32="S",30,24),1,2))))))</f>
        <v/>
      </c>
      <c r="Q32" s="23"/>
      <c r="R32" s="16" t="str">
        <f aca="false">IF(E32="","",IF(Q32="","FALTA CONFIANZA",IF(P32="","FALTA NIVEL FUENTE",IF(MATCH(Q32,16_LISTAS!$A$4:$A$8,0)&gt;MATCH(P32,16_LISTAS!$A$4:$A$8,0),"EXCEDE CONF_MAX","OK"))))</f>
        <v/>
      </c>
      <c r="S32" s="9"/>
      <c r="T32" s="9"/>
      <c r="U32" s="9"/>
      <c r="V32" s="9"/>
      <c r="W32" s="24" t="n">
        <f aca="false">IF(Q32="",0,MATCH(Q32,16_LISTAS!$A$4:$A$8,0))</f>
        <v>0</v>
      </c>
    </row>
    <row r="33" customFormat="false" ht="15" hidden="false" customHeight="false" outlineLevel="0" collapsed="false">
      <c r="A33" s="26" t="str">
        <f aca="false">02_INDICADORES!A33</f>
        <v>D12</v>
      </c>
      <c r="B33" s="26" t="str">
        <f aca="false">02_INDICADORES!B33</f>
        <v>DEF</v>
      </c>
      <c r="C33" s="21" t="str">
        <f aca="false">02_INDICADORES!C33</f>
        <v>Concentración de programas y clientes</v>
      </c>
      <c r="D33" s="22" t="n">
        <f aca="false">02_INDICADORES!D33</f>
        <v>5</v>
      </c>
      <c r="E33" s="23"/>
      <c r="F33" s="23"/>
      <c r="G33" s="23"/>
      <c r="H33" s="16" t="n">
        <f aca="false">IF(E33="",0,1)</f>
        <v>0</v>
      </c>
      <c r="I33" s="16" t="n">
        <f aca="false">D33*H33</f>
        <v>0</v>
      </c>
      <c r="J33" s="16" t="n">
        <f aca="false">IF(H33=1,E33*D33,0)</f>
        <v>0</v>
      </c>
      <c r="K33" s="16" t="str">
        <f aca="false">IF(E33="","",IF(E33&lt;=12,0,IF(E33&lt;=37,25,IF(E33&lt;=62,50,IF(E33&lt;=87,75,100)))))</f>
        <v/>
      </c>
      <c r="L33" s="23"/>
      <c r="M33" s="23"/>
      <c r="N33" s="23"/>
      <c r="O33" s="23"/>
      <c r="P33" s="16" t="str">
        <f aca="false">IF(M33="","",INDEX(16_LISTAS!$A$4:$A$8,MAX(1,INDEX(16_LISTAS!$E$4:$E$9,MATCH(M33,16_LISTAS!$D$4:$D$9,0))-IF(N33="",0,IF(N33&lt;=IF(O33="S",18,12),0,IF(N33&lt;=IF(O33="S",30,24),1,2))))))</f>
        <v/>
      </c>
      <c r="Q33" s="23"/>
      <c r="R33" s="16" t="str">
        <f aca="false">IF(E33="","",IF(Q33="","FALTA CONFIANZA",IF(P33="","FALTA NIVEL FUENTE",IF(MATCH(Q33,16_LISTAS!$A$4:$A$8,0)&gt;MATCH(P33,16_LISTAS!$A$4:$A$8,0),"EXCEDE CONF_MAX","OK"))))</f>
        <v/>
      </c>
      <c r="S33" s="9"/>
      <c r="T33" s="9"/>
      <c r="U33" s="9"/>
      <c r="V33" s="9"/>
      <c r="W33" s="24" t="n">
        <f aca="false">IF(Q33="",0,MATCH(Q33,16_LISTAS!$A$4:$A$8,0))</f>
        <v>0</v>
      </c>
    </row>
    <row r="34" customFormat="false" ht="15" hidden="false" customHeight="false" outlineLevel="0" collapsed="false">
      <c r="A34" s="27" t="str">
        <f aca="false">02_INDICADORES!A34</f>
        <v>P01</v>
      </c>
      <c r="B34" s="27" t="str">
        <f aca="false">02_INDICADORES!B34</f>
        <v>PRO</v>
      </c>
      <c r="C34" s="21" t="str">
        <f aca="false">02_INDICADORES!C34</f>
        <v>Crecimiento esperado de ingresos</v>
      </c>
      <c r="D34" s="22" t="n">
        <f aca="false">02_INDICADORES!D34</f>
        <v>12</v>
      </c>
      <c r="E34" s="23"/>
      <c r="F34" s="23"/>
      <c r="G34" s="23"/>
      <c r="H34" s="16" t="n">
        <f aca="false">IF(E34="",0,1)</f>
        <v>0</v>
      </c>
      <c r="I34" s="16" t="n">
        <f aca="false">D34*H34</f>
        <v>0</v>
      </c>
      <c r="J34" s="16" t="n">
        <f aca="false">IF(H34=1,E34*D34,0)</f>
        <v>0</v>
      </c>
      <c r="K34" s="16" t="str">
        <f aca="false">IF(E34="","",IF(E34&lt;=12,0,IF(E34&lt;=37,25,IF(E34&lt;=62,50,IF(E34&lt;=87,75,100)))))</f>
        <v/>
      </c>
      <c r="L34" s="23"/>
      <c r="M34" s="23"/>
      <c r="N34" s="23"/>
      <c r="O34" s="23"/>
      <c r="P34" s="16" t="str">
        <f aca="false">IF(M34="","",INDEX(16_LISTAS!$A$4:$A$8,MAX(1,INDEX(16_LISTAS!$E$4:$E$9,MATCH(M34,16_LISTAS!$D$4:$D$9,0))-IF(N34="",0,IF(N34&lt;=IF(O34="S",18,12),0,IF(N34&lt;=IF(O34="S",30,24),1,2))))))</f>
        <v/>
      </c>
      <c r="Q34" s="23"/>
      <c r="R34" s="16" t="str">
        <f aca="false">IF(E34="","",IF(Q34="","FALTA CONFIANZA",IF(P34="","FALTA NIVEL FUENTE",IF(MATCH(Q34,16_LISTAS!$A$4:$A$8,0)&gt;MATCH(P34,16_LISTAS!$A$4:$A$8,0),"EXCEDE CONF_MAX","OK"))))</f>
        <v/>
      </c>
      <c r="S34" s="9"/>
      <c r="T34" s="9"/>
      <c r="U34" s="9"/>
      <c r="V34" s="9"/>
      <c r="W34" s="24" t="n">
        <f aca="false">IF(Q34="",0,MATCH(Q34,16_LISTAS!$A$4:$A$8,0))</f>
        <v>0</v>
      </c>
    </row>
    <row r="35" customFormat="false" ht="15" hidden="false" customHeight="false" outlineLevel="0" collapsed="false">
      <c r="A35" s="27" t="str">
        <f aca="false">02_INDICADORES!A35</f>
        <v>P02</v>
      </c>
      <c r="B35" s="27" t="str">
        <f aca="false">02_INDICADORES!B35</f>
        <v>PRO</v>
      </c>
      <c r="C35" s="21" t="str">
        <f aca="false">02_INDICADORES!C35</f>
        <v>Visibilidad 12–24 meses</v>
      </c>
      <c r="D35" s="22" t="n">
        <f aca="false">02_INDICADORES!D35</f>
        <v>14</v>
      </c>
      <c r="E35" s="23"/>
      <c r="F35" s="23"/>
      <c r="G35" s="23"/>
      <c r="H35" s="16" t="n">
        <f aca="false">IF(E35="",0,1)</f>
        <v>0</v>
      </c>
      <c r="I35" s="16" t="n">
        <f aca="false">D35*H35</f>
        <v>0</v>
      </c>
      <c r="J35" s="16" t="n">
        <f aca="false">IF(H35=1,E35*D35,0)</f>
        <v>0</v>
      </c>
      <c r="K35" s="16" t="str">
        <f aca="false">IF(E35="","",IF(E35&lt;=12,0,IF(E35&lt;=37,25,IF(E35&lt;=62,50,IF(E35&lt;=87,75,100)))))</f>
        <v/>
      </c>
      <c r="L35" s="23"/>
      <c r="M35" s="23"/>
      <c r="N35" s="23"/>
      <c r="O35" s="23"/>
      <c r="P35" s="16" t="str">
        <f aca="false">IF(M35="","",INDEX(16_LISTAS!$A$4:$A$8,MAX(1,INDEX(16_LISTAS!$E$4:$E$9,MATCH(M35,16_LISTAS!$D$4:$D$9,0))-IF(N35="",0,IF(N35&lt;=IF(O35="S",18,12),0,IF(N35&lt;=IF(O35="S",30,24),1,2))))))</f>
        <v/>
      </c>
      <c r="Q35" s="23"/>
      <c r="R35" s="16" t="str">
        <f aca="false">IF(E35="","",IF(Q35="","FALTA CONFIANZA",IF(P35="","FALTA NIVEL FUENTE",IF(MATCH(Q35,16_LISTAS!$A$4:$A$8,0)&gt;MATCH(P35,16_LISTAS!$A$4:$A$8,0),"EXCEDE CONF_MAX","OK"))))</f>
        <v/>
      </c>
      <c r="S35" s="9"/>
      <c r="T35" s="9"/>
      <c r="U35" s="9"/>
      <c r="V35" s="9"/>
      <c r="W35" s="24" t="n">
        <f aca="false">IF(Q35="",0,MATCH(Q35,16_LISTAS!$A$4:$A$8,0))</f>
        <v>0</v>
      </c>
    </row>
    <row r="36" customFormat="false" ht="15" hidden="false" customHeight="false" outlineLevel="0" collapsed="false">
      <c r="A36" s="27" t="str">
        <f aca="false">02_INDICADORES!A36</f>
        <v>P03</v>
      </c>
      <c r="B36" s="27" t="str">
        <f aca="false">02_INDICADORES!B36</f>
        <v>PRO</v>
      </c>
      <c r="C36" s="21" t="str">
        <f aca="false">02_INDICADORES!C36</f>
        <v>Visibilidad 3–5 años</v>
      </c>
      <c r="D36" s="22" t="n">
        <f aca="false">02_INDICADORES!D36</f>
        <v>10</v>
      </c>
      <c r="E36" s="23"/>
      <c r="F36" s="23"/>
      <c r="G36" s="23"/>
      <c r="H36" s="16" t="n">
        <f aca="false">IF(E36="",0,1)</f>
        <v>0</v>
      </c>
      <c r="I36" s="16" t="n">
        <f aca="false">D36*H36</f>
        <v>0</v>
      </c>
      <c r="J36" s="16" t="n">
        <f aca="false">IF(H36=1,E36*D36,0)</f>
        <v>0</v>
      </c>
      <c r="K36" s="16" t="str">
        <f aca="false">IF(E36="","",IF(E36&lt;=12,0,IF(E36&lt;=37,25,IF(E36&lt;=62,50,IF(E36&lt;=87,75,100)))))</f>
        <v/>
      </c>
      <c r="L36" s="23"/>
      <c r="M36" s="23"/>
      <c r="N36" s="23"/>
      <c r="O36" s="23"/>
      <c r="P36" s="16" t="str">
        <f aca="false">IF(M36="","",INDEX(16_LISTAS!$A$4:$A$8,MAX(1,INDEX(16_LISTAS!$E$4:$E$9,MATCH(M36,16_LISTAS!$D$4:$D$9,0))-IF(N36="",0,IF(N36&lt;=IF(O36="S",18,12),0,IF(N36&lt;=IF(O36="S",30,24),1,2))))))</f>
        <v/>
      </c>
      <c r="Q36" s="23"/>
      <c r="R36" s="16" t="str">
        <f aca="false">IF(E36="","",IF(Q36="","FALTA CONFIANZA",IF(P36="","FALTA NIVEL FUENTE",IF(MATCH(Q36,16_LISTAS!$A$4:$A$8,0)&gt;MATCH(P36,16_LISTAS!$A$4:$A$8,0),"EXCEDE CONF_MAX","OK"))))</f>
        <v/>
      </c>
      <c r="S36" s="9"/>
      <c r="T36" s="9"/>
      <c r="U36" s="9"/>
      <c r="V36" s="9"/>
      <c r="W36" s="24" t="n">
        <f aca="false">IF(Q36="",0,MATCH(Q36,16_LISTAS!$A$4:$A$8,0))</f>
        <v>0</v>
      </c>
    </row>
    <row r="37" customFormat="false" ht="15" hidden="false" customHeight="false" outlineLevel="0" collapsed="false">
      <c r="A37" s="27" t="str">
        <f aca="false">02_INDICADORES!A37</f>
        <v>P04</v>
      </c>
      <c r="B37" s="27" t="str">
        <f aca="false">02_INDICADORES!B37</f>
        <v>PRO</v>
      </c>
      <c r="C37" s="21" t="str">
        <f aca="false">02_INDICADORES!C37</f>
        <v>Visibilidad 5–10 años</v>
      </c>
      <c r="D37" s="22" t="n">
        <f aca="false">02_INDICADORES!D37</f>
        <v>6</v>
      </c>
      <c r="E37" s="23"/>
      <c r="F37" s="23"/>
      <c r="G37" s="23"/>
      <c r="H37" s="16" t="n">
        <f aca="false">IF(E37="",0,1)</f>
        <v>0</v>
      </c>
      <c r="I37" s="16" t="n">
        <f aca="false">D37*H37</f>
        <v>0</v>
      </c>
      <c r="J37" s="16" t="n">
        <f aca="false">IF(H37=1,E37*D37,0)</f>
        <v>0</v>
      </c>
      <c r="K37" s="16" t="str">
        <f aca="false">IF(E37="","",IF(E37&lt;=12,0,IF(E37&lt;=37,25,IF(E37&lt;=62,50,IF(E37&lt;=87,75,100)))))</f>
        <v/>
      </c>
      <c r="L37" s="23"/>
      <c r="M37" s="23"/>
      <c r="N37" s="23"/>
      <c r="O37" s="23"/>
      <c r="P37" s="16" t="str">
        <f aca="false">IF(M37="","",INDEX(16_LISTAS!$A$4:$A$8,MAX(1,INDEX(16_LISTAS!$E$4:$E$9,MATCH(M37,16_LISTAS!$D$4:$D$9,0))-IF(N37="",0,IF(N37&lt;=IF(O37="S",18,12),0,IF(N37&lt;=IF(O37="S",30,24),1,2))))))</f>
        <v/>
      </c>
      <c r="Q37" s="23"/>
      <c r="R37" s="16" t="str">
        <f aca="false">IF(E37="","",IF(Q37="","FALTA CONFIANZA",IF(P37="","FALTA NIVEL FUENTE",IF(MATCH(Q37,16_LISTAS!$A$4:$A$8,0)&gt;MATCH(P37,16_LISTAS!$A$4:$A$8,0),"EXCEDE CONF_MAX","OK"))))</f>
        <v/>
      </c>
      <c r="S37" s="9"/>
      <c r="T37" s="9"/>
      <c r="U37" s="9"/>
      <c r="V37" s="9"/>
      <c r="W37" s="24" t="n">
        <f aca="false">IF(Q37="",0,MATCH(Q37,16_LISTAS!$A$4:$A$8,0))</f>
        <v>0</v>
      </c>
    </row>
    <row r="38" customFormat="false" ht="15" hidden="false" customHeight="false" outlineLevel="0" collapsed="false">
      <c r="A38" s="27" t="str">
        <f aca="false">02_INDICADORES!A38</f>
        <v>P05</v>
      </c>
      <c r="B38" s="27" t="str">
        <f aca="false">02_INDICADORES!B38</f>
        <v>PRO</v>
      </c>
      <c r="C38" s="21" t="str">
        <f aca="false">02_INDICADORES!C38</f>
        <v>Conversión a rentabilidad</v>
      </c>
      <c r="D38" s="22" t="n">
        <f aca="false">02_INDICADORES!D38</f>
        <v>14</v>
      </c>
      <c r="E38" s="23"/>
      <c r="F38" s="23"/>
      <c r="G38" s="23"/>
      <c r="H38" s="16" t="n">
        <f aca="false">IF(E38="",0,1)</f>
        <v>0</v>
      </c>
      <c r="I38" s="16" t="n">
        <f aca="false">D38*H38</f>
        <v>0</v>
      </c>
      <c r="J38" s="16" t="n">
        <f aca="false">IF(H38=1,E38*D38,0)</f>
        <v>0</v>
      </c>
      <c r="K38" s="16" t="str">
        <f aca="false">IF(E38="","",IF(E38&lt;=12,0,IF(E38&lt;=37,25,IF(E38&lt;=62,50,IF(E38&lt;=87,75,100)))))</f>
        <v/>
      </c>
      <c r="L38" s="23"/>
      <c r="M38" s="23"/>
      <c r="N38" s="23"/>
      <c r="O38" s="23"/>
      <c r="P38" s="16" t="str">
        <f aca="false">IF(M38="","",INDEX(16_LISTAS!$A$4:$A$8,MAX(1,INDEX(16_LISTAS!$E$4:$E$9,MATCH(M38,16_LISTAS!$D$4:$D$9,0))-IF(N38="",0,IF(N38&lt;=IF(O38="S",18,12),0,IF(N38&lt;=IF(O38="S",30,24),1,2))))))</f>
        <v/>
      </c>
      <c r="Q38" s="23"/>
      <c r="R38" s="16" t="str">
        <f aca="false">IF(E38="","",IF(Q38="","FALTA CONFIANZA",IF(P38="","FALTA NIVEL FUENTE",IF(MATCH(Q38,16_LISTAS!$A$4:$A$8,0)&gt;MATCH(P38,16_LISTAS!$A$4:$A$8,0),"EXCEDE CONF_MAX","OK"))))</f>
        <v/>
      </c>
      <c r="S38" s="9"/>
      <c r="T38" s="9"/>
      <c r="U38" s="9"/>
      <c r="V38" s="9"/>
      <c r="W38" s="24" t="n">
        <f aca="false">IF(Q38="",0,MATCH(Q38,16_LISTAS!$A$4:$A$8,0))</f>
        <v>0</v>
      </c>
    </row>
    <row r="39" customFormat="false" ht="15" hidden="false" customHeight="false" outlineLevel="0" collapsed="false">
      <c r="A39" s="27" t="str">
        <f aca="false">02_INDICADORES!A39</f>
        <v>P06</v>
      </c>
      <c r="B39" s="27" t="str">
        <f aca="false">02_INDICADORES!B39</f>
        <v>PRO</v>
      </c>
      <c r="C39" s="21" t="str">
        <f aca="false">02_INDICADORES!C39</f>
        <v>Capacidad de ejecución futura</v>
      </c>
      <c r="D39" s="22" t="n">
        <f aca="false">02_INDICADORES!D39</f>
        <v>12</v>
      </c>
      <c r="E39" s="23"/>
      <c r="F39" s="23"/>
      <c r="G39" s="23"/>
      <c r="H39" s="16" t="n">
        <f aca="false">IF(E39="",0,1)</f>
        <v>0</v>
      </c>
      <c r="I39" s="16" t="n">
        <f aca="false">D39*H39</f>
        <v>0</v>
      </c>
      <c r="J39" s="16" t="n">
        <f aca="false">IF(H39=1,E39*D39,0)</f>
        <v>0</v>
      </c>
      <c r="K39" s="16" t="str">
        <f aca="false">IF(E39="","",IF(E39&lt;=12,0,IF(E39&lt;=37,25,IF(E39&lt;=62,50,IF(E39&lt;=87,75,100)))))</f>
        <v/>
      </c>
      <c r="L39" s="23"/>
      <c r="M39" s="23"/>
      <c r="N39" s="23"/>
      <c r="O39" s="23"/>
      <c r="P39" s="16" t="str">
        <f aca="false">IF(M39="","",INDEX(16_LISTAS!$A$4:$A$8,MAX(1,INDEX(16_LISTAS!$E$4:$E$9,MATCH(M39,16_LISTAS!$D$4:$D$9,0))-IF(N39="",0,IF(N39&lt;=IF(O39="S",18,12),0,IF(N39&lt;=IF(O39="S",30,24),1,2))))))</f>
        <v/>
      </c>
      <c r="Q39" s="23"/>
      <c r="R39" s="16" t="str">
        <f aca="false">IF(E39="","",IF(Q39="","FALTA CONFIANZA",IF(P39="","FALTA NIVEL FUENTE",IF(MATCH(Q39,16_LISTAS!$A$4:$A$8,0)&gt;MATCH(P39,16_LISTAS!$A$4:$A$8,0),"EXCEDE CONF_MAX","OK"))))</f>
        <v/>
      </c>
      <c r="S39" s="9"/>
      <c r="T39" s="9"/>
      <c r="U39" s="9"/>
      <c r="V39" s="9"/>
      <c r="W39" s="24" t="n">
        <f aca="false">IF(Q39="",0,MATCH(Q39,16_LISTAS!$A$4:$A$8,0))</f>
        <v>0</v>
      </c>
    </row>
    <row r="40" customFormat="false" ht="15" hidden="false" customHeight="false" outlineLevel="0" collapsed="false">
      <c r="A40" s="27" t="str">
        <f aca="false">02_INDICADORES!A40</f>
        <v>P07</v>
      </c>
      <c r="B40" s="27" t="str">
        <f aca="false">02_INDICADORES!B40</f>
        <v>PRO</v>
      </c>
      <c r="C40" s="21" t="str">
        <f aca="false">02_INDICADORES!C40</f>
        <v>Balance de catalizadores y riesgos</v>
      </c>
      <c r="D40" s="22" t="n">
        <f aca="false">02_INDICADORES!D40</f>
        <v>12</v>
      </c>
      <c r="E40" s="23"/>
      <c r="F40" s="23"/>
      <c r="G40" s="23"/>
      <c r="H40" s="16" t="n">
        <f aca="false">IF(E40="",0,1)</f>
        <v>0</v>
      </c>
      <c r="I40" s="16" t="n">
        <f aca="false">D40*H40</f>
        <v>0</v>
      </c>
      <c r="J40" s="16" t="n">
        <f aca="false">IF(H40=1,E40*D40,0)</f>
        <v>0</v>
      </c>
      <c r="K40" s="16" t="str">
        <f aca="false">IF(E40="","",IF(E40&lt;=12,0,IF(E40&lt;=37,25,IF(E40&lt;=62,50,IF(E40&lt;=87,75,100)))))</f>
        <v/>
      </c>
      <c r="L40" s="23"/>
      <c r="M40" s="23"/>
      <c r="N40" s="23"/>
      <c r="O40" s="23"/>
      <c r="P40" s="16" t="str">
        <f aca="false">IF(M40="","",INDEX(16_LISTAS!$A$4:$A$8,MAX(1,INDEX(16_LISTAS!$E$4:$E$9,MATCH(M40,16_LISTAS!$D$4:$D$9,0))-IF(N40="",0,IF(N40&lt;=IF(O40="S",18,12),0,IF(N40&lt;=IF(O40="S",30,24),1,2))))))</f>
        <v/>
      </c>
      <c r="Q40" s="23"/>
      <c r="R40" s="16" t="str">
        <f aca="false">IF(E40="","",IF(Q40="","FALTA CONFIANZA",IF(P40="","FALTA NIVEL FUENTE",IF(MATCH(Q40,16_LISTAS!$A$4:$A$8,0)&gt;MATCH(P40,16_LISTAS!$A$4:$A$8,0),"EXCEDE CONF_MAX","OK"))))</f>
        <v/>
      </c>
      <c r="S40" s="9"/>
      <c r="T40" s="9"/>
      <c r="U40" s="9"/>
      <c r="V40" s="9"/>
      <c r="W40" s="24" t="n">
        <f aca="false">IF(Q40="",0,MATCH(Q40,16_LISTAS!$A$4:$A$8,0))</f>
        <v>0</v>
      </c>
    </row>
    <row r="41" customFormat="false" ht="15" hidden="false" customHeight="false" outlineLevel="0" collapsed="false">
      <c r="A41" s="27" t="str">
        <f aca="false">02_INDICADORES!A41</f>
        <v>P08</v>
      </c>
      <c r="B41" s="27" t="str">
        <f aca="false">02_INDICADORES!B41</f>
        <v>PRO</v>
      </c>
      <c r="C41" s="21" t="str">
        <f aca="false">02_INDICADORES!C41</f>
        <v>Opcionalidad tecnológica</v>
      </c>
      <c r="D41" s="22" t="n">
        <f aca="false">02_INDICADORES!D41</f>
        <v>10</v>
      </c>
      <c r="E41" s="23"/>
      <c r="F41" s="23"/>
      <c r="G41" s="23"/>
      <c r="H41" s="16" t="n">
        <f aca="false">IF(E41="",0,1)</f>
        <v>0</v>
      </c>
      <c r="I41" s="16" t="n">
        <f aca="false">D41*H41</f>
        <v>0</v>
      </c>
      <c r="J41" s="16" t="n">
        <f aca="false">IF(H41=1,E41*D41,0)</f>
        <v>0</v>
      </c>
      <c r="K41" s="16" t="str">
        <f aca="false">IF(E41="","",IF(E41&lt;=12,0,IF(E41&lt;=37,25,IF(E41&lt;=62,50,IF(E41&lt;=87,75,100)))))</f>
        <v/>
      </c>
      <c r="L41" s="23"/>
      <c r="M41" s="23"/>
      <c r="N41" s="23"/>
      <c r="O41" s="23"/>
      <c r="P41" s="16" t="str">
        <f aca="false">IF(M41="","",INDEX(16_LISTAS!$A$4:$A$8,MAX(1,INDEX(16_LISTAS!$E$4:$E$9,MATCH(M41,16_LISTAS!$D$4:$D$9,0))-IF(N41="",0,IF(N41&lt;=IF(O41="S",18,12),0,IF(N41&lt;=IF(O41="S",30,24),1,2))))))</f>
        <v/>
      </c>
      <c r="Q41" s="23"/>
      <c r="R41" s="16" t="str">
        <f aca="false">IF(E41="","",IF(Q41="","FALTA CONFIANZA",IF(P41="","FALTA NIVEL FUENTE",IF(MATCH(Q41,16_LISTAS!$A$4:$A$8,0)&gt;MATCH(P41,16_LISTAS!$A$4:$A$8,0),"EXCEDE CONF_MAX","OK"))))</f>
        <v/>
      </c>
      <c r="S41" s="9"/>
      <c r="T41" s="9"/>
      <c r="U41" s="9"/>
      <c r="V41" s="9"/>
      <c r="W41" s="24" t="n">
        <f aca="false">IF(Q41="",0,MATCH(Q41,16_LISTAS!$A$4:$A$8,0))</f>
        <v>0</v>
      </c>
    </row>
    <row r="42" customFormat="false" ht="15" hidden="false" customHeight="false" outlineLevel="0" collapsed="false">
      <c r="A42" s="27" t="str">
        <f aca="false">02_INDICADORES!A42</f>
        <v>P09</v>
      </c>
      <c r="B42" s="27" t="str">
        <f aca="false">02_INDICADORES!B42</f>
        <v>PRO</v>
      </c>
      <c r="C42" s="21" t="str">
        <f aca="false">02_INDICADORES!C42</f>
        <v>Resiliencia estratégica</v>
      </c>
      <c r="D42" s="22" t="n">
        <f aca="false">02_INDICADORES!D42</f>
        <v>10</v>
      </c>
      <c r="E42" s="23"/>
      <c r="F42" s="23"/>
      <c r="G42" s="23"/>
      <c r="H42" s="16" t="n">
        <f aca="false">IF(E42="",0,1)</f>
        <v>0</v>
      </c>
      <c r="I42" s="16" t="n">
        <f aca="false">D42*H42</f>
        <v>0</v>
      </c>
      <c r="J42" s="16" t="n">
        <f aca="false">IF(H42=1,E42*D42,0)</f>
        <v>0</v>
      </c>
      <c r="K42" s="16" t="str">
        <f aca="false">IF(E42="","",IF(E42&lt;=12,0,IF(E42&lt;=37,25,IF(E42&lt;=62,50,IF(E42&lt;=87,75,100)))))</f>
        <v/>
      </c>
      <c r="L42" s="23"/>
      <c r="M42" s="23"/>
      <c r="N42" s="23"/>
      <c r="O42" s="23"/>
      <c r="P42" s="16" t="str">
        <f aca="false">IF(M42="","",INDEX(16_LISTAS!$A$4:$A$8,MAX(1,INDEX(16_LISTAS!$E$4:$E$9,MATCH(M42,16_LISTAS!$D$4:$D$9,0))-IF(N42="",0,IF(N42&lt;=IF(O42="S",18,12),0,IF(N42&lt;=IF(O42="S",30,24),1,2))))))</f>
        <v/>
      </c>
      <c r="Q42" s="23"/>
      <c r="R42" s="16" t="str">
        <f aca="false">IF(E42="","",IF(Q42="","FALTA CONFIANZA",IF(P42="","FALTA NIVEL FUENTE",IF(MATCH(Q42,16_LISTAS!$A$4:$A$8,0)&gt;MATCH(P42,16_LISTAS!$A$4:$A$8,0),"EXCEDE CONF_MAX","OK"))))</f>
        <v/>
      </c>
      <c r="S42" s="9"/>
      <c r="T42" s="9"/>
      <c r="U42" s="9"/>
      <c r="V42" s="9"/>
      <c r="W42" s="24" t="n">
        <f aca="false">IF(Q42="",0,MATCH(Q42,16_LISTAS!$A$4:$A$8,0))</f>
        <v>0</v>
      </c>
    </row>
  </sheetData>
  <autoFilter ref="A1:W42"/>
  <conditionalFormatting sqref="E2:E42">
    <cfRule type="cellIs" priority="2" operator="between" aboveAverage="0" equalAverage="0" bottom="0" percent="0" rank="0" text="" dxfId="13">
      <formula>0</formula>
      <formula>20</formula>
    </cfRule>
    <cfRule type="cellIs" priority="3" operator="between" aboveAverage="0" equalAverage="0" bottom="0" percent="0" rank="0" text="" dxfId="14">
      <formula>21</formula>
      <formula>40</formula>
    </cfRule>
    <cfRule type="cellIs" priority="4" operator="between" aboveAverage="0" equalAverage="0" bottom="0" percent="0" rank="0" text="" dxfId="15">
      <formula>41</formula>
      <formula>60</formula>
    </cfRule>
    <cfRule type="cellIs" priority="5" operator="between" aboveAverage="0" equalAverage="0" bottom="0" percent="0" rank="0" text="" dxfId="16">
      <formula>61</formula>
      <formula>80</formula>
    </cfRule>
    <cfRule type="cellIs" priority="6" operator="between" aboveAverage="0" equalAverage="0" bottom="0" percent="0" rank="0" text="" dxfId="17">
      <formula>81</formula>
      <formula>100</formula>
    </cfRule>
  </conditionalFormatting>
  <conditionalFormatting sqref="R2:R42">
    <cfRule type="expression" priority="7" aboveAverage="0" equalAverage="0" bottom="0" percent="0" rank="0" text="" dxfId="13">
      <formula>AND(R2&lt;&gt;"",R2&lt;&gt;"OK")</formula>
    </cfRule>
  </conditionalFormatting>
  <dataValidations count="6">
    <dataValidation allowBlank="true" error="La puntuación debe estar entre 0 y 100." errorStyle="stop" errorTitle="DCIP 2.3" operator="between" showDropDown="false" showErrorMessage="false" showInputMessage="false" sqref="E2:G42" type="decimal">
      <formula1>0</formula1>
      <formula2>100</formula2>
    </dataValidation>
    <dataValidation allowBlank="true" error="Valor no permitido. Use la lista desplegable." errorStyle="stop" errorTitle="DCIP 2.3" operator="between" showDropDown="false" showErrorMessage="false" showInputMessage="false" sqref="L2:L42" type="list">
      <formula1>16_LISTAS!$K$4:$K$8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M2:M42" type="list">
      <formula1>16_LISTAS!$D$4:$D$9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O2:O42" type="list">
      <formula1>16_LISTAS!$U$4:$U$5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Q2:Q42" type="list">
      <formula1>16_LISTAS!$A$4:$A$8</formula1>
      <formula2>0</formula2>
    </dataValidation>
    <dataValidation allowBlank="true" error="La puntuación debe estar entre 0 y 240." errorStyle="stop" errorTitle="DCIP 2.3" operator="between" showDropDown="false" showErrorMessage="false" showInputMessage="false" sqref="N2:N42" type="decimal">
      <formula1>0</formula1>
      <formula2>240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107"/>
    <pageSetUpPr fitToPage="false"/>
  </sheetPr>
  <dimension ref="A1: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563</v>
      </c>
    </row>
    <row r="2" customFormat="false" ht="15" hidden="false" customHeight="false" outlineLevel="0" collapsed="false">
      <c r="A2" s="2" t="s">
        <v>564</v>
      </c>
    </row>
    <row r="3" customFormat="false" ht="15" hidden="false" customHeight="false" outlineLevel="0" collapsed="false">
      <c r="A3" s="7" t="s">
        <v>565</v>
      </c>
      <c r="B3" s="7" t="s">
        <v>566</v>
      </c>
      <c r="C3" s="7" t="s">
        <v>567</v>
      </c>
      <c r="D3" s="7" t="s">
        <v>568</v>
      </c>
      <c r="E3" s="7" t="s">
        <v>569</v>
      </c>
      <c r="F3" s="7" t="s">
        <v>570</v>
      </c>
      <c r="G3" s="7" t="s">
        <v>571</v>
      </c>
      <c r="H3" s="7" t="s">
        <v>572</v>
      </c>
      <c r="I3" s="7" t="s">
        <v>573</v>
      </c>
      <c r="J3" s="7" t="s">
        <v>574</v>
      </c>
      <c r="K3" s="7" t="s">
        <v>575</v>
      </c>
      <c r="L3" s="7" t="s">
        <v>576</v>
      </c>
      <c r="M3" s="7" t="s">
        <v>577</v>
      </c>
      <c r="N3" s="7" t="s">
        <v>562</v>
      </c>
    </row>
    <row r="4" customFormat="false" ht="15" hidden="false" customHeight="false" outlineLevel="0" collapsed="false">
      <c r="A4" s="28" t="s">
        <v>100</v>
      </c>
      <c r="B4" s="16" t="n">
        <f aca="false">SUMIFS(03_SCORING!$D$2:$D$42,03_SCORING!$B$2:$B$42,A4)</f>
        <v>100</v>
      </c>
      <c r="C4" s="16" t="n">
        <f aca="false">SUMIFS(03_SCORING!$I$2:$I$42,03_SCORING!$B$2:$B$42,A4)</f>
        <v>0</v>
      </c>
      <c r="D4" s="29" t="n">
        <f aca="false">IF(B4=0,0,C4/B4)</f>
        <v>0</v>
      </c>
      <c r="E4" s="16" t="str">
        <f aca="false">IF(D4&lt;0.6,"NO CONCLUYENTE",IF(D4&lt;0.8,"CON RESERVAS","CONCLUYENTE"))</f>
        <v>NO CONCLUYENTE</v>
      </c>
      <c r="F4" s="30" t="str">
        <f aca="false">IF(C4=0,"",SUMIFS(03_SCORING!$J$2:$J$42,03_SCORING!$B$2:$B$42,A4)/C4)</f>
        <v/>
      </c>
      <c r="G4" s="30" t="n">
        <f aca="false">IF(B4=0,"",(SUMIFS(03_SCORING!$J$2:$J$42,03_SCORING!$B$2:$B$42,A4)+25*(B4-C4))/B4)</f>
        <v>25</v>
      </c>
      <c r="H4" s="31" t="str">
        <f aca="false">IF(E4="NO CONCLUYENTE","NC",ROUND(F4,0))</f>
        <v>NC</v>
      </c>
      <c r="I4" s="16" t="str">
        <f aca="false">IF(E4="NO CONCLUYENTE","NC",ROUND(G4,0))</f>
        <v>NC</v>
      </c>
      <c r="J4" s="16" t="str">
        <f aca="false">IF(D4&lt;0.6,"",IF(D4&lt;0.8,"MEDIA","MUY ALTA"))</f>
        <v/>
      </c>
      <c r="K4" s="32" t="str">
        <f aca="false">IF(C4=0,"",SUMPRODUCT((03_SCORING!$B$2:$B$42=A4)*(03_SCORING!$I$2:$I$42)*(03_SCORING!$W$2:$W$42))/C4)</f>
        <v/>
      </c>
      <c r="L4" s="31" t="str">
        <f aca="false">IF(E4="NO CONCLUYENTE","NO CONCLUYENTE",IF(K4="","",INDEX(16_LISTAS!$A$4:$A$8,MAX(1,MIN(IF(D4&lt;0.8,3,5),ROUNDDOWN(K4,0))))))</f>
        <v>NO CONCLUYENTE</v>
      </c>
      <c r="M4" s="16" t="str">
        <f aca="false">IF(H4="NC","NO CONCLUYENTE",IF(LOOKUP(H4,16_LISTAS!$G$4:$G$8,16_LISTAS!$H$4:$H$8)=LOOKUP(I4,16_LISTAS!$G$4:$G$8,16_LISTAS!$H$4:$H$8),LOOKUP(H4,16_LISTAS!$G$4:$G$8,16_LISTAS!$H$4:$H$8),LOOKUP(I4,16_LISTAS!$G$4:$G$8,16_LISTAS!$H$4:$H$8)&amp;" – "&amp;LOOKUP(H4,16_LISTAS!$G$4:$G$8,16_LISTAS!$H$4:$H$8)&amp;" (rango)"))</f>
        <v>NO CONCLUYENTE</v>
      </c>
      <c r="N4" s="24" t="n">
        <f aca="false">IF(L4="NO CONCLUYENTE",0,IF(L4="",0,MATCH(L4,16_LISTAS!$A$4:$A$8,0)))</f>
        <v>0</v>
      </c>
    </row>
    <row r="5" customFormat="false" ht="15" hidden="false" customHeight="false" outlineLevel="0" collapsed="false">
      <c r="A5" s="33" t="s">
        <v>215</v>
      </c>
      <c r="B5" s="16" t="n">
        <f aca="false">SUMIFS(03_SCORING!$D$2:$D$42,03_SCORING!$B$2:$B$42,A5)</f>
        <v>100</v>
      </c>
      <c r="C5" s="16" t="n">
        <f aca="false">SUMIFS(03_SCORING!$I$2:$I$42,03_SCORING!$B$2:$B$42,A5)</f>
        <v>0</v>
      </c>
      <c r="D5" s="29" t="n">
        <f aca="false">IF(B5=0,0,C5/B5)</f>
        <v>0</v>
      </c>
      <c r="E5" s="16" t="str">
        <f aca="false">IF(D5&lt;0.6,"NO CONCLUYENTE",IF(D5&lt;0.8,"CON RESERVAS","CONCLUYENTE"))</f>
        <v>NO CONCLUYENTE</v>
      </c>
      <c r="F5" s="30" t="str">
        <f aca="false">IF(C5=0,"",SUMIFS(03_SCORING!$J$2:$J$42,03_SCORING!$B$2:$B$42,A5)/C5)</f>
        <v/>
      </c>
      <c r="G5" s="30" t="n">
        <f aca="false">IF(B5=0,"",(SUMIFS(03_SCORING!$J$2:$J$42,03_SCORING!$B$2:$B$42,A5)+25*(B5-C5))/B5)</f>
        <v>25</v>
      </c>
      <c r="H5" s="31" t="str">
        <f aca="false">IF(E5="NO CONCLUYENTE","NC",ROUND(F5,0))</f>
        <v>NC</v>
      </c>
      <c r="I5" s="16" t="str">
        <f aca="false">IF(E5="NO CONCLUYENTE","NC",ROUND(G5,0))</f>
        <v>NC</v>
      </c>
      <c r="J5" s="16" t="str">
        <f aca="false">IF(D5&lt;0.6,"",IF(D5&lt;0.8,"MEDIA","MUY ALTA"))</f>
        <v/>
      </c>
      <c r="K5" s="32" t="str">
        <f aca="false">IF(C5=0,"",SUMPRODUCT((03_SCORING!$B$2:$B$42=A5)*(03_SCORING!$I$2:$I$42)*(03_SCORING!$W$2:$W$42))/C5)</f>
        <v/>
      </c>
      <c r="L5" s="31" t="str">
        <f aca="false">IF(E5="NO CONCLUYENTE","NO CONCLUYENTE",IF(K5="","",INDEX(16_LISTAS!$A$4:$A$8,MAX(1,MIN(IF(D5&lt;0.8,3,5),ROUNDDOWN(K5,0))))))</f>
        <v>NO CONCLUYENTE</v>
      </c>
      <c r="M5" s="16" t="str">
        <f aca="false">IF(H5="NC","NO CONCLUYENTE",IF(LOOKUP(H5,16_LISTAS!$G$4:$G$8,16_LISTAS!$H$4:$H$8)=LOOKUP(I5,16_LISTAS!$G$4:$G$8,16_LISTAS!$H$4:$H$8),LOOKUP(H5,16_LISTAS!$G$4:$G$8,16_LISTAS!$H$4:$H$8),LOOKUP(I5,16_LISTAS!$G$4:$G$8,16_LISTAS!$H$4:$H$8)&amp;" – "&amp;LOOKUP(H5,16_LISTAS!$G$4:$G$8,16_LISTAS!$H$4:$H$8)&amp;" (rango)"))</f>
        <v>NO CONCLUYENTE</v>
      </c>
      <c r="N5" s="24" t="n">
        <f aca="false">IF(L5="NO CONCLUYENTE",0,IF(L5="",0,MATCH(L5,16_LISTAS!$A$4:$A$8,0)))</f>
        <v>0</v>
      </c>
    </row>
    <row r="6" customFormat="false" ht="15" hidden="false" customHeight="false" outlineLevel="0" collapsed="false">
      <c r="A6" s="34" t="s">
        <v>325</v>
      </c>
      <c r="B6" s="16" t="n">
        <f aca="false">SUMIFS(03_SCORING!$D$2:$D$42,03_SCORING!$B$2:$B$42,A6)</f>
        <v>100</v>
      </c>
      <c r="C6" s="16" t="n">
        <f aca="false">SUMIFS(03_SCORING!$I$2:$I$42,03_SCORING!$B$2:$B$42,A6)</f>
        <v>0</v>
      </c>
      <c r="D6" s="29" t="n">
        <f aca="false">IF(B6=0,0,C6/B6)</f>
        <v>0</v>
      </c>
      <c r="E6" s="16" t="str">
        <f aca="false">IF(D6&lt;0.6,"NO CONCLUYENTE",IF(D6&lt;0.8,"CON RESERVAS","CONCLUYENTE"))</f>
        <v>NO CONCLUYENTE</v>
      </c>
      <c r="F6" s="30" t="str">
        <f aca="false">IF(C6=0,"",SUMIFS(03_SCORING!$J$2:$J$42,03_SCORING!$B$2:$B$42,A6)/C6)</f>
        <v/>
      </c>
      <c r="G6" s="30" t="n">
        <f aca="false">IF(B6=0,"",(SUMIFS(03_SCORING!$J$2:$J$42,03_SCORING!$B$2:$B$42,A6)+25*(B6-C6))/B6)</f>
        <v>25</v>
      </c>
      <c r="H6" s="31" t="str">
        <f aca="false">IF(E6="NO CONCLUYENTE","NC",ROUND(F6,0))</f>
        <v>NC</v>
      </c>
      <c r="I6" s="16" t="str">
        <f aca="false">IF(E6="NO CONCLUYENTE","NC",ROUND(G6,0))</f>
        <v>NC</v>
      </c>
      <c r="J6" s="16" t="str">
        <f aca="false">IF(D6&lt;0.6,"",IF(D6&lt;0.8,"MEDIA","MUY ALTA"))</f>
        <v/>
      </c>
      <c r="K6" s="32" t="str">
        <f aca="false">IF(C6=0,"",SUMPRODUCT((03_SCORING!$B$2:$B$42=A6)*(03_SCORING!$I$2:$I$42)*(03_SCORING!$W$2:$W$42))/C6)</f>
        <v/>
      </c>
      <c r="L6" s="31" t="str">
        <f aca="false">IF(E6="NO CONCLUYENTE","NO CONCLUYENTE",IF(K6="","",INDEX(16_LISTAS!$A$4:$A$8,MAX(1,MIN(IF(D6&lt;0.8,3,5),ROUNDDOWN(K6,0))))))</f>
        <v>NO CONCLUYENTE</v>
      </c>
      <c r="M6" s="16" t="str">
        <f aca="false">IF(H6="NC","NO CONCLUYENTE",IF(LOOKUP(H6,16_LISTAS!$G$4:$G$8,16_LISTAS!$H$4:$H$8)=LOOKUP(I6,16_LISTAS!$G$4:$G$8,16_LISTAS!$H$4:$H$8),LOOKUP(H6,16_LISTAS!$G$4:$G$8,16_LISTAS!$H$4:$H$8),LOOKUP(I6,16_LISTAS!$G$4:$G$8,16_LISTAS!$H$4:$H$8)&amp;" – "&amp;LOOKUP(H6,16_LISTAS!$G$4:$G$8,16_LISTAS!$H$4:$H$8)&amp;" (rango)"))</f>
        <v>NO CONCLUYENTE</v>
      </c>
      <c r="N6" s="24" t="n">
        <f aca="false">IF(L6="NO CONCLUYENTE",0,IF(L6="",0,MATCH(L6,16_LISTAS!$A$4:$A$8,0)))</f>
        <v>0</v>
      </c>
    </row>
    <row r="7" customFormat="false" ht="15" hidden="false" customHeight="false" outlineLevel="0" collapsed="false">
      <c r="A7" s="35" t="s">
        <v>456</v>
      </c>
      <c r="B7" s="16" t="n">
        <f aca="false">SUMIFS(03_SCORING!$D$2:$D$42,03_SCORING!$B$2:$B$42,A7)</f>
        <v>100</v>
      </c>
      <c r="C7" s="16" t="n">
        <f aca="false">SUMIFS(03_SCORING!$I$2:$I$42,03_SCORING!$B$2:$B$42,A7)</f>
        <v>0</v>
      </c>
      <c r="D7" s="29" t="n">
        <f aca="false">IF(B7=0,0,C7/B7)</f>
        <v>0</v>
      </c>
      <c r="E7" s="16" t="str">
        <f aca="false">IF(D7&lt;0.6,"NO CONCLUYENTE",IF(D7&lt;0.8,"CON RESERVAS","CONCLUYENTE"))</f>
        <v>NO CONCLUYENTE</v>
      </c>
      <c r="F7" s="30" t="str">
        <f aca="false">IF(C7=0,"",SUMIFS(03_SCORING!$J$2:$J$42,03_SCORING!$B$2:$B$42,A7)/C7)</f>
        <v/>
      </c>
      <c r="G7" s="30" t="n">
        <f aca="false">IF(B7=0,"",(SUMIFS(03_SCORING!$J$2:$J$42,03_SCORING!$B$2:$B$42,A7)+25*(B7-C7))/B7)</f>
        <v>25</v>
      </c>
      <c r="H7" s="31" t="str">
        <f aca="false">IF(E7="NO CONCLUYENTE","NC",ROUND(F7,0))</f>
        <v>NC</v>
      </c>
      <c r="I7" s="16" t="str">
        <f aca="false">IF(E7="NO CONCLUYENTE","NC",ROUND(G7,0))</f>
        <v>NC</v>
      </c>
      <c r="J7" s="16" t="str">
        <f aca="false">IF(D7&lt;0.6,"",IF(D7&lt;0.8,"MEDIA","MUY ALTA"))</f>
        <v/>
      </c>
      <c r="K7" s="32" t="str">
        <f aca="false">IF(C7=0,"",SUMPRODUCT((03_SCORING!$B$2:$B$42=A7)*(03_SCORING!$I$2:$I$42)*(03_SCORING!$W$2:$W$42))/C7)</f>
        <v/>
      </c>
      <c r="L7" s="31" t="str">
        <f aca="false">IF(E7="NO CONCLUYENTE","NO CONCLUYENTE",IF(K7="","",INDEX(16_LISTAS!$A$4:$A$8,MAX(1,MIN(IF(D7&lt;0.8,3,5),ROUNDDOWN(K7,0))))))</f>
        <v>NO CONCLUYENTE</v>
      </c>
      <c r="M7" s="16" t="str">
        <f aca="false">IF(H7="NC","NO CONCLUYENTE",IF(LOOKUP(H7,16_LISTAS!$G$4:$G$8,16_LISTAS!$H$4:$H$8)=LOOKUP(I7,16_LISTAS!$G$4:$G$8,16_LISTAS!$H$4:$H$8),LOOKUP(H7,16_LISTAS!$G$4:$G$8,16_LISTAS!$H$4:$H$8),LOOKUP(I7,16_LISTAS!$G$4:$G$8,16_LISTAS!$H$4:$H$8)&amp;" – "&amp;LOOKUP(H7,16_LISTAS!$G$4:$G$8,16_LISTAS!$H$4:$H$8)&amp;" (rango)"))</f>
        <v>NO CONCLUYENTE</v>
      </c>
      <c r="N7" s="24" t="n">
        <f aca="false">IF(L7="NO CONCLUYENTE",0,IF(L7="",0,MATCH(L7,16_LISTAS!$A$4:$A$8,0)))</f>
        <v>0</v>
      </c>
    </row>
    <row r="9" customFormat="false" ht="15" hidden="false" customHeight="false" outlineLevel="0" collapsed="false">
      <c r="A9" s="36" t="s">
        <v>578</v>
      </c>
    </row>
    <row r="10" customFormat="false" ht="15" hidden="false" customHeight="false" outlineLevel="0" collapsed="false">
      <c r="A10" s="7" t="s">
        <v>579</v>
      </c>
      <c r="B10" s="7" t="s">
        <v>38</v>
      </c>
      <c r="C10" s="7" t="s">
        <v>39</v>
      </c>
    </row>
    <row r="11" customFormat="false" ht="43.25" hidden="false" customHeight="false" outlineLevel="0" collapsed="false">
      <c r="A11" s="8" t="s">
        <v>580</v>
      </c>
      <c r="B11" s="31" t="str">
        <f aca="false">IF(COUNTIF(E4:E7,"NO CONCLUYENTE")&gt;0,"NO CONCLUYENTE",ROUND(F4*01_CONFIG!$B$18+F5*01_CONFIG!$B$19+F6*01_CONFIG!$B$20+F7*01_CONFIG!$B$21,0))</f>
        <v>NO CONCLUYENTE</v>
      </c>
      <c r="C11" s="10" t="s">
        <v>581</v>
      </c>
    </row>
    <row r="12" customFormat="false" ht="32.8" hidden="false" customHeight="false" outlineLevel="0" collapsed="false">
      <c r="A12" s="8" t="s">
        <v>582</v>
      </c>
      <c r="B12" s="31" t="str">
        <f aca="false">IF(COUNTIF(E4:E7,"NO CONCLUYENTE")&gt;0,"NO CONCLUYENTE",ROUND(G4*01_CONFIG!$B$18+G5*01_CONFIG!$B$19+G6*01_CONFIG!$B$20+G7*01_CONFIG!$B$21,0))</f>
        <v>NO CONCLUYENTE</v>
      </c>
      <c r="C12" s="10" t="s">
        <v>583</v>
      </c>
    </row>
    <row r="13" customFormat="false" ht="32.8" hidden="false" customHeight="false" outlineLevel="0" collapsed="false">
      <c r="A13" s="8" t="s">
        <v>584</v>
      </c>
      <c r="B13" s="31" t="str">
        <f aca="false">IF(B11="NO CONCLUYENTE","NO CONCLUYENTE",IF(LOOKUP(B11,16_LISTAS!$G$4:$G$8,16_LISTAS!$H$4:$H$8)=LOOKUP(B12,16_LISTAS!$G$4:$G$8,16_LISTAS!$H$4:$H$8),LOOKUP(B11,16_LISTAS!$G$4:$G$8,16_LISTAS!$H$4:$H$8),LOOKUP(B12,16_LISTAS!$G$4:$G$8,16_LISTAS!$H$4:$H$8)&amp;" – "&amp;LOOKUP(B11,16_LISTAS!$G$4:$G$8,16_LISTAS!$H$4:$H$8)&amp;" (rango)"))</f>
        <v>NO CONCLUYENTE</v>
      </c>
      <c r="C13" s="10" t="s">
        <v>585</v>
      </c>
    </row>
    <row r="14" customFormat="false" ht="23.85" hidden="false" customHeight="false" outlineLevel="0" collapsed="false">
      <c r="A14" s="8" t="s">
        <v>586</v>
      </c>
      <c r="B14" s="31" t="str">
        <f aca="false">IF(MIN(N4:N7)=0,"NO CONCLUYENTE",INDEX(16_LISTAS!$A$4:$A$8,MIN(N4:N7)))</f>
        <v>NO CONCLUYENTE</v>
      </c>
      <c r="C14" s="10" t="s">
        <v>587</v>
      </c>
    </row>
    <row r="15" customFormat="false" ht="23.85" hidden="false" customHeight="false" outlineLevel="0" collapsed="false">
      <c r="A15" s="8" t="s">
        <v>588</v>
      </c>
      <c r="B15" s="37" t="n">
        <f aca="false">AVERAGE(D4:D7)</f>
        <v>0</v>
      </c>
      <c r="C15" s="10" t="s">
        <v>589</v>
      </c>
    </row>
    <row r="16" customFormat="false" ht="15" hidden="false" customHeight="false" outlineLevel="0" collapsed="false">
      <c r="A16" s="8" t="s">
        <v>73</v>
      </c>
      <c r="B16" s="31" t="str">
        <f aca="false">IF(ROUND(01_CONFIG!$B$22,6)=1,"OK","ERROR: los pesos no suman 1")</f>
        <v>OK</v>
      </c>
      <c r="C16" s="10"/>
    </row>
    <row r="17" customFormat="false" ht="32.8" hidden="false" customHeight="false" outlineLevel="0" collapsed="false">
      <c r="A17" s="8" t="s">
        <v>590</v>
      </c>
      <c r="B17" s="31" t="str">
        <f aca="false">COUNTIF(03_SCORING!R2:R42,"OK")&amp;" OK / "&amp;(COUNTA(03_SCORING!E2:E42)-COUNTIF(03_SCORING!R2:R42,"OK"))&amp;" con incidencia"</f>
        <v>0 OK / 0 con incidencia</v>
      </c>
      <c r="C17" s="10" t="s">
        <v>591</v>
      </c>
    </row>
    <row r="18" customFormat="false" ht="43.25" hidden="false" customHeight="false" outlineLevel="0" collapsed="false">
      <c r="A18" s="8" t="s">
        <v>592</v>
      </c>
      <c r="B18" s="23"/>
      <c r="C18" s="10" t="s">
        <v>593</v>
      </c>
    </row>
    <row r="19" customFormat="false" ht="43.25" hidden="false" customHeight="false" outlineLevel="0" collapsed="false">
      <c r="A19" s="8" t="s">
        <v>594</v>
      </c>
      <c r="B19" s="23"/>
      <c r="C19" s="10" t="s">
        <v>595</v>
      </c>
    </row>
    <row r="20" customFormat="false" ht="32.8" hidden="false" customHeight="false" outlineLevel="0" collapsed="false">
      <c r="A20" s="8" t="s">
        <v>596</v>
      </c>
      <c r="B20" s="31" t="str">
        <f aca="false">06_AUDITORIA!B4</f>
        <v>EN CURSO</v>
      </c>
      <c r="C20" s="10" t="s">
        <v>597</v>
      </c>
    </row>
    <row r="23" customFormat="false" ht="15" hidden="false" customHeight="false" outlineLevel="0" collapsed="false">
      <c r="A23" s="36" t="s">
        <v>598</v>
      </c>
    </row>
    <row r="24" customFormat="false" ht="15" hidden="false" customHeight="false" outlineLevel="0" collapsed="false">
      <c r="A24" s="7" t="s">
        <v>599</v>
      </c>
      <c r="B24" s="7" t="s">
        <v>600</v>
      </c>
      <c r="C24" s="7" t="s">
        <v>601</v>
      </c>
    </row>
    <row r="25" customFormat="false" ht="15" hidden="false" customHeight="false" outlineLevel="0" collapsed="false">
      <c r="A25" s="38" t="s">
        <v>602</v>
      </c>
      <c r="B25" s="16" t="n">
        <v>0</v>
      </c>
      <c r="C25" s="16" t="n">
        <v>20</v>
      </c>
    </row>
    <row r="26" customFormat="false" ht="15" hidden="false" customHeight="false" outlineLevel="0" collapsed="false">
      <c r="A26" s="39" t="s">
        <v>603</v>
      </c>
      <c r="B26" s="16" t="n">
        <v>21</v>
      </c>
      <c r="C26" s="16" t="n">
        <v>40</v>
      </c>
    </row>
    <row r="27" customFormat="false" ht="15" hidden="false" customHeight="false" outlineLevel="0" collapsed="false">
      <c r="A27" s="40" t="s">
        <v>604</v>
      </c>
      <c r="B27" s="16" t="n">
        <v>41</v>
      </c>
      <c r="C27" s="16" t="n">
        <v>60</v>
      </c>
    </row>
    <row r="28" customFormat="false" ht="15" hidden="false" customHeight="false" outlineLevel="0" collapsed="false">
      <c r="A28" s="41" t="s">
        <v>605</v>
      </c>
      <c r="B28" s="16" t="n">
        <v>61</v>
      </c>
      <c r="C28" s="16" t="n">
        <v>80</v>
      </c>
    </row>
    <row r="29" customFormat="false" ht="15" hidden="false" customHeight="false" outlineLevel="0" collapsed="false">
      <c r="A29" s="42" t="s">
        <v>606</v>
      </c>
      <c r="B29" s="16" t="n">
        <v>81</v>
      </c>
      <c r="C29" s="16" t="n">
        <v>100</v>
      </c>
    </row>
    <row r="31" customFormat="false" ht="15" hidden="false" customHeight="false" outlineLevel="0" collapsed="false">
      <c r="A31" s="36" t="s">
        <v>607</v>
      </c>
    </row>
    <row r="32" customFormat="false" ht="23.85" hidden="false" customHeight="false" outlineLevel="0" collapsed="false">
      <c r="A32" s="7" t="s">
        <v>608</v>
      </c>
      <c r="B32" s="7"/>
      <c r="C32" s="7" t="s">
        <v>609</v>
      </c>
    </row>
    <row r="33" customFormat="false" ht="15" hidden="false" customHeight="true" outlineLevel="0" collapsed="false">
      <c r="A33" s="8" t="s">
        <v>610</v>
      </c>
      <c r="C33" s="43" t="s">
        <v>611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 customFormat="false" ht="15" hidden="false" customHeight="true" outlineLevel="0" collapsed="false">
      <c r="A34" s="8" t="s">
        <v>612</v>
      </c>
      <c r="C34" s="43" t="s">
        <v>613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customFormat="false" ht="15" hidden="false" customHeight="true" outlineLevel="0" collapsed="false">
      <c r="A35" s="8" t="s">
        <v>614</v>
      </c>
      <c r="C35" s="43" t="s">
        <v>615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 customFormat="false" ht="15" hidden="false" customHeight="true" outlineLevel="0" collapsed="false">
      <c r="A36" s="8" t="s">
        <v>616</v>
      </c>
      <c r="C36" s="43" t="s">
        <v>617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 customFormat="false" ht="15" hidden="false" customHeight="true" outlineLevel="0" collapsed="false">
      <c r="A37" s="8" t="s">
        <v>618</v>
      </c>
      <c r="C37" s="43" t="s">
        <v>619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9" customFormat="false" ht="23.85" hidden="false" customHeight="false" outlineLevel="0" collapsed="false">
      <c r="A39" s="7" t="s">
        <v>620</v>
      </c>
      <c r="B39" s="7"/>
      <c r="C39" s="7" t="s">
        <v>609</v>
      </c>
    </row>
    <row r="40" customFormat="false" ht="15" hidden="false" customHeight="true" outlineLevel="0" collapsed="false">
      <c r="A40" s="8" t="s">
        <v>621</v>
      </c>
      <c r="C40" s="43" t="s">
        <v>622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customFormat="false" ht="15" hidden="false" customHeight="true" outlineLevel="0" collapsed="false">
      <c r="A41" s="8" t="s">
        <v>623</v>
      </c>
      <c r="C41" s="43" t="s">
        <v>624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customFormat="false" ht="15" hidden="false" customHeight="true" outlineLevel="0" collapsed="false">
      <c r="A42" s="8" t="s">
        <v>625</v>
      </c>
      <c r="C42" s="43" t="s">
        <v>626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 customFormat="false" ht="15" hidden="false" customHeight="true" outlineLevel="0" collapsed="false">
      <c r="A43" s="8" t="s">
        <v>627</v>
      </c>
      <c r="C43" s="43" t="s">
        <v>628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 customFormat="false" ht="15" hidden="false" customHeight="true" outlineLevel="0" collapsed="false">
      <c r="A44" s="8" t="s">
        <v>629</v>
      </c>
      <c r="C44" s="43" t="s">
        <v>630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</row>
  </sheetData>
  <mergeCells count="10">
    <mergeCell ref="C33:M33"/>
    <mergeCell ref="C34:M34"/>
    <mergeCell ref="C35:M35"/>
    <mergeCell ref="C36:M36"/>
    <mergeCell ref="C37:M37"/>
    <mergeCell ref="C40:M40"/>
    <mergeCell ref="C41:M41"/>
    <mergeCell ref="C42:M42"/>
    <mergeCell ref="C43:M43"/>
    <mergeCell ref="C44:M44"/>
  </mergeCells>
  <conditionalFormatting sqref="H4:I7">
    <cfRule type="cellIs" priority="2" operator="between" aboveAverage="0" equalAverage="0" bottom="0" percent="0" rank="0" text="" dxfId="13">
      <formula>0</formula>
      <formula>20</formula>
    </cfRule>
    <cfRule type="cellIs" priority="3" operator="between" aboveAverage="0" equalAverage="0" bottom="0" percent="0" rank="0" text="" dxfId="14">
      <formula>21</formula>
      <formula>40</formula>
    </cfRule>
    <cfRule type="cellIs" priority="4" operator="between" aboveAverage="0" equalAverage="0" bottom="0" percent="0" rank="0" text="" dxfId="15">
      <formula>41</formula>
      <formula>60</formula>
    </cfRule>
    <cfRule type="cellIs" priority="5" operator="between" aboveAverage="0" equalAverage="0" bottom="0" percent="0" rank="0" text="" dxfId="16">
      <formula>61</formula>
      <formula>80</formula>
    </cfRule>
    <cfRule type="cellIs" priority="6" operator="between" aboveAverage="0" equalAverage="0" bottom="0" percent="0" rank="0" text="" dxfId="17">
      <formula>81</formula>
      <formula>100</formula>
    </cfRule>
  </conditionalFormatting>
  <conditionalFormatting sqref="B11:B12">
    <cfRule type="cellIs" priority="7" operator="between" aboveAverage="0" equalAverage="0" bottom="0" percent="0" rank="0" text="" dxfId="13">
      <formula>0</formula>
      <formula>20</formula>
    </cfRule>
    <cfRule type="cellIs" priority="8" operator="between" aboveAverage="0" equalAverage="0" bottom="0" percent="0" rank="0" text="" dxfId="14">
      <formula>21</formula>
      <formula>40</formula>
    </cfRule>
    <cfRule type="cellIs" priority="9" operator="between" aboveAverage="0" equalAverage="0" bottom="0" percent="0" rank="0" text="" dxfId="15">
      <formula>41</formula>
      <formula>60</formula>
    </cfRule>
    <cfRule type="cellIs" priority="10" operator="between" aboveAverage="0" equalAverage="0" bottom="0" percent="0" rank="0" text="" dxfId="16">
      <formula>61</formula>
      <formula>80</formula>
    </cfRule>
    <cfRule type="cellIs" priority="11" operator="between" aboveAverage="0" equalAverage="0" bottom="0" percent="0" rank="0" text="" dxfId="17">
      <formula>81</formula>
      <formula>100</formula>
    </cfRule>
  </conditionalFormatting>
  <conditionalFormatting sqref="E4:E7">
    <cfRule type="expression" priority="12" aboveAverage="0" equalAverage="0" bottom="0" percent="0" rank="0" text="" dxfId="18">
      <formula>E4="NO CONCLUYENTE"</formula>
    </cfRule>
    <cfRule type="expression" priority="13" aboveAverage="0" equalAverage="0" bottom="0" percent="0" rank="0" text="" dxfId="19">
      <formula>E4="CON RESERVAS"</formula>
    </cfRule>
  </conditionalFormatting>
  <dataValidations count="2">
    <dataValidation allowBlank="true" error="Valor no permitido. Use la lista desplegable." errorStyle="stop" errorTitle="DCIP 2.3" operator="between" showDropDown="false" showErrorMessage="false" showInputMessage="false" sqref="B18" type="list">
      <formula1>16_LISTAS!$D$13:$D$17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B19" type="list">
      <formula1>16_LISTAS!$G$13:$G$17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U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6" min="15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21" min="19" style="0" width="24"/>
  </cols>
  <sheetData>
    <row r="1" customFormat="false" ht="23.85" hidden="false" customHeight="false" outlineLevel="0" collapsed="false">
      <c r="A1" s="7" t="s">
        <v>631</v>
      </c>
      <c r="B1" s="7" t="s">
        <v>632</v>
      </c>
      <c r="C1" s="7" t="s">
        <v>40</v>
      </c>
      <c r="D1" s="7" t="s">
        <v>46</v>
      </c>
      <c r="E1" s="7" t="s">
        <v>633</v>
      </c>
      <c r="F1" s="7" t="s">
        <v>553</v>
      </c>
      <c r="G1" s="7" t="s">
        <v>634</v>
      </c>
      <c r="H1" s="7" t="s">
        <v>635</v>
      </c>
      <c r="I1" s="7" t="s">
        <v>552</v>
      </c>
      <c r="J1" s="7" t="s">
        <v>554</v>
      </c>
      <c r="K1" s="7" t="s">
        <v>551</v>
      </c>
      <c r="L1" s="7" t="s">
        <v>636</v>
      </c>
      <c r="M1" s="7" t="s">
        <v>637</v>
      </c>
      <c r="N1" s="7" t="s">
        <v>638</v>
      </c>
      <c r="O1" s="7" t="s">
        <v>639</v>
      </c>
      <c r="P1" s="7" t="s">
        <v>640</v>
      </c>
      <c r="Q1" s="7" t="s">
        <v>641</v>
      </c>
      <c r="R1" s="7" t="s">
        <v>555</v>
      </c>
      <c r="S1" s="7" t="s">
        <v>560</v>
      </c>
      <c r="T1" s="7" t="s">
        <v>642</v>
      </c>
      <c r="U1" s="7" t="s">
        <v>561</v>
      </c>
    </row>
    <row r="2" customFormat="false" ht="15" hidden="false" customHeight="false" outlineLevel="0" collapsed="false">
      <c r="A2" s="9"/>
      <c r="B2" s="9"/>
      <c r="C2" s="21" t="str">
        <f aca="false">IF(A2="","",01_CONFIG!$B$4)</f>
        <v/>
      </c>
      <c r="D2" s="44" t="str">
        <f aca="false">IF(A2="","",01_CONFIG!$B$7)</f>
        <v/>
      </c>
      <c r="E2" s="11"/>
      <c r="F2" s="16" t="str">
        <f aca="false">IF(OR(E2="",D2=""),"",(YEAR(D2)-YEAR(E2))*12+MONTH(D2)-MONTH(E2))</f>
        <v/>
      </c>
      <c r="G2" s="16" t="str">
        <f aca="false">IF(OR(E2="",D2=""),"",IF(E2&gt;D2,"EXCLUIR","OK"))</f>
        <v/>
      </c>
      <c r="H2" s="9"/>
      <c r="I2" s="45" t="str">
        <f aca="false">IF(H2="","",IFERROR(INDEX(12_FUENTES!$B$2:$B$301,MATCH(H2,12_FUENTES!$A$2:$A$301,0)),"FUENTE NO REGISTRADA"))</f>
        <v/>
      </c>
      <c r="J2" s="9"/>
      <c r="K2" s="9"/>
      <c r="L2" s="9"/>
      <c r="M2" s="9"/>
      <c r="N2" s="9"/>
      <c r="O2" s="9"/>
      <c r="P2" s="9"/>
      <c r="Q2" s="9"/>
      <c r="R2" s="16" t="str">
        <f aca="false">IF(OR(I2="",I2="FUENTE NO REGISTRADA"),"",INDEX(16_LISTAS!$A$4:$A$8,MAX(1,INDEX(16_LISTAS!$E$4:$E$9,MATCH(I2,16_LISTAS!$D$4:$D$9,0))-IF(F2="",0,IF(F2&lt;=IF(J2="S",18,12),0,IF(F2&lt;=IF(J2="S",30,24),1,2))))))</f>
        <v/>
      </c>
      <c r="S2" s="9"/>
      <c r="T2" s="9"/>
      <c r="U2" s="9"/>
    </row>
    <row r="3" customFormat="false" ht="15" hidden="false" customHeight="false" outlineLevel="0" collapsed="false">
      <c r="A3" s="9"/>
      <c r="B3" s="9"/>
      <c r="C3" s="21" t="str">
        <f aca="false">IF(A3="","",01_CONFIG!$B$4)</f>
        <v/>
      </c>
      <c r="D3" s="44" t="str">
        <f aca="false">IF(A3="","",01_CONFIG!$B$7)</f>
        <v/>
      </c>
      <c r="E3" s="11"/>
      <c r="F3" s="16" t="str">
        <f aca="false">IF(OR(E3="",D3=""),"",(YEAR(D3)-YEAR(E3))*12+MONTH(D3)-MONTH(E3))</f>
        <v/>
      </c>
      <c r="G3" s="16" t="str">
        <f aca="false">IF(OR(E3="",D3=""),"",IF(E3&gt;D3,"EXCLUIR","OK"))</f>
        <v/>
      </c>
      <c r="H3" s="9"/>
      <c r="I3" s="45" t="str">
        <f aca="false">IF(H3="","",IFERROR(INDEX(12_FUENTES!$B$2:$B$301,MATCH(H3,12_FUENTES!$A$2:$A$301,0)),"FUENTE NO REGISTRADA"))</f>
        <v/>
      </c>
      <c r="J3" s="9"/>
      <c r="K3" s="9"/>
      <c r="L3" s="9"/>
      <c r="M3" s="9"/>
      <c r="N3" s="9"/>
      <c r="O3" s="9"/>
      <c r="P3" s="9"/>
      <c r="Q3" s="9"/>
      <c r="R3" s="16" t="str">
        <f aca="false">IF(OR(I3="",I3="FUENTE NO REGISTRADA"),"",INDEX(16_LISTAS!$A$4:$A$8,MAX(1,INDEX(16_LISTAS!$E$4:$E$9,MATCH(I3,16_LISTAS!$D$4:$D$9,0))-IF(F3="",0,IF(F3&lt;=IF(J3="S",18,12),0,IF(F3&lt;=IF(J3="S",30,24),1,2))))))</f>
        <v/>
      </c>
      <c r="S3" s="9"/>
      <c r="T3" s="9"/>
      <c r="U3" s="9"/>
    </row>
    <row r="4" customFormat="false" ht="15" hidden="false" customHeight="false" outlineLevel="0" collapsed="false">
      <c r="A4" s="9"/>
      <c r="B4" s="9"/>
      <c r="C4" s="21" t="str">
        <f aca="false">IF(A4="","",01_CONFIG!$B$4)</f>
        <v/>
      </c>
      <c r="D4" s="44" t="str">
        <f aca="false">IF(A4="","",01_CONFIG!$B$7)</f>
        <v/>
      </c>
      <c r="E4" s="11"/>
      <c r="F4" s="16" t="str">
        <f aca="false">IF(OR(E4="",D4=""),"",(YEAR(D4)-YEAR(E4))*12+MONTH(D4)-MONTH(E4))</f>
        <v/>
      </c>
      <c r="G4" s="16" t="str">
        <f aca="false">IF(OR(E4="",D4=""),"",IF(E4&gt;D4,"EXCLUIR","OK"))</f>
        <v/>
      </c>
      <c r="H4" s="9"/>
      <c r="I4" s="45" t="str">
        <f aca="false">IF(H4="","",IFERROR(INDEX(12_FUENTES!$B$2:$B$301,MATCH(H4,12_FUENTES!$A$2:$A$301,0)),"FUENTE NO REGISTRADA"))</f>
        <v/>
      </c>
      <c r="J4" s="9"/>
      <c r="K4" s="9"/>
      <c r="L4" s="9"/>
      <c r="M4" s="9"/>
      <c r="N4" s="9"/>
      <c r="O4" s="9"/>
      <c r="P4" s="9"/>
      <c r="Q4" s="9"/>
      <c r="R4" s="16" t="str">
        <f aca="false">IF(OR(I4="",I4="FUENTE NO REGISTRADA"),"",INDEX(16_LISTAS!$A$4:$A$8,MAX(1,INDEX(16_LISTAS!$E$4:$E$9,MATCH(I4,16_LISTAS!$D$4:$D$9,0))-IF(F4="",0,IF(F4&lt;=IF(J4="S",18,12),0,IF(F4&lt;=IF(J4="S",30,24),1,2))))))</f>
        <v/>
      </c>
      <c r="S4" s="9"/>
      <c r="T4" s="9"/>
      <c r="U4" s="9"/>
    </row>
    <row r="5" customFormat="false" ht="15" hidden="false" customHeight="false" outlineLevel="0" collapsed="false">
      <c r="A5" s="9"/>
      <c r="B5" s="9"/>
      <c r="C5" s="21" t="str">
        <f aca="false">IF(A5="","",01_CONFIG!$B$4)</f>
        <v/>
      </c>
      <c r="D5" s="44" t="str">
        <f aca="false">IF(A5="","",01_CONFIG!$B$7)</f>
        <v/>
      </c>
      <c r="E5" s="11"/>
      <c r="F5" s="16" t="str">
        <f aca="false">IF(OR(E5="",D5=""),"",(YEAR(D5)-YEAR(E5))*12+MONTH(D5)-MONTH(E5))</f>
        <v/>
      </c>
      <c r="G5" s="16" t="str">
        <f aca="false">IF(OR(E5="",D5=""),"",IF(E5&gt;D5,"EXCLUIR","OK"))</f>
        <v/>
      </c>
      <c r="H5" s="9"/>
      <c r="I5" s="45" t="str">
        <f aca="false">IF(H5="","",IFERROR(INDEX(12_FUENTES!$B$2:$B$301,MATCH(H5,12_FUENTES!$A$2:$A$301,0)),"FUENTE NO REGISTRADA"))</f>
        <v/>
      </c>
      <c r="J5" s="9"/>
      <c r="K5" s="9"/>
      <c r="L5" s="9"/>
      <c r="M5" s="9"/>
      <c r="N5" s="9"/>
      <c r="O5" s="9"/>
      <c r="P5" s="9"/>
      <c r="Q5" s="9"/>
      <c r="R5" s="16" t="str">
        <f aca="false">IF(OR(I5="",I5="FUENTE NO REGISTRADA"),"",INDEX(16_LISTAS!$A$4:$A$8,MAX(1,INDEX(16_LISTAS!$E$4:$E$9,MATCH(I5,16_LISTAS!$D$4:$D$9,0))-IF(F5="",0,IF(F5&lt;=IF(J5="S",18,12),0,IF(F5&lt;=IF(J5="S",30,24),1,2))))))</f>
        <v/>
      </c>
      <c r="S5" s="9"/>
      <c r="T5" s="9"/>
      <c r="U5" s="9"/>
    </row>
    <row r="6" customFormat="false" ht="15" hidden="false" customHeight="false" outlineLevel="0" collapsed="false">
      <c r="A6" s="9"/>
      <c r="B6" s="9"/>
      <c r="C6" s="21" t="str">
        <f aca="false">IF(A6="","",01_CONFIG!$B$4)</f>
        <v/>
      </c>
      <c r="D6" s="44" t="str">
        <f aca="false">IF(A6="","",01_CONFIG!$B$7)</f>
        <v/>
      </c>
      <c r="E6" s="11"/>
      <c r="F6" s="16" t="str">
        <f aca="false">IF(OR(E6="",D6=""),"",(YEAR(D6)-YEAR(E6))*12+MONTH(D6)-MONTH(E6))</f>
        <v/>
      </c>
      <c r="G6" s="16" t="str">
        <f aca="false">IF(OR(E6="",D6=""),"",IF(E6&gt;D6,"EXCLUIR","OK"))</f>
        <v/>
      </c>
      <c r="H6" s="9"/>
      <c r="I6" s="45" t="str">
        <f aca="false">IF(H6="","",IFERROR(INDEX(12_FUENTES!$B$2:$B$301,MATCH(H6,12_FUENTES!$A$2:$A$301,0)),"FUENTE NO REGISTRADA"))</f>
        <v/>
      </c>
      <c r="J6" s="9"/>
      <c r="K6" s="9"/>
      <c r="L6" s="9"/>
      <c r="M6" s="9"/>
      <c r="N6" s="9"/>
      <c r="O6" s="9"/>
      <c r="P6" s="9"/>
      <c r="Q6" s="9"/>
      <c r="R6" s="16" t="str">
        <f aca="false">IF(OR(I6="",I6="FUENTE NO REGISTRADA"),"",INDEX(16_LISTAS!$A$4:$A$8,MAX(1,INDEX(16_LISTAS!$E$4:$E$9,MATCH(I6,16_LISTAS!$D$4:$D$9,0))-IF(F6="",0,IF(F6&lt;=IF(J6="S",18,12),0,IF(F6&lt;=IF(J6="S",30,24),1,2))))))</f>
        <v/>
      </c>
      <c r="S6" s="9"/>
      <c r="T6" s="9"/>
      <c r="U6" s="9"/>
    </row>
    <row r="7" customFormat="false" ht="15" hidden="false" customHeight="false" outlineLevel="0" collapsed="false">
      <c r="A7" s="9"/>
      <c r="B7" s="9"/>
      <c r="C7" s="21" t="str">
        <f aca="false">IF(A7="","",01_CONFIG!$B$4)</f>
        <v/>
      </c>
      <c r="D7" s="44" t="str">
        <f aca="false">IF(A7="","",01_CONFIG!$B$7)</f>
        <v/>
      </c>
      <c r="E7" s="11"/>
      <c r="F7" s="16" t="str">
        <f aca="false">IF(OR(E7="",D7=""),"",(YEAR(D7)-YEAR(E7))*12+MONTH(D7)-MONTH(E7))</f>
        <v/>
      </c>
      <c r="G7" s="16" t="str">
        <f aca="false">IF(OR(E7="",D7=""),"",IF(E7&gt;D7,"EXCLUIR","OK"))</f>
        <v/>
      </c>
      <c r="H7" s="9"/>
      <c r="I7" s="45" t="str">
        <f aca="false">IF(H7="","",IFERROR(INDEX(12_FUENTES!$B$2:$B$301,MATCH(H7,12_FUENTES!$A$2:$A$301,0)),"FUENTE NO REGISTRADA"))</f>
        <v/>
      </c>
      <c r="J7" s="9"/>
      <c r="K7" s="9"/>
      <c r="L7" s="9"/>
      <c r="M7" s="9"/>
      <c r="N7" s="9"/>
      <c r="O7" s="9"/>
      <c r="P7" s="9"/>
      <c r="Q7" s="9"/>
      <c r="R7" s="16" t="str">
        <f aca="false">IF(OR(I7="",I7="FUENTE NO REGISTRADA"),"",INDEX(16_LISTAS!$A$4:$A$8,MAX(1,INDEX(16_LISTAS!$E$4:$E$9,MATCH(I7,16_LISTAS!$D$4:$D$9,0))-IF(F7="",0,IF(F7&lt;=IF(J7="S",18,12),0,IF(F7&lt;=IF(J7="S",30,24),1,2))))))</f>
        <v/>
      </c>
      <c r="S7" s="9"/>
      <c r="T7" s="9"/>
      <c r="U7" s="9"/>
    </row>
    <row r="8" customFormat="false" ht="15" hidden="false" customHeight="false" outlineLevel="0" collapsed="false">
      <c r="A8" s="9"/>
      <c r="B8" s="9"/>
      <c r="C8" s="21" t="str">
        <f aca="false">IF(A8="","",01_CONFIG!$B$4)</f>
        <v/>
      </c>
      <c r="D8" s="44" t="str">
        <f aca="false">IF(A8="","",01_CONFIG!$B$7)</f>
        <v/>
      </c>
      <c r="E8" s="11"/>
      <c r="F8" s="16" t="str">
        <f aca="false">IF(OR(E8="",D8=""),"",(YEAR(D8)-YEAR(E8))*12+MONTH(D8)-MONTH(E8))</f>
        <v/>
      </c>
      <c r="G8" s="16" t="str">
        <f aca="false">IF(OR(E8="",D8=""),"",IF(E8&gt;D8,"EXCLUIR","OK"))</f>
        <v/>
      </c>
      <c r="H8" s="9"/>
      <c r="I8" s="45" t="str">
        <f aca="false">IF(H8="","",IFERROR(INDEX(12_FUENTES!$B$2:$B$301,MATCH(H8,12_FUENTES!$A$2:$A$301,0)),"FUENTE NO REGISTRADA"))</f>
        <v/>
      </c>
      <c r="J8" s="9"/>
      <c r="K8" s="9"/>
      <c r="L8" s="9"/>
      <c r="M8" s="9"/>
      <c r="N8" s="9"/>
      <c r="O8" s="9"/>
      <c r="P8" s="9"/>
      <c r="Q8" s="9"/>
      <c r="R8" s="16" t="str">
        <f aca="false">IF(OR(I8="",I8="FUENTE NO REGISTRADA"),"",INDEX(16_LISTAS!$A$4:$A$8,MAX(1,INDEX(16_LISTAS!$E$4:$E$9,MATCH(I8,16_LISTAS!$D$4:$D$9,0))-IF(F8="",0,IF(F8&lt;=IF(J8="S",18,12),0,IF(F8&lt;=IF(J8="S",30,24),1,2))))))</f>
        <v/>
      </c>
      <c r="S8" s="9"/>
      <c r="T8" s="9"/>
      <c r="U8" s="9"/>
    </row>
    <row r="9" customFormat="false" ht="15" hidden="false" customHeight="false" outlineLevel="0" collapsed="false">
      <c r="A9" s="9"/>
      <c r="B9" s="9"/>
      <c r="C9" s="21" t="str">
        <f aca="false">IF(A9="","",01_CONFIG!$B$4)</f>
        <v/>
      </c>
      <c r="D9" s="44" t="str">
        <f aca="false">IF(A9="","",01_CONFIG!$B$7)</f>
        <v/>
      </c>
      <c r="E9" s="11"/>
      <c r="F9" s="16" t="str">
        <f aca="false">IF(OR(E9="",D9=""),"",(YEAR(D9)-YEAR(E9))*12+MONTH(D9)-MONTH(E9))</f>
        <v/>
      </c>
      <c r="G9" s="16" t="str">
        <f aca="false">IF(OR(E9="",D9=""),"",IF(E9&gt;D9,"EXCLUIR","OK"))</f>
        <v/>
      </c>
      <c r="H9" s="9"/>
      <c r="I9" s="45" t="str">
        <f aca="false">IF(H9="","",IFERROR(INDEX(12_FUENTES!$B$2:$B$301,MATCH(H9,12_FUENTES!$A$2:$A$301,0)),"FUENTE NO REGISTRADA"))</f>
        <v/>
      </c>
      <c r="J9" s="9"/>
      <c r="K9" s="9"/>
      <c r="L9" s="9"/>
      <c r="M9" s="9"/>
      <c r="N9" s="9"/>
      <c r="O9" s="9"/>
      <c r="P9" s="9"/>
      <c r="Q9" s="9"/>
      <c r="R9" s="16" t="str">
        <f aca="false">IF(OR(I9="",I9="FUENTE NO REGISTRADA"),"",INDEX(16_LISTAS!$A$4:$A$8,MAX(1,INDEX(16_LISTAS!$E$4:$E$9,MATCH(I9,16_LISTAS!$D$4:$D$9,0))-IF(F9="",0,IF(F9&lt;=IF(J9="S",18,12),0,IF(F9&lt;=IF(J9="S",30,24),1,2))))))</f>
        <v/>
      </c>
      <c r="S9" s="9"/>
      <c r="T9" s="9"/>
      <c r="U9" s="9"/>
    </row>
    <row r="10" customFormat="false" ht="15" hidden="false" customHeight="false" outlineLevel="0" collapsed="false">
      <c r="A10" s="9"/>
      <c r="B10" s="9"/>
      <c r="C10" s="21" t="str">
        <f aca="false">IF(A10="","",01_CONFIG!$B$4)</f>
        <v/>
      </c>
      <c r="D10" s="44" t="str">
        <f aca="false">IF(A10="","",01_CONFIG!$B$7)</f>
        <v/>
      </c>
      <c r="E10" s="11"/>
      <c r="F10" s="16" t="str">
        <f aca="false">IF(OR(E10="",D10=""),"",(YEAR(D10)-YEAR(E10))*12+MONTH(D10)-MONTH(E10))</f>
        <v/>
      </c>
      <c r="G10" s="16" t="str">
        <f aca="false">IF(OR(E10="",D10=""),"",IF(E10&gt;D10,"EXCLUIR","OK"))</f>
        <v/>
      </c>
      <c r="H10" s="9"/>
      <c r="I10" s="45" t="str">
        <f aca="false">IF(H10="","",IFERROR(INDEX(12_FUENTES!$B$2:$B$301,MATCH(H10,12_FUENTES!$A$2:$A$301,0)),"FUENTE NO REGISTRADA"))</f>
        <v/>
      </c>
      <c r="J10" s="9"/>
      <c r="K10" s="9"/>
      <c r="L10" s="9"/>
      <c r="M10" s="9"/>
      <c r="N10" s="9"/>
      <c r="O10" s="9"/>
      <c r="P10" s="9"/>
      <c r="Q10" s="9"/>
      <c r="R10" s="16" t="str">
        <f aca="false">IF(OR(I10="",I10="FUENTE NO REGISTRADA"),"",INDEX(16_LISTAS!$A$4:$A$8,MAX(1,INDEX(16_LISTAS!$E$4:$E$9,MATCH(I10,16_LISTAS!$D$4:$D$9,0))-IF(F10="",0,IF(F10&lt;=IF(J10="S",18,12),0,IF(F10&lt;=IF(J10="S",30,24),1,2))))))</f>
        <v/>
      </c>
      <c r="S10" s="9"/>
      <c r="T10" s="9"/>
      <c r="U10" s="9"/>
    </row>
    <row r="11" customFormat="false" ht="15" hidden="false" customHeight="false" outlineLevel="0" collapsed="false">
      <c r="A11" s="9"/>
      <c r="B11" s="9"/>
      <c r="C11" s="21" t="str">
        <f aca="false">IF(A11="","",01_CONFIG!$B$4)</f>
        <v/>
      </c>
      <c r="D11" s="44" t="str">
        <f aca="false">IF(A11="","",01_CONFIG!$B$7)</f>
        <v/>
      </c>
      <c r="E11" s="11"/>
      <c r="F11" s="16" t="str">
        <f aca="false">IF(OR(E11="",D11=""),"",(YEAR(D11)-YEAR(E11))*12+MONTH(D11)-MONTH(E11))</f>
        <v/>
      </c>
      <c r="G11" s="16" t="str">
        <f aca="false">IF(OR(E11="",D11=""),"",IF(E11&gt;D11,"EXCLUIR","OK"))</f>
        <v/>
      </c>
      <c r="H11" s="9"/>
      <c r="I11" s="45" t="str">
        <f aca="false">IF(H11="","",IFERROR(INDEX(12_FUENTES!$B$2:$B$301,MATCH(H11,12_FUENTES!$A$2:$A$301,0)),"FUENTE NO REGISTRADA"))</f>
        <v/>
      </c>
      <c r="J11" s="9"/>
      <c r="K11" s="9"/>
      <c r="L11" s="9"/>
      <c r="M11" s="9"/>
      <c r="N11" s="9"/>
      <c r="O11" s="9"/>
      <c r="P11" s="9"/>
      <c r="Q11" s="9"/>
      <c r="R11" s="16" t="str">
        <f aca="false">IF(OR(I11="",I11="FUENTE NO REGISTRADA"),"",INDEX(16_LISTAS!$A$4:$A$8,MAX(1,INDEX(16_LISTAS!$E$4:$E$9,MATCH(I11,16_LISTAS!$D$4:$D$9,0))-IF(F11="",0,IF(F11&lt;=IF(J11="S",18,12),0,IF(F11&lt;=IF(J11="S",30,24),1,2))))))</f>
        <v/>
      </c>
      <c r="S11" s="9"/>
      <c r="T11" s="9"/>
      <c r="U11" s="9"/>
    </row>
    <row r="12" customFormat="false" ht="15" hidden="false" customHeight="false" outlineLevel="0" collapsed="false">
      <c r="A12" s="9"/>
      <c r="B12" s="9"/>
      <c r="C12" s="21" t="str">
        <f aca="false">IF(A12="","",01_CONFIG!$B$4)</f>
        <v/>
      </c>
      <c r="D12" s="44" t="str">
        <f aca="false">IF(A12="","",01_CONFIG!$B$7)</f>
        <v/>
      </c>
      <c r="E12" s="11"/>
      <c r="F12" s="16" t="str">
        <f aca="false">IF(OR(E12="",D12=""),"",(YEAR(D12)-YEAR(E12))*12+MONTH(D12)-MONTH(E12))</f>
        <v/>
      </c>
      <c r="G12" s="16" t="str">
        <f aca="false">IF(OR(E12="",D12=""),"",IF(E12&gt;D12,"EXCLUIR","OK"))</f>
        <v/>
      </c>
      <c r="H12" s="9"/>
      <c r="I12" s="45" t="str">
        <f aca="false">IF(H12="","",IFERROR(INDEX(12_FUENTES!$B$2:$B$301,MATCH(H12,12_FUENTES!$A$2:$A$301,0)),"FUENTE NO REGISTRADA"))</f>
        <v/>
      </c>
      <c r="J12" s="9"/>
      <c r="K12" s="9"/>
      <c r="L12" s="9"/>
      <c r="M12" s="9"/>
      <c r="N12" s="9"/>
      <c r="O12" s="9"/>
      <c r="P12" s="9"/>
      <c r="Q12" s="9"/>
      <c r="R12" s="16" t="str">
        <f aca="false">IF(OR(I12="",I12="FUENTE NO REGISTRADA"),"",INDEX(16_LISTAS!$A$4:$A$8,MAX(1,INDEX(16_LISTAS!$E$4:$E$9,MATCH(I12,16_LISTAS!$D$4:$D$9,0))-IF(F12="",0,IF(F12&lt;=IF(J12="S",18,12),0,IF(F12&lt;=IF(J12="S",30,24),1,2))))))</f>
        <v/>
      </c>
      <c r="S12" s="9"/>
      <c r="T12" s="9"/>
      <c r="U12" s="9"/>
    </row>
    <row r="13" customFormat="false" ht="15" hidden="false" customHeight="false" outlineLevel="0" collapsed="false">
      <c r="A13" s="9"/>
      <c r="B13" s="9"/>
      <c r="C13" s="21" t="str">
        <f aca="false">IF(A13="","",01_CONFIG!$B$4)</f>
        <v/>
      </c>
      <c r="D13" s="44" t="str">
        <f aca="false">IF(A13="","",01_CONFIG!$B$7)</f>
        <v/>
      </c>
      <c r="E13" s="11"/>
      <c r="F13" s="16" t="str">
        <f aca="false">IF(OR(E13="",D13=""),"",(YEAR(D13)-YEAR(E13))*12+MONTH(D13)-MONTH(E13))</f>
        <v/>
      </c>
      <c r="G13" s="16" t="str">
        <f aca="false">IF(OR(E13="",D13=""),"",IF(E13&gt;D13,"EXCLUIR","OK"))</f>
        <v/>
      </c>
      <c r="H13" s="9"/>
      <c r="I13" s="45" t="str">
        <f aca="false">IF(H13="","",IFERROR(INDEX(12_FUENTES!$B$2:$B$301,MATCH(H13,12_FUENTES!$A$2:$A$301,0)),"FUENTE NO REGISTRADA"))</f>
        <v/>
      </c>
      <c r="J13" s="9"/>
      <c r="K13" s="9"/>
      <c r="L13" s="9"/>
      <c r="M13" s="9"/>
      <c r="N13" s="9"/>
      <c r="O13" s="9"/>
      <c r="P13" s="9"/>
      <c r="Q13" s="9"/>
      <c r="R13" s="16" t="str">
        <f aca="false">IF(OR(I13="",I13="FUENTE NO REGISTRADA"),"",INDEX(16_LISTAS!$A$4:$A$8,MAX(1,INDEX(16_LISTAS!$E$4:$E$9,MATCH(I13,16_LISTAS!$D$4:$D$9,0))-IF(F13="",0,IF(F13&lt;=IF(J13="S",18,12),0,IF(F13&lt;=IF(J13="S",30,24),1,2))))))</f>
        <v/>
      </c>
      <c r="S13" s="9"/>
      <c r="T13" s="9"/>
      <c r="U13" s="9"/>
    </row>
    <row r="14" customFormat="false" ht="15" hidden="false" customHeight="false" outlineLevel="0" collapsed="false">
      <c r="A14" s="9"/>
      <c r="B14" s="9"/>
      <c r="C14" s="21" t="str">
        <f aca="false">IF(A14="","",01_CONFIG!$B$4)</f>
        <v/>
      </c>
      <c r="D14" s="44" t="str">
        <f aca="false">IF(A14="","",01_CONFIG!$B$7)</f>
        <v/>
      </c>
      <c r="E14" s="11"/>
      <c r="F14" s="16" t="str">
        <f aca="false">IF(OR(E14="",D14=""),"",(YEAR(D14)-YEAR(E14))*12+MONTH(D14)-MONTH(E14))</f>
        <v/>
      </c>
      <c r="G14" s="16" t="str">
        <f aca="false">IF(OR(E14="",D14=""),"",IF(E14&gt;D14,"EXCLUIR","OK"))</f>
        <v/>
      </c>
      <c r="H14" s="9"/>
      <c r="I14" s="45" t="str">
        <f aca="false">IF(H14="","",IFERROR(INDEX(12_FUENTES!$B$2:$B$301,MATCH(H14,12_FUENTES!$A$2:$A$301,0)),"FUENTE NO REGISTRADA"))</f>
        <v/>
      </c>
      <c r="J14" s="9"/>
      <c r="K14" s="9"/>
      <c r="L14" s="9"/>
      <c r="M14" s="9"/>
      <c r="N14" s="9"/>
      <c r="O14" s="9"/>
      <c r="P14" s="9"/>
      <c r="Q14" s="9"/>
      <c r="R14" s="16" t="str">
        <f aca="false">IF(OR(I14="",I14="FUENTE NO REGISTRADA"),"",INDEX(16_LISTAS!$A$4:$A$8,MAX(1,INDEX(16_LISTAS!$E$4:$E$9,MATCH(I14,16_LISTAS!$D$4:$D$9,0))-IF(F14="",0,IF(F14&lt;=IF(J14="S",18,12),0,IF(F14&lt;=IF(J14="S",30,24),1,2))))))</f>
        <v/>
      </c>
      <c r="S14" s="9"/>
      <c r="T14" s="9"/>
      <c r="U14" s="9"/>
    </row>
    <row r="15" customFormat="false" ht="15" hidden="false" customHeight="false" outlineLevel="0" collapsed="false">
      <c r="A15" s="9"/>
      <c r="B15" s="9"/>
      <c r="C15" s="21" t="str">
        <f aca="false">IF(A15="","",01_CONFIG!$B$4)</f>
        <v/>
      </c>
      <c r="D15" s="44" t="str">
        <f aca="false">IF(A15="","",01_CONFIG!$B$7)</f>
        <v/>
      </c>
      <c r="E15" s="11"/>
      <c r="F15" s="16" t="str">
        <f aca="false">IF(OR(E15="",D15=""),"",(YEAR(D15)-YEAR(E15))*12+MONTH(D15)-MONTH(E15))</f>
        <v/>
      </c>
      <c r="G15" s="16" t="str">
        <f aca="false">IF(OR(E15="",D15=""),"",IF(E15&gt;D15,"EXCLUIR","OK"))</f>
        <v/>
      </c>
      <c r="H15" s="9"/>
      <c r="I15" s="45" t="str">
        <f aca="false">IF(H15="","",IFERROR(INDEX(12_FUENTES!$B$2:$B$301,MATCH(H15,12_FUENTES!$A$2:$A$301,0)),"FUENTE NO REGISTRADA"))</f>
        <v/>
      </c>
      <c r="J15" s="9"/>
      <c r="K15" s="9"/>
      <c r="L15" s="9"/>
      <c r="M15" s="9"/>
      <c r="N15" s="9"/>
      <c r="O15" s="9"/>
      <c r="P15" s="9"/>
      <c r="Q15" s="9"/>
      <c r="R15" s="16" t="str">
        <f aca="false">IF(OR(I15="",I15="FUENTE NO REGISTRADA"),"",INDEX(16_LISTAS!$A$4:$A$8,MAX(1,INDEX(16_LISTAS!$E$4:$E$9,MATCH(I15,16_LISTAS!$D$4:$D$9,0))-IF(F15="",0,IF(F15&lt;=IF(J15="S",18,12),0,IF(F15&lt;=IF(J15="S",30,24),1,2))))))</f>
        <v/>
      </c>
      <c r="S15" s="9"/>
      <c r="T15" s="9"/>
      <c r="U15" s="9"/>
    </row>
    <row r="16" customFormat="false" ht="15" hidden="false" customHeight="false" outlineLevel="0" collapsed="false">
      <c r="A16" s="9"/>
      <c r="B16" s="9"/>
      <c r="C16" s="21" t="str">
        <f aca="false">IF(A16="","",01_CONFIG!$B$4)</f>
        <v/>
      </c>
      <c r="D16" s="44" t="str">
        <f aca="false">IF(A16="","",01_CONFIG!$B$7)</f>
        <v/>
      </c>
      <c r="E16" s="11"/>
      <c r="F16" s="16" t="str">
        <f aca="false">IF(OR(E16="",D16=""),"",(YEAR(D16)-YEAR(E16))*12+MONTH(D16)-MONTH(E16))</f>
        <v/>
      </c>
      <c r="G16" s="16" t="str">
        <f aca="false">IF(OR(E16="",D16=""),"",IF(E16&gt;D16,"EXCLUIR","OK"))</f>
        <v/>
      </c>
      <c r="H16" s="9"/>
      <c r="I16" s="45" t="str">
        <f aca="false">IF(H16="","",IFERROR(INDEX(12_FUENTES!$B$2:$B$301,MATCH(H16,12_FUENTES!$A$2:$A$301,0)),"FUENTE NO REGISTRADA"))</f>
        <v/>
      </c>
      <c r="J16" s="9"/>
      <c r="K16" s="9"/>
      <c r="L16" s="9"/>
      <c r="M16" s="9"/>
      <c r="N16" s="9"/>
      <c r="O16" s="9"/>
      <c r="P16" s="9"/>
      <c r="Q16" s="9"/>
      <c r="R16" s="16" t="str">
        <f aca="false">IF(OR(I16="",I16="FUENTE NO REGISTRADA"),"",INDEX(16_LISTAS!$A$4:$A$8,MAX(1,INDEX(16_LISTAS!$E$4:$E$9,MATCH(I16,16_LISTAS!$D$4:$D$9,0))-IF(F16="",0,IF(F16&lt;=IF(J16="S",18,12),0,IF(F16&lt;=IF(J16="S",30,24),1,2))))))</f>
        <v/>
      </c>
      <c r="S16" s="9"/>
      <c r="T16" s="9"/>
      <c r="U16" s="9"/>
    </row>
    <row r="17" customFormat="false" ht="15" hidden="false" customHeight="false" outlineLevel="0" collapsed="false">
      <c r="A17" s="9"/>
      <c r="B17" s="9"/>
      <c r="C17" s="21" t="str">
        <f aca="false">IF(A17="","",01_CONFIG!$B$4)</f>
        <v/>
      </c>
      <c r="D17" s="44" t="str">
        <f aca="false">IF(A17="","",01_CONFIG!$B$7)</f>
        <v/>
      </c>
      <c r="E17" s="11"/>
      <c r="F17" s="16" t="str">
        <f aca="false">IF(OR(E17="",D17=""),"",(YEAR(D17)-YEAR(E17))*12+MONTH(D17)-MONTH(E17))</f>
        <v/>
      </c>
      <c r="G17" s="16" t="str">
        <f aca="false">IF(OR(E17="",D17=""),"",IF(E17&gt;D17,"EXCLUIR","OK"))</f>
        <v/>
      </c>
      <c r="H17" s="9"/>
      <c r="I17" s="45" t="str">
        <f aca="false">IF(H17="","",IFERROR(INDEX(12_FUENTES!$B$2:$B$301,MATCH(H17,12_FUENTES!$A$2:$A$301,0)),"FUENTE NO REGISTRADA"))</f>
        <v/>
      </c>
      <c r="J17" s="9"/>
      <c r="K17" s="9"/>
      <c r="L17" s="9"/>
      <c r="M17" s="9"/>
      <c r="N17" s="9"/>
      <c r="O17" s="9"/>
      <c r="P17" s="9"/>
      <c r="Q17" s="9"/>
      <c r="R17" s="16" t="str">
        <f aca="false">IF(OR(I17="",I17="FUENTE NO REGISTRADA"),"",INDEX(16_LISTAS!$A$4:$A$8,MAX(1,INDEX(16_LISTAS!$E$4:$E$9,MATCH(I17,16_LISTAS!$D$4:$D$9,0))-IF(F17="",0,IF(F17&lt;=IF(J17="S",18,12),0,IF(F17&lt;=IF(J17="S",30,24),1,2))))))</f>
        <v/>
      </c>
      <c r="S17" s="9"/>
      <c r="T17" s="9"/>
      <c r="U17" s="9"/>
    </row>
    <row r="18" customFormat="false" ht="15" hidden="false" customHeight="false" outlineLevel="0" collapsed="false">
      <c r="A18" s="9"/>
      <c r="B18" s="9"/>
      <c r="C18" s="21" t="str">
        <f aca="false">IF(A18="","",01_CONFIG!$B$4)</f>
        <v/>
      </c>
      <c r="D18" s="44" t="str">
        <f aca="false">IF(A18="","",01_CONFIG!$B$7)</f>
        <v/>
      </c>
      <c r="E18" s="11"/>
      <c r="F18" s="16" t="str">
        <f aca="false">IF(OR(E18="",D18=""),"",(YEAR(D18)-YEAR(E18))*12+MONTH(D18)-MONTH(E18))</f>
        <v/>
      </c>
      <c r="G18" s="16" t="str">
        <f aca="false">IF(OR(E18="",D18=""),"",IF(E18&gt;D18,"EXCLUIR","OK"))</f>
        <v/>
      </c>
      <c r="H18" s="9"/>
      <c r="I18" s="45" t="str">
        <f aca="false">IF(H18="","",IFERROR(INDEX(12_FUENTES!$B$2:$B$301,MATCH(H18,12_FUENTES!$A$2:$A$301,0)),"FUENTE NO REGISTRADA"))</f>
        <v/>
      </c>
      <c r="J18" s="9"/>
      <c r="K18" s="9"/>
      <c r="L18" s="9"/>
      <c r="M18" s="9"/>
      <c r="N18" s="9"/>
      <c r="O18" s="9"/>
      <c r="P18" s="9"/>
      <c r="Q18" s="9"/>
      <c r="R18" s="16" t="str">
        <f aca="false">IF(OR(I18="",I18="FUENTE NO REGISTRADA"),"",INDEX(16_LISTAS!$A$4:$A$8,MAX(1,INDEX(16_LISTAS!$E$4:$E$9,MATCH(I18,16_LISTAS!$D$4:$D$9,0))-IF(F18="",0,IF(F18&lt;=IF(J18="S",18,12),0,IF(F18&lt;=IF(J18="S",30,24),1,2))))))</f>
        <v/>
      </c>
      <c r="S18" s="9"/>
      <c r="T18" s="9"/>
      <c r="U18" s="9"/>
    </row>
    <row r="19" customFormat="false" ht="15" hidden="false" customHeight="false" outlineLevel="0" collapsed="false">
      <c r="A19" s="9"/>
      <c r="B19" s="9"/>
      <c r="C19" s="21" t="str">
        <f aca="false">IF(A19="","",01_CONFIG!$B$4)</f>
        <v/>
      </c>
      <c r="D19" s="44" t="str">
        <f aca="false">IF(A19="","",01_CONFIG!$B$7)</f>
        <v/>
      </c>
      <c r="E19" s="11"/>
      <c r="F19" s="16" t="str">
        <f aca="false">IF(OR(E19="",D19=""),"",(YEAR(D19)-YEAR(E19))*12+MONTH(D19)-MONTH(E19))</f>
        <v/>
      </c>
      <c r="G19" s="16" t="str">
        <f aca="false">IF(OR(E19="",D19=""),"",IF(E19&gt;D19,"EXCLUIR","OK"))</f>
        <v/>
      </c>
      <c r="H19" s="9"/>
      <c r="I19" s="45" t="str">
        <f aca="false">IF(H19="","",IFERROR(INDEX(12_FUENTES!$B$2:$B$301,MATCH(H19,12_FUENTES!$A$2:$A$301,0)),"FUENTE NO REGISTRADA"))</f>
        <v/>
      </c>
      <c r="J19" s="9"/>
      <c r="K19" s="9"/>
      <c r="L19" s="9"/>
      <c r="M19" s="9"/>
      <c r="N19" s="9"/>
      <c r="O19" s="9"/>
      <c r="P19" s="9"/>
      <c r="Q19" s="9"/>
      <c r="R19" s="16" t="str">
        <f aca="false">IF(OR(I19="",I19="FUENTE NO REGISTRADA"),"",INDEX(16_LISTAS!$A$4:$A$8,MAX(1,INDEX(16_LISTAS!$E$4:$E$9,MATCH(I19,16_LISTAS!$D$4:$D$9,0))-IF(F19="",0,IF(F19&lt;=IF(J19="S",18,12),0,IF(F19&lt;=IF(J19="S",30,24),1,2))))))</f>
        <v/>
      </c>
      <c r="S19" s="9"/>
      <c r="T19" s="9"/>
      <c r="U19" s="9"/>
    </row>
    <row r="20" customFormat="false" ht="15" hidden="false" customHeight="false" outlineLevel="0" collapsed="false">
      <c r="A20" s="9"/>
      <c r="B20" s="9"/>
      <c r="C20" s="21" t="str">
        <f aca="false">IF(A20="","",01_CONFIG!$B$4)</f>
        <v/>
      </c>
      <c r="D20" s="44" t="str">
        <f aca="false">IF(A20="","",01_CONFIG!$B$7)</f>
        <v/>
      </c>
      <c r="E20" s="11"/>
      <c r="F20" s="16" t="str">
        <f aca="false">IF(OR(E20="",D20=""),"",(YEAR(D20)-YEAR(E20))*12+MONTH(D20)-MONTH(E20))</f>
        <v/>
      </c>
      <c r="G20" s="16" t="str">
        <f aca="false">IF(OR(E20="",D20=""),"",IF(E20&gt;D20,"EXCLUIR","OK"))</f>
        <v/>
      </c>
      <c r="H20" s="9"/>
      <c r="I20" s="45" t="str">
        <f aca="false">IF(H20="","",IFERROR(INDEX(12_FUENTES!$B$2:$B$301,MATCH(H20,12_FUENTES!$A$2:$A$301,0)),"FUENTE NO REGISTRADA"))</f>
        <v/>
      </c>
      <c r="J20" s="9"/>
      <c r="K20" s="9"/>
      <c r="L20" s="9"/>
      <c r="M20" s="9"/>
      <c r="N20" s="9"/>
      <c r="O20" s="9"/>
      <c r="P20" s="9"/>
      <c r="Q20" s="9"/>
      <c r="R20" s="16" t="str">
        <f aca="false">IF(OR(I20="",I20="FUENTE NO REGISTRADA"),"",INDEX(16_LISTAS!$A$4:$A$8,MAX(1,INDEX(16_LISTAS!$E$4:$E$9,MATCH(I20,16_LISTAS!$D$4:$D$9,0))-IF(F20="",0,IF(F20&lt;=IF(J20="S",18,12),0,IF(F20&lt;=IF(J20="S",30,24),1,2))))))</f>
        <v/>
      </c>
      <c r="S20" s="9"/>
      <c r="T20" s="9"/>
      <c r="U20" s="9"/>
    </row>
    <row r="21" customFormat="false" ht="15" hidden="false" customHeight="false" outlineLevel="0" collapsed="false">
      <c r="A21" s="9"/>
      <c r="B21" s="9"/>
      <c r="C21" s="21" t="str">
        <f aca="false">IF(A21="","",01_CONFIG!$B$4)</f>
        <v/>
      </c>
      <c r="D21" s="44" t="str">
        <f aca="false">IF(A21="","",01_CONFIG!$B$7)</f>
        <v/>
      </c>
      <c r="E21" s="11"/>
      <c r="F21" s="16" t="str">
        <f aca="false">IF(OR(E21="",D21=""),"",(YEAR(D21)-YEAR(E21))*12+MONTH(D21)-MONTH(E21))</f>
        <v/>
      </c>
      <c r="G21" s="16" t="str">
        <f aca="false">IF(OR(E21="",D21=""),"",IF(E21&gt;D21,"EXCLUIR","OK"))</f>
        <v/>
      </c>
      <c r="H21" s="9"/>
      <c r="I21" s="45" t="str">
        <f aca="false">IF(H21="","",IFERROR(INDEX(12_FUENTES!$B$2:$B$301,MATCH(H21,12_FUENTES!$A$2:$A$301,0)),"FUENTE NO REGISTRADA"))</f>
        <v/>
      </c>
      <c r="J21" s="9"/>
      <c r="K21" s="9"/>
      <c r="L21" s="9"/>
      <c r="M21" s="9"/>
      <c r="N21" s="9"/>
      <c r="O21" s="9"/>
      <c r="P21" s="9"/>
      <c r="Q21" s="9"/>
      <c r="R21" s="16" t="str">
        <f aca="false">IF(OR(I21="",I21="FUENTE NO REGISTRADA"),"",INDEX(16_LISTAS!$A$4:$A$8,MAX(1,INDEX(16_LISTAS!$E$4:$E$9,MATCH(I21,16_LISTAS!$D$4:$D$9,0))-IF(F21="",0,IF(F21&lt;=IF(J21="S",18,12),0,IF(F21&lt;=IF(J21="S",30,24),1,2))))))</f>
        <v/>
      </c>
      <c r="S21" s="9"/>
      <c r="T21" s="9"/>
      <c r="U21" s="9"/>
    </row>
    <row r="22" customFormat="false" ht="15" hidden="false" customHeight="false" outlineLevel="0" collapsed="false">
      <c r="A22" s="9"/>
      <c r="B22" s="9"/>
      <c r="C22" s="21" t="str">
        <f aca="false">IF(A22="","",01_CONFIG!$B$4)</f>
        <v/>
      </c>
      <c r="D22" s="44" t="str">
        <f aca="false">IF(A22="","",01_CONFIG!$B$7)</f>
        <v/>
      </c>
      <c r="E22" s="11"/>
      <c r="F22" s="16" t="str">
        <f aca="false">IF(OR(E22="",D22=""),"",(YEAR(D22)-YEAR(E22))*12+MONTH(D22)-MONTH(E22))</f>
        <v/>
      </c>
      <c r="G22" s="16" t="str">
        <f aca="false">IF(OR(E22="",D22=""),"",IF(E22&gt;D22,"EXCLUIR","OK"))</f>
        <v/>
      </c>
      <c r="H22" s="9"/>
      <c r="I22" s="45" t="str">
        <f aca="false">IF(H22="","",IFERROR(INDEX(12_FUENTES!$B$2:$B$301,MATCH(H22,12_FUENTES!$A$2:$A$301,0)),"FUENTE NO REGISTRADA"))</f>
        <v/>
      </c>
      <c r="J22" s="9"/>
      <c r="K22" s="9"/>
      <c r="L22" s="9"/>
      <c r="M22" s="9"/>
      <c r="N22" s="9"/>
      <c r="O22" s="9"/>
      <c r="P22" s="9"/>
      <c r="Q22" s="9"/>
      <c r="R22" s="16" t="str">
        <f aca="false">IF(OR(I22="",I22="FUENTE NO REGISTRADA"),"",INDEX(16_LISTAS!$A$4:$A$8,MAX(1,INDEX(16_LISTAS!$E$4:$E$9,MATCH(I22,16_LISTAS!$D$4:$D$9,0))-IF(F22="",0,IF(F22&lt;=IF(J22="S",18,12),0,IF(F22&lt;=IF(J22="S",30,24),1,2))))))</f>
        <v/>
      </c>
      <c r="S22" s="9"/>
      <c r="T22" s="9"/>
      <c r="U22" s="9"/>
    </row>
    <row r="23" customFormat="false" ht="15" hidden="false" customHeight="false" outlineLevel="0" collapsed="false">
      <c r="A23" s="9"/>
      <c r="B23" s="9"/>
      <c r="C23" s="21" t="str">
        <f aca="false">IF(A23="","",01_CONFIG!$B$4)</f>
        <v/>
      </c>
      <c r="D23" s="44" t="str">
        <f aca="false">IF(A23="","",01_CONFIG!$B$7)</f>
        <v/>
      </c>
      <c r="E23" s="11"/>
      <c r="F23" s="16" t="str">
        <f aca="false">IF(OR(E23="",D23=""),"",(YEAR(D23)-YEAR(E23))*12+MONTH(D23)-MONTH(E23))</f>
        <v/>
      </c>
      <c r="G23" s="16" t="str">
        <f aca="false">IF(OR(E23="",D23=""),"",IF(E23&gt;D23,"EXCLUIR","OK"))</f>
        <v/>
      </c>
      <c r="H23" s="9"/>
      <c r="I23" s="45" t="str">
        <f aca="false">IF(H23="","",IFERROR(INDEX(12_FUENTES!$B$2:$B$301,MATCH(H23,12_FUENTES!$A$2:$A$301,0)),"FUENTE NO REGISTRADA"))</f>
        <v/>
      </c>
      <c r="J23" s="9"/>
      <c r="K23" s="9"/>
      <c r="L23" s="9"/>
      <c r="M23" s="9"/>
      <c r="N23" s="9"/>
      <c r="O23" s="9"/>
      <c r="P23" s="9"/>
      <c r="Q23" s="9"/>
      <c r="R23" s="16" t="str">
        <f aca="false">IF(OR(I23="",I23="FUENTE NO REGISTRADA"),"",INDEX(16_LISTAS!$A$4:$A$8,MAX(1,INDEX(16_LISTAS!$E$4:$E$9,MATCH(I23,16_LISTAS!$D$4:$D$9,0))-IF(F23="",0,IF(F23&lt;=IF(J23="S",18,12),0,IF(F23&lt;=IF(J23="S",30,24),1,2))))))</f>
        <v/>
      </c>
      <c r="S23" s="9"/>
      <c r="T23" s="9"/>
      <c r="U23" s="9"/>
    </row>
    <row r="24" customFormat="false" ht="15" hidden="false" customHeight="false" outlineLevel="0" collapsed="false">
      <c r="A24" s="9"/>
      <c r="B24" s="9"/>
      <c r="C24" s="21" t="str">
        <f aca="false">IF(A24="","",01_CONFIG!$B$4)</f>
        <v/>
      </c>
      <c r="D24" s="44" t="str">
        <f aca="false">IF(A24="","",01_CONFIG!$B$7)</f>
        <v/>
      </c>
      <c r="E24" s="11"/>
      <c r="F24" s="16" t="str">
        <f aca="false">IF(OR(E24="",D24=""),"",(YEAR(D24)-YEAR(E24))*12+MONTH(D24)-MONTH(E24))</f>
        <v/>
      </c>
      <c r="G24" s="16" t="str">
        <f aca="false">IF(OR(E24="",D24=""),"",IF(E24&gt;D24,"EXCLUIR","OK"))</f>
        <v/>
      </c>
      <c r="H24" s="9"/>
      <c r="I24" s="45" t="str">
        <f aca="false">IF(H24="","",IFERROR(INDEX(12_FUENTES!$B$2:$B$301,MATCH(H24,12_FUENTES!$A$2:$A$301,0)),"FUENTE NO REGISTRADA"))</f>
        <v/>
      </c>
      <c r="J24" s="9"/>
      <c r="K24" s="9"/>
      <c r="L24" s="9"/>
      <c r="M24" s="9"/>
      <c r="N24" s="9"/>
      <c r="O24" s="9"/>
      <c r="P24" s="9"/>
      <c r="Q24" s="9"/>
      <c r="R24" s="16" t="str">
        <f aca="false">IF(OR(I24="",I24="FUENTE NO REGISTRADA"),"",INDEX(16_LISTAS!$A$4:$A$8,MAX(1,INDEX(16_LISTAS!$E$4:$E$9,MATCH(I24,16_LISTAS!$D$4:$D$9,0))-IF(F24="",0,IF(F24&lt;=IF(J24="S",18,12),0,IF(F24&lt;=IF(J24="S",30,24),1,2))))))</f>
        <v/>
      </c>
      <c r="S24" s="9"/>
      <c r="T24" s="9"/>
      <c r="U24" s="9"/>
    </row>
    <row r="25" customFormat="false" ht="15" hidden="false" customHeight="false" outlineLevel="0" collapsed="false">
      <c r="A25" s="9"/>
      <c r="B25" s="9"/>
      <c r="C25" s="21" t="str">
        <f aca="false">IF(A25="","",01_CONFIG!$B$4)</f>
        <v/>
      </c>
      <c r="D25" s="44" t="str">
        <f aca="false">IF(A25="","",01_CONFIG!$B$7)</f>
        <v/>
      </c>
      <c r="E25" s="11"/>
      <c r="F25" s="16" t="str">
        <f aca="false">IF(OR(E25="",D25=""),"",(YEAR(D25)-YEAR(E25))*12+MONTH(D25)-MONTH(E25))</f>
        <v/>
      </c>
      <c r="G25" s="16" t="str">
        <f aca="false">IF(OR(E25="",D25=""),"",IF(E25&gt;D25,"EXCLUIR","OK"))</f>
        <v/>
      </c>
      <c r="H25" s="9"/>
      <c r="I25" s="45" t="str">
        <f aca="false">IF(H25="","",IFERROR(INDEX(12_FUENTES!$B$2:$B$301,MATCH(H25,12_FUENTES!$A$2:$A$301,0)),"FUENTE NO REGISTRADA"))</f>
        <v/>
      </c>
      <c r="J25" s="9"/>
      <c r="K25" s="9"/>
      <c r="L25" s="9"/>
      <c r="M25" s="9"/>
      <c r="N25" s="9"/>
      <c r="O25" s="9"/>
      <c r="P25" s="9"/>
      <c r="Q25" s="9"/>
      <c r="R25" s="16" t="str">
        <f aca="false">IF(OR(I25="",I25="FUENTE NO REGISTRADA"),"",INDEX(16_LISTAS!$A$4:$A$8,MAX(1,INDEX(16_LISTAS!$E$4:$E$9,MATCH(I25,16_LISTAS!$D$4:$D$9,0))-IF(F25="",0,IF(F25&lt;=IF(J25="S",18,12),0,IF(F25&lt;=IF(J25="S",30,24),1,2))))))</f>
        <v/>
      </c>
      <c r="S25" s="9"/>
      <c r="T25" s="9"/>
      <c r="U25" s="9"/>
    </row>
    <row r="26" customFormat="false" ht="15" hidden="false" customHeight="false" outlineLevel="0" collapsed="false">
      <c r="A26" s="9"/>
      <c r="B26" s="9"/>
      <c r="C26" s="21" t="str">
        <f aca="false">IF(A26="","",01_CONFIG!$B$4)</f>
        <v/>
      </c>
      <c r="D26" s="44" t="str">
        <f aca="false">IF(A26="","",01_CONFIG!$B$7)</f>
        <v/>
      </c>
      <c r="E26" s="11"/>
      <c r="F26" s="16" t="str">
        <f aca="false">IF(OR(E26="",D26=""),"",(YEAR(D26)-YEAR(E26))*12+MONTH(D26)-MONTH(E26))</f>
        <v/>
      </c>
      <c r="G26" s="16" t="str">
        <f aca="false">IF(OR(E26="",D26=""),"",IF(E26&gt;D26,"EXCLUIR","OK"))</f>
        <v/>
      </c>
      <c r="H26" s="9"/>
      <c r="I26" s="45" t="str">
        <f aca="false">IF(H26="","",IFERROR(INDEX(12_FUENTES!$B$2:$B$301,MATCH(H26,12_FUENTES!$A$2:$A$301,0)),"FUENTE NO REGISTRADA"))</f>
        <v/>
      </c>
      <c r="J26" s="9"/>
      <c r="K26" s="9"/>
      <c r="L26" s="9"/>
      <c r="M26" s="9"/>
      <c r="N26" s="9"/>
      <c r="O26" s="9"/>
      <c r="P26" s="9"/>
      <c r="Q26" s="9"/>
      <c r="R26" s="16" t="str">
        <f aca="false">IF(OR(I26="",I26="FUENTE NO REGISTRADA"),"",INDEX(16_LISTAS!$A$4:$A$8,MAX(1,INDEX(16_LISTAS!$E$4:$E$9,MATCH(I26,16_LISTAS!$D$4:$D$9,0))-IF(F26="",0,IF(F26&lt;=IF(J26="S",18,12),0,IF(F26&lt;=IF(J26="S",30,24),1,2))))))</f>
        <v/>
      </c>
      <c r="S26" s="9"/>
      <c r="T26" s="9"/>
      <c r="U26" s="9"/>
    </row>
    <row r="27" customFormat="false" ht="15" hidden="false" customHeight="false" outlineLevel="0" collapsed="false">
      <c r="A27" s="9"/>
      <c r="B27" s="9"/>
      <c r="C27" s="21" t="str">
        <f aca="false">IF(A27="","",01_CONFIG!$B$4)</f>
        <v/>
      </c>
      <c r="D27" s="44" t="str">
        <f aca="false">IF(A27="","",01_CONFIG!$B$7)</f>
        <v/>
      </c>
      <c r="E27" s="11"/>
      <c r="F27" s="16" t="str">
        <f aca="false">IF(OR(E27="",D27=""),"",(YEAR(D27)-YEAR(E27))*12+MONTH(D27)-MONTH(E27))</f>
        <v/>
      </c>
      <c r="G27" s="16" t="str">
        <f aca="false">IF(OR(E27="",D27=""),"",IF(E27&gt;D27,"EXCLUIR","OK"))</f>
        <v/>
      </c>
      <c r="H27" s="9"/>
      <c r="I27" s="45" t="str">
        <f aca="false">IF(H27="","",IFERROR(INDEX(12_FUENTES!$B$2:$B$301,MATCH(H27,12_FUENTES!$A$2:$A$301,0)),"FUENTE NO REGISTRADA"))</f>
        <v/>
      </c>
      <c r="J27" s="9"/>
      <c r="K27" s="9"/>
      <c r="L27" s="9"/>
      <c r="M27" s="9"/>
      <c r="N27" s="9"/>
      <c r="O27" s="9"/>
      <c r="P27" s="9"/>
      <c r="Q27" s="9"/>
      <c r="R27" s="16" t="str">
        <f aca="false">IF(OR(I27="",I27="FUENTE NO REGISTRADA"),"",INDEX(16_LISTAS!$A$4:$A$8,MAX(1,INDEX(16_LISTAS!$E$4:$E$9,MATCH(I27,16_LISTAS!$D$4:$D$9,0))-IF(F27="",0,IF(F27&lt;=IF(J27="S",18,12),0,IF(F27&lt;=IF(J27="S",30,24),1,2))))))</f>
        <v/>
      </c>
      <c r="S27" s="9"/>
      <c r="T27" s="9"/>
      <c r="U27" s="9"/>
    </row>
    <row r="28" customFormat="false" ht="15" hidden="false" customHeight="false" outlineLevel="0" collapsed="false">
      <c r="A28" s="9"/>
      <c r="B28" s="9"/>
      <c r="C28" s="21" t="str">
        <f aca="false">IF(A28="","",01_CONFIG!$B$4)</f>
        <v/>
      </c>
      <c r="D28" s="44" t="str">
        <f aca="false">IF(A28="","",01_CONFIG!$B$7)</f>
        <v/>
      </c>
      <c r="E28" s="11"/>
      <c r="F28" s="16" t="str">
        <f aca="false">IF(OR(E28="",D28=""),"",(YEAR(D28)-YEAR(E28))*12+MONTH(D28)-MONTH(E28))</f>
        <v/>
      </c>
      <c r="G28" s="16" t="str">
        <f aca="false">IF(OR(E28="",D28=""),"",IF(E28&gt;D28,"EXCLUIR","OK"))</f>
        <v/>
      </c>
      <c r="H28" s="9"/>
      <c r="I28" s="45" t="str">
        <f aca="false">IF(H28="","",IFERROR(INDEX(12_FUENTES!$B$2:$B$301,MATCH(H28,12_FUENTES!$A$2:$A$301,0)),"FUENTE NO REGISTRADA"))</f>
        <v/>
      </c>
      <c r="J28" s="9"/>
      <c r="K28" s="9"/>
      <c r="L28" s="9"/>
      <c r="M28" s="9"/>
      <c r="N28" s="9"/>
      <c r="O28" s="9"/>
      <c r="P28" s="9"/>
      <c r="Q28" s="9"/>
      <c r="R28" s="16" t="str">
        <f aca="false">IF(OR(I28="",I28="FUENTE NO REGISTRADA"),"",INDEX(16_LISTAS!$A$4:$A$8,MAX(1,INDEX(16_LISTAS!$E$4:$E$9,MATCH(I28,16_LISTAS!$D$4:$D$9,0))-IF(F28="",0,IF(F28&lt;=IF(J28="S",18,12),0,IF(F28&lt;=IF(J28="S",30,24),1,2))))))</f>
        <v/>
      </c>
      <c r="S28" s="9"/>
      <c r="T28" s="9"/>
      <c r="U28" s="9"/>
    </row>
    <row r="29" customFormat="false" ht="15" hidden="false" customHeight="false" outlineLevel="0" collapsed="false">
      <c r="A29" s="9"/>
      <c r="B29" s="9"/>
      <c r="C29" s="21" t="str">
        <f aca="false">IF(A29="","",01_CONFIG!$B$4)</f>
        <v/>
      </c>
      <c r="D29" s="44" t="str">
        <f aca="false">IF(A29="","",01_CONFIG!$B$7)</f>
        <v/>
      </c>
      <c r="E29" s="11"/>
      <c r="F29" s="16" t="str">
        <f aca="false">IF(OR(E29="",D29=""),"",(YEAR(D29)-YEAR(E29))*12+MONTH(D29)-MONTH(E29))</f>
        <v/>
      </c>
      <c r="G29" s="16" t="str">
        <f aca="false">IF(OR(E29="",D29=""),"",IF(E29&gt;D29,"EXCLUIR","OK"))</f>
        <v/>
      </c>
      <c r="H29" s="9"/>
      <c r="I29" s="45" t="str">
        <f aca="false">IF(H29="","",IFERROR(INDEX(12_FUENTES!$B$2:$B$301,MATCH(H29,12_FUENTES!$A$2:$A$301,0)),"FUENTE NO REGISTRADA"))</f>
        <v/>
      </c>
      <c r="J29" s="9"/>
      <c r="K29" s="9"/>
      <c r="L29" s="9"/>
      <c r="M29" s="9"/>
      <c r="N29" s="9"/>
      <c r="O29" s="9"/>
      <c r="P29" s="9"/>
      <c r="Q29" s="9"/>
      <c r="R29" s="16" t="str">
        <f aca="false">IF(OR(I29="",I29="FUENTE NO REGISTRADA"),"",INDEX(16_LISTAS!$A$4:$A$8,MAX(1,INDEX(16_LISTAS!$E$4:$E$9,MATCH(I29,16_LISTAS!$D$4:$D$9,0))-IF(F29="",0,IF(F29&lt;=IF(J29="S",18,12),0,IF(F29&lt;=IF(J29="S",30,24),1,2))))))</f>
        <v/>
      </c>
      <c r="S29" s="9"/>
      <c r="T29" s="9"/>
      <c r="U29" s="9"/>
    </row>
    <row r="30" customFormat="false" ht="15" hidden="false" customHeight="false" outlineLevel="0" collapsed="false">
      <c r="A30" s="9"/>
      <c r="B30" s="9"/>
      <c r="C30" s="21" t="str">
        <f aca="false">IF(A30="","",01_CONFIG!$B$4)</f>
        <v/>
      </c>
      <c r="D30" s="44" t="str">
        <f aca="false">IF(A30="","",01_CONFIG!$B$7)</f>
        <v/>
      </c>
      <c r="E30" s="11"/>
      <c r="F30" s="16" t="str">
        <f aca="false">IF(OR(E30="",D30=""),"",(YEAR(D30)-YEAR(E30))*12+MONTH(D30)-MONTH(E30))</f>
        <v/>
      </c>
      <c r="G30" s="16" t="str">
        <f aca="false">IF(OR(E30="",D30=""),"",IF(E30&gt;D30,"EXCLUIR","OK"))</f>
        <v/>
      </c>
      <c r="H30" s="9"/>
      <c r="I30" s="45" t="str">
        <f aca="false">IF(H30="","",IFERROR(INDEX(12_FUENTES!$B$2:$B$301,MATCH(H30,12_FUENTES!$A$2:$A$301,0)),"FUENTE NO REGISTRADA"))</f>
        <v/>
      </c>
      <c r="J30" s="9"/>
      <c r="K30" s="9"/>
      <c r="L30" s="9"/>
      <c r="M30" s="9"/>
      <c r="N30" s="9"/>
      <c r="O30" s="9"/>
      <c r="P30" s="9"/>
      <c r="Q30" s="9"/>
      <c r="R30" s="16" t="str">
        <f aca="false">IF(OR(I30="",I30="FUENTE NO REGISTRADA"),"",INDEX(16_LISTAS!$A$4:$A$8,MAX(1,INDEX(16_LISTAS!$E$4:$E$9,MATCH(I30,16_LISTAS!$D$4:$D$9,0))-IF(F30="",0,IF(F30&lt;=IF(J30="S",18,12),0,IF(F30&lt;=IF(J30="S",30,24),1,2))))))</f>
        <v/>
      </c>
      <c r="S30" s="9"/>
      <c r="T30" s="9"/>
      <c r="U30" s="9"/>
    </row>
    <row r="31" customFormat="false" ht="15" hidden="false" customHeight="false" outlineLevel="0" collapsed="false">
      <c r="A31" s="9"/>
      <c r="B31" s="9"/>
      <c r="C31" s="21" t="str">
        <f aca="false">IF(A31="","",01_CONFIG!$B$4)</f>
        <v/>
      </c>
      <c r="D31" s="44" t="str">
        <f aca="false">IF(A31="","",01_CONFIG!$B$7)</f>
        <v/>
      </c>
      <c r="E31" s="11"/>
      <c r="F31" s="16" t="str">
        <f aca="false">IF(OR(E31="",D31=""),"",(YEAR(D31)-YEAR(E31))*12+MONTH(D31)-MONTH(E31))</f>
        <v/>
      </c>
      <c r="G31" s="16" t="str">
        <f aca="false">IF(OR(E31="",D31=""),"",IF(E31&gt;D31,"EXCLUIR","OK"))</f>
        <v/>
      </c>
      <c r="H31" s="9"/>
      <c r="I31" s="45" t="str">
        <f aca="false">IF(H31="","",IFERROR(INDEX(12_FUENTES!$B$2:$B$301,MATCH(H31,12_FUENTES!$A$2:$A$301,0)),"FUENTE NO REGISTRADA"))</f>
        <v/>
      </c>
      <c r="J31" s="9"/>
      <c r="K31" s="9"/>
      <c r="L31" s="9"/>
      <c r="M31" s="9"/>
      <c r="N31" s="9"/>
      <c r="O31" s="9"/>
      <c r="P31" s="9"/>
      <c r="Q31" s="9"/>
      <c r="R31" s="16" t="str">
        <f aca="false">IF(OR(I31="",I31="FUENTE NO REGISTRADA"),"",INDEX(16_LISTAS!$A$4:$A$8,MAX(1,INDEX(16_LISTAS!$E$4:$E$9,MATCH(I31,16_LISTAS!$D$4:$D$9,0))-IF(F31="",0,IF(F31&lt;=IF(J31="S",18,12),0,IF(F31&lt;=IF(J31="S",30,24),1,2))))))</f>
        <v/>
      </c>
      <c r="S31" s="9"/>
      <c r="T31" s="9"/>
      <c r="U31" s="9"/>
    </row>
    <row r="32" customFormat="false" ht="15" hidden="false" customHeight="false" outlineLevel="0" collapsed="false">
      <c r="A32" s="9"/>
      <c r="B32" s="9"/>
      <c r="C32" s="21" t="str">
        <f aca="false">IF(A32="","",01_CONFIG!$B$4)</f>
        <v/>
      </c>
      <c r="D32" s="44" t="str">
        <f aca="false">IF(A32="","",01_CONFIG!$B$7)</f>
        <v/>
      </c>
      <c r="E32" s="11"/>
      <c r="F32" s="16" t="str">
        <f aca="false">IF(OR(E32="",D32=""),"",(YEAR(D32)-YEAR(E32))*12+MONTH(D32)-MONTH(E32))</f>
        <v/>
      </c>
      <c r="G32" s="16" t="str">
        <f aca="false">IF(OR(E32="",D32=""),"",IF(E32&gt;D32,"EXCLUIR","OK"))</f>
        <v/>
      </c>
      <c r="H32" s="9"/>
      <c r="I32" s="45" t="str">
        <f aca="false">IF(H32="","",IFERROR(INDEX(12_FUENTES!$B$2:$B$301,MATCH(H32,12_FUENTES!$A$2:$A$301,0)),"FUENTE NO REGISTRADA"))</f>
        <v/>
      </c>
      <c r="J32" s="9"/>
      <c r="K32" s="9"/>
      <c r="L32" s="9"/>
      <c r="M32" s="9"/>
      <c r="N32" s="9"/>
      <c r="O32" s="9"/>
      <c r="P32" s="9"/>
      <c r="Q32" s="9"/>
      <c r="R32" s="16" t="str">
        <f aca="false">IF(OR(I32="",I32="FUENTE NO REGISTRADA"),"",INDEX(16_LISTAS!$A$4:$A$8,MAX(1,INDEX(16_LISTAS!$E$4:$E$9,MATCH(I32,16_LISTAS!$D$4:$D$9,0))-IF(F32="",0,IF(F32&lt;=IF(J32="S",18,12),0,IF(F32&lt;=IF(J32="S",30,24),1,2))))))</f>
        <v/>
      </c>
      <c r="S32" s="9"/>
      <c r="T32" s="9"/>
      <c r="U32" s="9"/>
    </row>
    <row r="33" customFormat="false" ht="15" hidden="false" customHeight="false" outlineLevel="0" collapsed="false">
      <c r="A33" s="9"/>
      <c r="B33" s="9"/>
      <c r="C33" s="21" t="str">
        <f aca="false">IF(A33="","",01_CONFIG!$B$4)</f>
        <v/>
      </c>
      <c r="D33" s="44" t="str">
        <f aca="false">IF(A33="","",01_CONFIG!$B$7)</f>
        <v/>
      </c>
      <c r="E33" s="11"/>
      <c r="F33" s="16" t="str">
        <f aca="false">IF(OR(E33="",D33=""),"",(YEAR(D33)-YEAR(E33))*12+MONTH(D33)-MONTH(E33))</f>
        <v/>
      </c>
      <c r="G33" s="16" t="str">
        <f aca="false">IF(OR(E33="",D33=""),"",IF(E33&gt;D33,"EXCLUIR","OK"))</f>
        <v/>
      </c>
      <c r="H33" s="9"/>
      <c r="I33" s="45" t="str">
        <f aca="false">IF(H33="","",IFERROR(INDEX(12_FUENTES!$B$2:$B$301,MATCH(H33,12_FUENTES!$A$2:$A$301,0)),"FUENTE NO REGISTRADA"))</f>
        <v/>
      </c>
      <c r="J33" s="9"/>
      <c r="K33" s="9"/>
      <c r="L33" s="9"/>
      <c r="M33" s="9"/>
      <c r="N33" s="9"/>
      <c r="O33" s="9"/>
      <c r="P33" s="9"/>
      <c r="Q33" s="9"/>
      <c r="R33" s="16" t="str">
        <f aca="false">IF(OR(I33="",I33="FUENTE NO REGISTRADA"),"",INDEX(16_LISTAS!$A$4:$A$8,MAX(1,INDEX(16_LISTAS!$E$4:$E$9,MATCH(I33,16_LISTAS!$D$4:$D$9,0))-IF(F33="",0,IF(F33&lt;=IF(J33="S",18,12),0,IF(F33&lt;=IF(J33="S",30,24),1,2))))))</f>
        <v/>
      </c>
      <c r="S33" s="9"/>
      <c r="T33" s="9"/>
      <c r="U33" s="9"/>
    </row>
    <row r="34" customFormat="false" ht="15" hidden="false" customHeight="false" outlineLevel="0" collapsed="false">
      <c r="A34" s="9"/>
      <c r="B34" s="9"/>
      <c r="C34" s="21" t="str">
        <f aca="false">IF(A34="","",01_CONFIG!$B$4)</f>
        <v/>
      </c>
      <c r="D34" s="44" t="str">
        <f aca="false">IF(A34="","",01_CONFIG!$B$7)</f>
        <v/>
      </c>
      <c r="E34" s="11"/>
      <c r="F34" s="16" t="str">
        <f aca="false">IF(OR(E34="",D34=""),"",(YEAR(D34)-YEAR(E34))*12+MONTH(D34)-MONTH(E34))</f>
        <v/>
      </c>
      <c r="G34" s="16" t="str">
        <f aca="false">IF(OR(E34="",D34=""),"",IF(E34&gt;D34,"EXCLUIR","OK"))</f>
        <v/>
      </c>
      <c r="H34" s="9"/>
      <c r="I34" s="45" t="str">
        <f aca="false">IF(H34="","",IFERROR(INDEX(12_FUENTES!$B$2:$B$301,MATCH(H34,12_FUENTES!$A$2:$A$301,0)),"FUENTE NO REGISTRADA"))</f>
        <v/>
      </c>
      <c r="J34" s="9"/>
      <c r="K34" s="9"/>
      <c r="L34" s="9"/>
      <c r="M34" s="9"/>
      <c r="N34" s="9"/>
      <c r="O34" s="9"/>
      <c r="P34" s="9"/>
      <c r="Q34" s="9"/>
      <c r="R34" s="16" t="str">
        <f aca="false">IF(OR(I34="",I34="FUENTE NO REGISTRADA"),"",INDEX(16_LISTAS!$A$4:$A$8,MAX(1,INDEX(16_LISTAS!$E$4:$E$9,MATCH(I34,16_LISTAS!$D$4:$D$9,0))-IF(F34="",0,IF(F34&lt;=IF(J34="S",18,12),0,IF(F34&lt;=IF(J34="S",30,24),1,2))))))</f>
        <v/>
      </c>
      <c r="S34" s="9"/>
      <c r="T34" s="9"/>
      <c r="U34" s="9"/>
    </row>
    <row r="35" customFormat="false" ht="15" hidden="false" customHeight="false" outlineLevel="0" collapsed="false">
      <c r="A35" s="9"/>
      <c r="B35" s="9"/>
      <c r="C35" s="21" t="str">
        <f aca="false">IF(A35="","",01_CONFIG!$B$4)</f>
        <v/>
      </c>
      <c r="D35" s="44" t="str">
        <f aca="false">IF(A35="","",01_CONFIG!$B$7)</f>
        <v/>
      </c>
      <c r="E35" s="11"/>
      <c r="F35" s="16" t="str">
        <f aca="false">IF(OR(E35="",D35=""),"",(YEAR(D35)-YEAR(E35))*12+MONTH(D35)-MONTH(E35))</f>
        <v/>
      </c>
      <c r="G35" s="16" t="str">
        <f aca="false">IF(OR(E35="",D35=""),"",IF(E35&gt;D35,"EXCLUIR","OK"))</f>
        <v/>
      </c>
      <c r="H35" s="9"/>
      <c r="I35" s="45" t="str">
        <f aca="false">IF(H35="","",IFERROR(INDEX(12_FUENTES!$B$2:$B$301,MATCH(H35,12_FUENTES!$A$2:$A$301,0)),"FUENTE NO REGISTRADA"))</f>
        <v/>
      </c>
      <c r="J35" s="9"/>
      <c r="K35" s="9"/>
      <c r="L35" s="9"/>
      <c r="M35" s="9"/>
      <c r="N35" s="9"/>
      <c r="O35" s="9"/>
      <c r="P35" s="9"/>
      <c r="Q35" s="9"/>
      <c r="R35" s="16" t="str">
        <f aca="false">IF(OR(I35="",I35="FUENTE NO REGISTRADA"),"",INDEX(16_LISTAS!$A$4:$A$8,MAX(1,INDEX(16_LISTAS!$E$4:$E$9,MATCH(I35,16_LISTAS!$D$4:$D$9,0))-IF(F35="",0,IF(F35&lt;=IF(J35="S",18,12),0,IF(F35&lt;=IF(J35="S",30,24),1,2))))))</f>
        <v/>
      </c>
      <c r="S35" s="9"/>
      <c r="T35" s="9"/>
      <c r="U35" s="9"/>
    </row>
    <row r="36" customFormat="false" ht="15" hidden="false" customHeight="false" outlineLevel="0" collapsed="false">
      <c r="A36" s="9"/>
      <c r="B36" s="9"/>
      <c r="C36" s="21" t="str">
        <f aca="false">IF(A36="","",01_CONFIG!$B$4)</f>
        <v/>
      </c>
      <c r="D36" s="44" t="str">
        <f aca="false">IF(A36="","",01_CONFIG!$B$7)</f>
        <v/>
      </c>
      <c r="E36" s="11"/>
      <c r="F36" s="16" t="str">
        <f aca="false">IF(OR(E36="",D36=""),"",(YEAR(D36)-YEAR(E36))*12+MONTH(D36)-MONTH(E36))</f>
        <v/>
      </c>
      <c r="G36" s="16" t="str">
        <f aca="false">IF(OR(E36="",D36=""),"",IF(E36&gt;D36,"EXCLUIR","OK"))</f>
        <v/>
      </c>
      <c r="H36" s="9"/>
      <c r="I36" s="45" t="str">
        <f aca="false">IF(H36="","",IFERROR(INDEX(12_FUENTES!$B$2:$B$301,MATCH(H36,12_FUENTES!$A$2:$A$301,0)),"FUENTE NO REGISTRADA"))</f>
        <v/>
      </c>
      <c r="J36" s="9"/>
      <c r="K36" s="9"/>
      <c r="L36" s="9"/>
      <c r="M36" s="9"/>
      <c r="N36" s="9"/>
      <c r="O36" s="9"/>
      <c r="P36" s="9"/>
      <c r="Q36" s="9"/>
      <c r="R36" s="16" t="str">
        <f aca="false">IF(OR(I36="",I36="FUENTE NO REGISTRADA"),"",INDEX(16_LISTAS!$A$4:$A$8,MAX(1,INDEX(16_LISTAS!$E$4:$E$9,MATCH(I36,16_LISTAS!$D$4:$D$9,0))-IF(F36="",0,IF(F36&lt;=IF(J36="S",18,12),0,IF(F36&lt;=IF(J36="S",30,24),1,2))))))</f>
        <v/>
      </c>
      <c r="S36" s="9"/>
      <c r="T36" s="9"/>
      <c r="U36" s="9"/>
    </row>
    <row r="37" customFormat="false" ht="15" hidden="false" customHeight="false" outlineLevel="0" collapsed="false">
      <c r="A37" s="9"/>
      <c r="B37" s="9"/>
      <c r="C37" s="21" t="str">
        <f aca="false">IF(A37="","",01_CONFIG!$B$4)</f>
        <v/>
      </c>
      <c r="D37" s="44" t="str">
        <f aca="false">IF(A37="","",01_CONFIG!$B$7)</f>
        <v/>
      </c>
      <c r="E37" s="11"/>
      <c r="F37" s="16" t="str">
        <f aca="false">IF(OR(E37="",D37=""),"",(YEAR(D37)-YEAR(E37))*12+MONTH(D37)-MONTH(E37))</f>
        <v/>
      </c>
      <c r="G37" s="16" t="str">
        <f aca="false">IF(OR(E37="",D37=""),"",IF(E37&gt;D37,"EXCLUIR","OK"))</f>
        <v/>
      </c>
      <c r="H37" s="9"/>
      <c r="I37" s="45" t="str">
        <f aca="false">IF(H37="","",IFERROR(INDEX(12_FUENTES!$B$2:$B$301,MATCH(H37,12_FUENTES!$A$2:$A$301,0)),"FUENTE NO REGISTRADA"))</f>
        <v/>
      </c>
      <c r="J37" s="9"/>
      <c r="K37" s="9"/>
      <c r="L37" s="9"/>
      <c r="M37" s="9"/>
      <c r="N37" s="9"/>
      <c r="O37" s="9"/>
      <c r="P37" s="9"/>
      <c r="Q37" s="9"/>
      <c r="R37" s="16" t="str">
        <f aca="false">IF(OR(I37="",I37="FUENTE NO REGISTRADA"),"",INDEX(16_LISTAS!$A$4:$A$8,MAX(1,INDEX(16_LISTAS!$E$4:$E$9,MATCH(I37,16_LISTAS!$D$4:$D$9,0))-IF(F37="",0,IF(F37&lt;=IF(J37="S",18,12),0,IF(F37&lt;=IF(J37="S",30,24),1,2))))))</f>
        <v/>
      </c>
      <c r="S37" s="9"/>
      <c r="T37" s="9"/>
      <c r="U37" s="9"/>
    </row>
    <row r="38" customFormat="false" ht="15" hidden="false" customHeight="false" outlineLevel="0" collapsed="false">
      <c r="A38" s="9"/>
      <c r="B38" s="9"/>
      <c r="C38" s="21" t="str">
        <f aca="false">IF(A38="","",01_CONFIG!$B$4)</f>
        <v/>
      </c>
      <c r="D38" s="44" t="str">
        <f aca="false">IF(A38="","",01_CONFIG!$B$7)</f>
        <v/>
      </c>
      <c r="E38" s="11"/>
      <c r="F38" s="16" t="str">
        <f aca="false">IF(OR(E38="",D38=""),"",(YEAR(D38)-YEAR(E38))*12+MONTH(D38)-MONTH(E38))</f>
        <v/>
      </c>
      <c r="G38" s="16" t="str">
        <f aca="false">IF(OR(E38="",D38=""),"",IF(E38&gt;D38,"EXCLUIR","OK"))</f>
        <v/>
      </c>
      <c r="H38" s="9"/>
      <c r="I38" s="45" t="str">
        <f aca="false">IF(H38="","",IFERROR(INDEX(12_FUENTES!$B$2:$B$301,MATCH(H38,12_FUENTES!$A$2:$A$301,0)),"FUENTE NO REGISTRADA"))</f>
        <v/>
      </c>
      <c r="J38" s="9"/>
      <c r="K38" s="9"/>
      <c r="L38" s="9"/>
      <c r="M38" s="9"/>
      <c r="N38" s="9"/>
      <c r="O38" s="9"/>
      <c r="P38" s="9"/>
      <c r="Q38" s="9"/>
      <c r="R38" s="16" t="str">
        <f aca="false">IF(OR(I38="",I38="FUENTE NO REGISTRADA"),"",INDEX(16_LISTAS!$A$4:$A$8,MAX(1,INDEX(16_LISTAS!$E$4:$E$9,MATCH(I38,16_LISTAS!$D$4:$D$9,0))-IF(F38="",0,IF(F38&lt;=IF(J38="S",18,12),0,IF(F38&lt;=IF(J38="S",30,24),1,2))))))</f>
        <v/>
      </c>
      <c r="S38" s="9"/>
      <c r="T38" s="9"/>
      <c r="U38" s="9"/>
    </row>
    <row r="39" customFormat="false" ht="15" hidden="false" customHeight="false" outlineLevel="0" collapsed="false">
      <c r="A39" s="9"/>
      <c r="B39" s="9"/>
      <c r="C39" s="21" t="str">
        <f aca="false">IF(A39="","",01_CONFIG!$B$4)</f>
        <v/>
      </c>
      <c r="D39" s="44" t="str">
        <f aca="false">IF(A39="","",01_CONFIG!$B$7)</f>
        <v/>
      </c>
      <c r="E39" s="11"/>
      <c r="F39" s="16" t="str">
        <f aca="false">IF(OR(E39="",D39=""),"",(YEAR(D39)-YEAR(E39))*12+MONTH(D39)-MONTH(E39))</f>
        <v/>
      </c>
      <c r="G39" s="16" t="str">
        <f aca="false">IF(OR(E39="",D39=""),"",IF(E39&gt;D39,"EXCLUIR","OK"))</f>
        <v/>
      </c>
      <c r="H39" s="9"/>
      <c r="I39" s="45" t="str">
        <f aca="false">IF(H39="","",IFERROR(INDEX(12_FUENTES!$B$2:$B$301,MATCH(H39,12_FUENTES!$A$2:$A$301,0)),"FUENTE NO REGISTRADA"))</f>
        <v/>
      </c>
      <c r="J39" s="9"/>
      <c r="K39" s="9"/>
      <c r="L39" s="9"/>
      <c r="M39" s="9"/>
      <c r="N39" s="9"/>
      <c r="O39" s="9"/>
      <c r="P39" s="9"/>
      <c r="Q39" s="9"/>
      <c r="R39" s="16" t="str">
        <f aca="false">IF(OR(I39="",I39="FUENTE NO REGISTRADA"),"",INDEX(16_LISTAS!$A$4:$A$8,MAX(1,INDEX(16_LISTAS!$E$4:$E$9,MATCH(I39,16_LISTAS!$D$4:$D$9,0))-IF(F39="",0,IF(F39&lt;=IF(J39="S",18,12),0,IF(F39&lt;=IF(J39="S",30,24),1,2))))))</f>
        <v/>
      </c>
      <c r="S39" s="9"/>
      <c r="T39" s="9"/>
      <c r="U39" s="9"/>
    </row>
    <row r="40" customFormat="false" ht="15" hidden="false" customHeight="false" outlineLevel="0" collapsed="false">
      <c r="A40" s="9"/>
      <c r="B40" s="9"/>
      <c r="C40" s="21" t="str">
        <f aca="false">IF(A40="","",01_CONFIG!$B$4)</f>
        <v/>
      </c>
      <c r="D40" s="44" t="str">
        <f aca="false">IF(A40="","",01_CONFIG!$B$7)</f>
        <v/>
      </c>
      <c r="E40" s="11"/>
      <c r="F40" s="16" t="str">
        <f aca="false">IF(OR(E40="",D40=""),"",(YEAR(D40)-YEAR(E40))*12+MONTH(D40)-MONTH(E40))</f>
        <v/>
      </c>
      <c r="G40" s="16" t="str">
        <f aca="false">IF(OR(E40="",D40=""),"",IF(E40&gt;D40,"EXCLUIR","OK"))</f>
        <v/>
      </c>
      <c r="H40" s="9"/>
      <c r="I40" s="45" t="str">
        <f aca="false">IF(H40="","",IFERROR(INDEX(12_FUENTES!$B$2:$B$301,MATCH(H40,12_FUENTES!$A$2:$A$301,0)),"FUENTE NO REGISTRADA"))</f>
        <v/>
      </c>
      <c r="J40" s="9"/>
      <c r="K40" s="9"/>
      <c r="L40" s="9"/>
      <c r="M40" s="9"/>
      <c r="N40" s="9"/>
      <c r="O40" s="9"/>
      <c r="P40" s="9"/>
      <c r="Q40" s="9"/>
      <c r="R40" s="16" t="str">
        <f aca="false">IF(OR(I40="",I40="FUENTE NO REGISTRADA"),"",INDEX(16_LISTAS!$A$4:$A$8,MAX(1,INDEX(16_LISTAS!$E$4:$E$9,MATCH(I40,16_LISTAS!$D$4:$D$9,0))-IF(F40="",0,IF(F40&lt;=IF(J40="S",18,12),0,IF(F40&lt;=IF(J40="S",30,24),1,2))))))</f>
        <v/>
      </c>
      <c r="S40" s="9"/>
      <c r="T40" s="9"/>
      <c r="U40" s="9"/>
    </row>
    <row r="41" customFormat="false" ht="15" hidden="false" customHeight="false" outlineLevel="0" collapsed="false">
      <c r="A41" s="9"/>
      <c r="B41" s="9"/>
      <c r="C41" s="21" t="str">
        <f aca="false">IF(A41="","",01_CONFIG!$B$4)</f>
        <v/>
      </c>
      <c r="D41" s="44" t="str">
        <f aca="false">IF(A41="","",01_CONFIG!$B$7)</f>
        <v/>
      </c>
      <c r="E41" s="11"/>
      <c r="F41" s="16" t="str">
        <f aca="false">IF(OR(E41="",D41=""),"",(YEAR(D41)-YEAR(E41))*12+MONTH(D41)-MONTH(E41))</f>
        <v/>
      </c>
      <c r="G41" s="16" t="str">
        <f aca="false">IF(OR(E41="",D41=""),"",IF(E41&gt;D41,"EXCLUIR","OK"))</f>
        <v/>
      </c>
      <c r="H41" s="9"/>
      <c r="I41" s="45" t="str">
        <f aca="false">IF(H41="","",IFERROR(INDEX(12_FUENTES!$B$2:$B$301,MATCH(H41,12_FUENTES!$A$2:$A$301,0)),"FUENTE NO REGISTRADA"))</f>
        <v/>
      </c>
      <c r="J41" s="9"/>
      <c r="K41" s="9"/>
      <c r="L41" s="9"/>
      <c r="M41" s="9"/>
      <c r="N41" s="9"/>
      <c r="O41" s="9"/>
      <c r="P41" s="9"/>
      <c r="Q41" s="9"/>
      <c r="R41" s="16" t="str">
        <f aca="false">IF(OR(I41="",I41="FUENTE NO REGISTRADA"),"",INDEX(16_LISTAS!$A$4:$A$8,MAX(1,INDEX(16_LISTAS!$E$4:$E$9,MATCH(I41,16_LISTAS!$D$4:$D$9,0))-IF(F41="",0,IF(F41&lt;=IF(J41="S",18,12),0,IF(F41&lt;=IF(J41="S",30,24),1,2))))))</f>
        <v/>
      </c>
      <c r="S41" s="9"/>
      <c r="T41" s="9"/>
      <c r="U41" s="9"/>
    </row>
    <row r="42" customFormat="false" ht="15" hidden="false" customHeight="false" outlineLevel="0" collapsed="false">
      <c r="A42" s="9"/>
      <c r="B42" s="9"/>
      <c r="C42" s="21" t="str">
        <f aca="false">IF(A42="","",01_CONFIG!$B$4)</f>
        <v/>
      </c>
      <c r="D42" s="44" t="str">
        <f aca="false">IF(A42="","",01_CONFIG!$B$7)</f>
        <v/>
      </c>
      <c r="E42" s="11"/>
      <c r="F42" s="16" t="str">
        <f aca="false">IF(OR(E42="",D42=""),"",(YEAR(D42)-YEAR(E42))*12+MONTH(D42)-MONTH(E42))</f>
        <v/>
      </c>
      <c r="G42" s="16" t="str">
        <f aca="false">IF(OR(E42="",D42=""),"",IF(E42&gt;D42,"EXCLUIR","OK"))</f>
        <v/>
      </c>
      <c r="H42" s="9"/>
      <c r="I42" s="45" t="str">
        <f aca="false">IF(H42="","",IFERROR(INDEX(12_FUENTES!$B$2:$B$301,MATCH(H42,12_FUENTES!$A$2:$A$301,0)),"FUENTE NO REGISTRADA"))</f>
        <v/>
      </c>
      <c r="J42" s="9"/>
      <c r="K42" s="9"/>
      <c r="L42" s="9"/>
      <c r="M42" s="9"/>
      <c r="N42" s="9"/>
      <c r="O42" s="9"/>
      <c r="P42" s="9"/>
      <c r="Q42" s="9"/>
      <c r="R42" s="16" t="str">
        <f aca="false">IF(OR(I42="",I42="FUENTE NO REGISTRADA"),"",INDEX(16_LISTAS!$A$4:$A$8,MAX(1,INDEX(16_LISTAS!$E$4:$E$9,MATCH(I42,16_LISTAS!$D$4:$D$9,0))-IF(F42="",0,IF(F42&lt;=IF(J42="S",18,12),0,IF(F42&lt;=IF(J42="S",30,24),1,2))))))</f>
        <v/>
      </c>
      <c r="S42" s="9"/>
      <c r="T42" s="9"/>
      <c r="U42" s="9"/>
    </row>
    <row r="43" customFormat="false" ht="15" hidden="false" customHeight="false" outlineLevel="0" collapsed="false">
      <c r="A43" s="9"/>
      <c r="B43" s="9"/>
      <c r="C43" s="21" t="str">
        <f aca="false">IF(A43="","",01_CONFIG!$B$4)</f>
        <v/>
      </c>
      <c r="D43" s="44" t="str">
        <f aca="false">IF(A43="","",01_CONFIG!$B$7)</f>
        <v/>
      </c>
      <c r="E43" s="11"/>
      <c r="F43" s="16" t="str">
        <f aca="false">IF(OR(E43="",D43=""),"",(YEAR(D43)-YEAR(E43))*12+MONTH(D43)-MONTH(E43))</f>
        <v/>
      </c>
      <c r="G43" s="16" t="str">
        <f aca="false">IF(OR(E43="",D43=""),"",IF(E43&gt;D43,"EXCLUIR","OK"))</f>
        <v/>
      </c>
      <c r="H43" s="9"/>
      <c r="I43" s="45" t="str">
        <f aca="false">IF(H43="","",IFERROR(INDEX(12_FUENTES!$B$2:$B$301,MATCH(H43,12_FUENTES!$A$2:$A$301,0)),"FUENTE NO REGISTRADA"))</f>
        <v/>
      </c>
      <c r="J43" s="9"/>
      <c r="K43" s="9"/>
      <c r="L43" s="9"/>
      <c r="M43" s="9"/>
      <c r="N43" s="9"/>
      <c r="O43" s="9"/>
      <c r="P43" s="9"/>
      <c r="Q43" s="9"/>
      <c r="R43" s="16" t="str">
        <f aca="false">IF(OR(I43="",I43="FUENTE NO REGISTRADA"),"",INDEX(16_LISTAS!$A$4:$A$8,MAX(1,INDEX(16_LISTAS!$E$4:$E$9,MATCH(I43,16_LISTAS!$D$4:$D$9,0))-IF(F43="",0,IF(F43&lt;=IF(J43="S",18,12),0,IF(F43&lt;=IF(J43="S",30,24),1,2))))))</f>
        <v/>
      </c>
      <c r="S43" s="9"/>
      <c r="T43" s="9"/>
      <c r="U43" s="9"/>
    </row>
    <row r="44" customFormat="false" ht="15" hidden="false" customHeight="false" outlineLevel="0" collapsed="false">
      <c r="A44" s="9"/>
      <c r="B44" s="9"/>
      <c r="C44" s="21" t="str">
        <f aca="false">IF(A44="","",01_CONFIG!$B$4)</f>
        <v/>
      </c>
      <c r="D44" s="44" t="str">
        <f aca="false">IF(A44="","",01_CONFIG!$B$7)</f>
        <v/>
      </c>
      <c r="E44" s="11"/>
      <c r="F44" s="16" t="str">
        <f aca="false">IF(OR(E44="",D44=""),"",(YEAR(D44)-YEAR(E44))*12+MONTH(D44)-MONTH(E44))</f>
        <v/>
      </c>
      <c r="G44" s="16" t="str">
        <f aca="false">IF(OR(E44="",D44=""),"",IF(E44&gt;D44,"EXCLUIR","OK"))</f>
        <v/>
      </c>
      <c r="H44" s="9"/>
      <c r="I44" s="45" t="str">
        <f aca="false">IF(H44="","",IFERROR(INDEX(12_FUENTES!$B$2:$B$301,MATCH(H44,12_FUENTES!$A$2:$A$301,0)),"FUENTE NO REGISTRADA"))</f>
        <v/>
      </c>
      <c r="J44" s="9"/>
      <c r="K44" s="9"/>
      <c r="L44" s="9"/>
      <c r="M44" s="9"/>
      <c r="N44" s="9"/>
      <c r="O44" s="9"/>
      <c r="P44" s="9"/>
      <c r="Q44" s="9"/>
      <c r="R44" s="16" t="str">
        <f aca="false">IF(OR(I44="",I44="FUENTE NO REGISTRADA"),"",INDEX(16_LISTAS!$A$4:$A$8,MAX(1,INDEX(16_LISTAS!$E$4:$E$9,MATCH(I44,16_LISTAS!$D$4:$D$9,0))-IF(F44="",0,IF(F44&lt;=IF(J44="S",18,12),0,IF(F44&lt;=IF(J44="S",30,24),1,2))))))</f>
        <v/>
      </c>
      <c r="S44" s="9"/>
      <c r="T44" s="9"/>
      <c r="U44" s="9"/>
    </row>
    <row r="45" customFormat="false" ht="15" hidden="false" customHeight="false" outlineLevel="0" collapsed="false">
      <c r="A45" s="9"/>
      <c r="B45" s="9"/>
      <c r="C45" s="21" t="str">
        <f aca="false">IF(A45="","",01_CONFIG!$B$4)</f>
        <v/>
      </c>
      <c r="D45" s="44" t="str">
        <f aca="false">IF(A45="","",01_CONFIG!$B$7)</f>
        <v/>
      </c>
      <c r="E45" s="11"/>
      <c r="F45" s="16" t="str">
        <f aca="false">IF(OR(E45="",D45=""),"",(YEAR(D45)-YEAR(E45))*12+MONTH(D45)-MONTH(E45))</f>
        <v/>
      </c>
      <c r="G45" s="16" t="str">
        <f aca="false">IF(OR(E45="",D45=""),"",IF(E45&gt;D45,"EXCLUIR","OK"))</f>
        <v/>
      </c>
      <c r="H45" s="9"/>
      <c r="I45" s="45" t="str">
        <f aca="false">IF(H45="","",IFERROR(INDEX(12_FUENTES!$B$2:$B$301,MATCH(H45,12_FUENTES!$A$2:$A$301,0)),"FUENTE NO REGISTRADA"))</f>
        <v/>
      </c>
      <c r="J45" s="9"/>
      <c r="K45" s="9"/>
      <c r="L45" s="9"/>
      <c r="M45" s="9"/>
      <c r="N45" s="9"/>
      <c r="O45" s="9"/>
      <c r="P45" s="9"/>
      <c r="Q45" s="9"/>
      <c r="R45" s="16" t="str">
        <f aca="false">IF(OR(I45="",I45="FUENTE NO REGISTRADA"),"",INDEX(16_LISTAS!$A$4:$A$8,MAX(1,INDEX(16_LISTAS!$E$4:$E$9,MATCH(I45,16_LISTAS!$D$4:$D$9,0))-IF(F45="",0,IF(F45&lt;=IF(J45="S",18,12),0,IF(F45&lt;=IF(J45="S",30,24),1,2))))))</f>
        <v/>
      </c>
      <c r="S45" s="9"/>
      <c r="T45" s="9"/>
      <c r="U45" s="9"/>
    </row>
    <row r="46" customFormat="false" ht="15" hidden="false" customHeight="false" outlineLevel="0" collapsed="false">
      <c r="A46" s="9"/>
      <c r="B46" s="9"/>
      <c r="C46" s="21" t="str">
        <f aca="false">IF(A46="","",01_CONFIG!$B$4)</f>
        <v/>
      </c>
      <c r="D46" s="44" t="str">
        <f aca="false">IF(A46="","",01_CONFIG!$B$7)</f>
        <v/>
      </c>
      <c r="E46" s="11"/>
      <c r="F46" s="16" t="str">
        <f aca="false">IF(OR(E46="",D46=""),"",(YEAR(D46)-YEAR(E46))*12+MONTH(D46)-MONTH(E46))</f>
        <v/>
      </c>
      <c r="G46" s="16" t="str">
        <f aca="false">IF(OR(E46="",D46=""),"",IF(E46&gt;D46,"EXCLUIR","OK"))</f>
        <v/>
      </c>
      <c r="H46" s="9"/>
      <c r="I46" s="45" t="str">
        <f aca="false">IF(H46="","",IFERROR(INDEX(12_FUENTES!$B$2:$B$301,MATCH(H46,12_FUENTES!$A$2:$A$301,0)),"FUENTE NO REGISTRADA"))</f>
        <v/>
      </c>
      <c r="J46" s="9"/>
      <c r="K46" s="9"/>
      <c r="L46" s="9"/>
      <c r="M46" s="9"/>
      <c r="N46" s="9"/>
      <c r="O46" s="9"/>
      <c r="P46" s="9"/>
      <c r="Q46" s="9"/>
      <c r="R46" s="16" t="str">
        <f aca="false">IF(OR(I46="",I46="FUENTE NO REGISTRADA"),"",INDEX(16_LISTAS!$A$4:$A$8,MAX(1,INDEX(16_LISTAS!$E$4:$E$9,MATCH(I46,16_LISTAS!$D$4:$D$9,0))-IF(F46="",0,IF(F46&lt;=IF(J46="S",18,12),0,IF(F46&lt;=IF(J46="S",30,24),1,2))))))</f>
        <v/>
      </c>
      <c r="S46" s="9"/>
      <c r="T46" s="9"/>
      <c r="U46" s="9"/>
    </row>
    <row r="47" customFormat="false" ht="15" hidden="false" customHeight="false" outlineLevel="0" collapsed="false">
      <c r="A47" s="9"/>
      <c r="B47" s="9"/>
      <c r="C47" s="21" t="str">
        <f aca="false">IF(A47="","",01_CONFIG!$B$4)</f>
        <v/>
      </c>
      <c r="D47" s="44" t="str">
        <f aca="false">IF(A47="","",01_CONFIG!$B$7)</f>
        <v/>
      </c>
      <c r="E47" s="11"/>
      <c r="F47" s="16" t="str">
        <f aca="false">IF(OR(E47="",D47=""),"",(YEAR(D47)-YEAR(E47))*12+MONTH(D47)-MONTH(E47))</f>
        <v/>
      </c>
      <c r="G47" s="16" t="str">
        <f aca="false">IF(OR(E47="",D47=""),"",IF(E47&gt;D47,"EXCLUIR","OK"))</f>
        <v/>
      </c>
      <c r="H47" s="9"/>
      <c r="I47" s="45" t="str">
        <f aca="false">IF(H47="","",IFERROR(INDEX(12_FUENTES!$B$2:$B$301,MATCH(H47,12_FUENTES!$A$2:$A$301,0)),"FUENTE NO REGISTRADA"))</f>
        <v/>
      </c>
      <c r="J47" s="9"/>
      <c r="K47" s="9"/>
      <c r="L47" s="9"/>
      <c r="M47" s="9"/>
      <c r="N47" s="9"/>
      <c r="O47" s="9"/>
      <c r="P47" s="9"/>
      <c r="Q47" s="9"/>
      <c r="R47" s="16" t="str">
        <f aca="false">IF(OR(I47="",I47="FUENTE NO REGISTRADA"),"",INDEX(16_LISTAS!$A$4:$A$8,MAX(1,INDEX(16_LISTAS!$E$4:$E$9,MATCH(I47,16_LISTAS!$D$4:$D$9,0))-IF(F47="",0,IF(F47&lt;=IF(J47="S",18,12),0,IF(F47&lt;=IF(J47="S",30,24),1,2))))))</f>
        <v/>
      </c>
      <c r="S47" s="9"/>
      <c r="T47" s="9"/>
      <c r="U47" s="9"/>
    </row>
    <row r="48" customFormat="false" ht="15" hidden="false" customHeight="false" outlineLevel="0" collapsed="false">
      <c r="A48" s="9"/>
      <c r="B48" s="9"/>
      <c r="C48" s="21" t="str">
        <f aca="false">IF(A48="","",01_CONFIG!$B$4)</f>
        <v/>
      </c>
      <c r="D48" s="44" t="str">
        <f aca="false">IF(A48="","",01_CONFIG!$B$7)</f>
        <v/>
      </c>
      <c r="E48" s="11"/>
      <c r="F48" s="16" t="str">
        <f aca="false">IF(OR(E48="",D48=""),"",(YEAR(D48)-YEAR(E48))*12+MONTH(D48)-MONTH(E48))</f>
        <v/>
      </c>
      <c r="G48" s="16" t="str">
        <f aca="false">IF(OR(E48="",D48=""),"",IF(E48&gt;D48,"EXCLUIR","OK"))</f>
        <v/>
      </c>
      <c r="H48" s="9"/>
      <c r="I48" s="45" t="str">
        <f aca="false">IF(H48="","",IFERROR(INDEX(12_FUENTES!$B$2:$B$301,MATCH(H48,12_FUENTES!$A$2:$A$301,0)),"FUENTE NO REGISTRADA"))</f>
        <v/>
      </c>
      <c r="J48" s="9"/>
      <c r="K48" s="9"/>
      <c r="L48" s="9"/>
      <c r="M48" s="9"/>
      <c r="N48" s="9"/>
      <c r="O48" s="9"/>
      <c r="P48" s="9"/>
      <c r="Q48" s="9"/>
      <c r="R48" s="16" t="str">
        <f aca="false">IF(OR(I48="",I48="FUENTE NO REGISTRADA"),"",INDEX(16_LISTAS!$A$4:$A$8,MAX(1,INDEX(16_LISTAS!$E$4:$E$9,MATCH(I48,16_LISTAS!$D$4:$D$9,0))-IF(F48="",0,IF(F48&lt;=IF(J48="S",18,12),0,IF(F48&lt;=IF(J48="S",30,24),1,2))))))</f>
        <v/>
      </c>
      <c r="S48" s="9"/>
      <c r="T48" s="9"/>
      <c r="U48" s="9"/>
    </row>
    <row r="49" customFormat="false" ht="15" hidden="false" customHeight="false" outlineLevel="0" collapsed="false">
      <c r="A49" s="9"/>
      <c r="B49" s="9"/>
      <c r="C49" s="21" t="str">
        <f aca="false">IF(A49="","",01_CONFIG!$B$4)</f>
        <v/>
      </c>
      <c r="D49" s="44" t="str">
        <f aca="false">IF(A49="","",01_CONFIG!$B$7)</f>
        <v/>
      </c>
      <c r="E49" s="11"/>
      <c r="F49" s="16" t="str">
        <f aca="false">IF(OR(E49="",D49=""),"",(YEAR(D49)-YEAR(E49))*12+MONTH(D49)-MONTH(E49))</f>
        <v/>
      </c>
      <c r="G49" s="16" t="str">
        <f aca="false">IF(OR(E49="",D49=""),"",IF(E49&gt;D49,"EXCLUIR","OK"))</f>
        <v/>
      </c>
      <c r="H49" s="9"/>
      <c r="I49" s="45" t="str">
        <f aca="false">IF(H49="","",IFERROR(INDEX(12_FUENTES!$B$2:$B$301,MATCH(H49,12_FUENTES!$A$2:$A$301,0)),"FUENTE NO REGISTRADA"))</f>
        <v/>
      </c>
      <c r="J49" s="9"/>
      <c r="K49" s="9"/>
      <c r="L49" s="9"/>
      <c r="M49" s="9"/>
      <c r="N49" s="9"/>
      <c r="O49" s="9"/>
      <c r="P49" s="9"/>
      <c r="Q49" s="9"/>
      <c r="R49" s="16" t="str">
        <f aca="false">IF(OR(I49="",I49="FUENTE NO REGISTRADA"),"",INDEX(16_LISTAS!$A$4:$A$8,MAX(1,INDEX(16_LISTAS!$E$4:$E$9,MATCH(I49,16_LISTAS!$D$4:$D$9,0))-IF(F49="",0,IF(F49&lt;=IF(J49="S",18,12),0,IF(F49&lt;=IF(J49="S",30,24),1,2))))))</f>
        <v/>
      </c>
      <c r="S49" s="9"/>
      <c r="T49" s="9"/>
      <c r="U49" s="9"/>
    </row>
    <row r="50" customFormat="false" ht="15" hidden="false" customHeight="false" outlineLevel="0" collapsed="false">
      <c r="A50" s="9"/>
      <c r="B50" s="9"/>
      <c r="C50" s="21" t="str">
        <f aca="false">IF(A50="","",01_CONFIG!$B$4)</f>
        <v/>
      </c>
      <c r="D50" s="44" t="str">
        <f aca="false">IF(A50="","",01_CONFIG!$B$7)</f>
        <v/>
      </c>
      <c r="E50" s="11"/>
      <c r="F50" s="16" t="str">
        <f aca="false">IF(OR(E50="",D50=""),"",(YEAR(D50)-YEAR(E50))*12+MONTH(D50)-MONTH(E50))</f>
        <v/>
      </c>
      <c r="G50" s="16" t="str">
        <f aca="false">IF(OR(E50="",D50=""),"",IF(E50&gt;D50,"EXCLUIR","OK"))</f>
        <v/>
      </c>
      <c r="H50" s="9"/>
      <c r="I50" s="45" t="str">
        <f aca="false">IF(H50="","",IFERROR(INDEX(12_FUENTES!$B$2:$B$301,MATCH(H50,12_FUENTES!$A$2:$A$301,0)),"FUENTE NO REGISTRADA"))</f>
        <v/>
      </c>
      <c r="J50" s="9"/>
      <c r="K50" s="9"/>
      <c r="L50" s="9"/>
      <c r="M50" s="9"/>
      <c r="N50" s="9"/>
      <c r="O50" s="9"/>
      <c r="P50" s="9"/>
      <c r="Q50" s="9"/>
      <c r="R50" s="16" t="str">
        <f aca="false">IF(OR(I50="",I50="FUENTE NO REGISTRADA"),"",INDEX(16_LISTAS!$A$4:$A$8,MAX(1,INDEX(16_LISTAS!$E$4:$E$9,MATCH(I50,16_LISTAS!$D$4:$D$9,0))-IF(F50="",0,IF(F50&lt;=IF(J50="S",18,12),0,IF(F50&lt;=IF(J50="S",30,24),1,2))))))</f>
        <v/>
      </c>
      <c r="S50" s="9"/>
      <c r="T50" s="9"/>
      <c r="U50" s="9"/>
    </row>
    <row r="51" customFormat="false" ht="15" hidden="false" customHeight="false" outlineLevel="0" collapsed="false">
      <c r="A51" s="9"/>
      <c r="B51" s="9"/>
      <c r="C51" s="21" t="str">
        <f aca="false">IF(A51="","",01_CONFIG!$B$4)</f>
        <v/>
      </c>
      <c r="D51" s="44" t="str">
        <f aca="false">IF(A51="","",01_CONFIG!$B$7)</f>
        <v/>
      </c>
      <c r="E51" s="11"/>
      <c r="F51" s="16" t="str">
        <f aca="false">IF(OR(E51="",D51=""),"",(YEAR(D51)-YEAR(E51))*12+MONTH(D51)-MONTH(E51))</f>
        <v/>
      </c>
      <c r="G51" s="16" t="str">
        <f aca="false">IF(OR(E51="",D51=""),"",IF(E51&gt;D51,"EXCLUIR","OK"))</f>
        <v/>
      </c>
      <c r="H51" s="9"/>
      <c r="I51" s="45" t="str">
        <f aca="false">IF(H51="","",IFERROR(INDEX(12_FUENTES!$B$2:$B$301,MATCH(H51,12_FUENTES!$A$2:$A$301,0)),"FUENTE NO REGISTRADA"))</f>
        <v/>
      </c>
      <c r="J51" s="9"/>
      <c r="K51" s="9"/>
      <c r="L51" s="9"/>
      <c r="M51" s="9"/>
      <c r="N51" s="9"/>
      <c r="O51" s="9"/>
      <c r="P51" s="9"/>
      <c r="Q51" s="9"/>
      <c r="R51" s="16" t="str">
        <f aca="false">IF(OR(I51="",I51="FUENTE NO REGISTRADA"),"",INDEX(16_LISTAS!$A$4:$A$8,MAX(1,INDEX(16_LISTAS!$E$4:$E$9,MATCH(I51,16_LISTAS!$D$4:$D$9,0))-IF(F51="",0,IF(F51&lt;=IF(J51="S",18,12),0,IF(F51&lt;=IF(J51="S",30,24),1,2))))))</f>
        <v/>
      </c>
      <c r="S51" s="9"/>
      <c r="T51" s="9"/>
      <c r="U51" s="9"/>
    </row>
    <row r="52" customFormat="false" ht="15" hidden="false" customHeight="false" outlineLevel="0" collapsed="false">
      <c r="A52" s="9"/>
      <c r="B52" s="9"/>
      <c r="C52" s="21" t="str">
        <f aca="false">IF(A52="","",01_CONFIG!$B$4)</f>
        <v/>
      </c>
      <c r="D52" s="44" t="str">
        <f aca="false">IF(A52="","",01_CONFIG!$B$7)</f>
        <v/>
      </c>
      <c r="E52" s="11"/>
      <c r="F52" s="16" t="str">
        <f aca="false">IF(OR(E52="",D52=""),"",(YEAR(D52)-YEAR(E52))*12+MONTH(D52)-MONTH(E52))</f>
        <v/>
      </c>
      <c r="G52" s="16" t="str">
        <f aca="false">IF(OR(E52="",D52=""),"",IF(E52&gt;D52,"EXCLUIR","OK"))</f>
        <v/>
      </c>
      <c r="H52" s="9"/>
      <c r="I52" s="45" t="str">
        <f aca="false">IF(H52="","",IFERROR(INDEX(12_FUENTES!$B$2:$B$301,MATCH(H52,12_FUENTES!$A$2:$A$301,0)),"FUENTE NO REGISTRADA"))</f>
        <v/>
      </c>
      <c r="J52" s="9"/>
      <c r="K52" s="9"/>
      <c r="L52" s="9"/>
      <c r="M52" s="9"/>
      <c r="N52" s="9"/>
      <c r="O52" s="9"/>
      <c r="P52" s="9"/>
      <c r="Q52" s="9"/>
      <c r="R52" s="16" t="str">
        <f aca="false">IF(OR(I52="",I52="FUENTE NO REGISTRADA"),"",INDEX(16_LISTAS!$A$4:$A$8,MAX(1,INDEX(16_LISTAS!$E$4:$E$9,MATCH(I52,16_LISTAS!$D$4:$D$9,0))-IF(F52="",0,IF(F52&lt;=IF(J52="S",18,12),0,IF(F52&lt;=IF(J52="S",30,24),1,2))))))</f>
        <v/>
      </c>
      <c r="S52" s="9"/>
      <c r="T52" s="9"/>
      <c r="U52" s="9"/>
    </row>
    <row r="53" customFormat="false" ht="15" hidden="false" customHeight="false" outlineLevel="0" collapsed="false">
      <c r="A53" s="9"/>
      <c r="B53" s="9"/>
      <c r="C53" s="21" t="str">
        <f aca="false">IF(A53="","",01_CONFIG!$B$4)</f>
        <v/>
      </c>
      <c r="D53" s="44" t="str">
        <f aca="false">IF(A53="","",01_CONFIG!$B$7)</f>
        <v/>
      </c>
      <c r="E53" s="11"/>
      <c r="F53" s="16" t="str">
        <f aca="false">IF(OR(E53="",D53=""),"",(YEAR(D53)-YEAR(E53))*12+MONTH(D53)-MONTH(E53))</f>
        <v/>
      </c>
      <c r="G53" s="16" t="str">
        <f aca="false">IF(OR(E53="",D53=""),"",IF(E53&gt;D53,"EXCLUIR","OK"))</f>
        <v/>
      </c>
      <c r="H53" s="9"/>
      <c r="I53" s="45" t="str">
        <f aca="false">IF(H53="","",IFERROR(INDEX(12_FUENTES!$B$2:$B$301,MATCH(H53,12_FUENTES!$A$2:$A$301,0)),"FUENTE NO REGISTRADA"))</f>
        <v/>
      </c>
      <c r="J53" s="9"/>
      <c r="K53" s="9"/>
      <c r="L53" s="9"/>
      <c r="M53" s="9"/>
      <c r="N53" s="9"/>
      <c r="O53" s="9"/>
      <c r="P53" s="9"/>
      <c r="Q53" s="9"/>
      <c r="R53" s="16" t="str">
        <f aca="false">IF(OR(I53="",I53="FUENTE NO REGISTRADA"),"",INDEX(16_LISTAS!$A$4:$A$8,MAX(1,INDEX(16_LISTAS!$E$4:$E$9,MATCH(I53,16_LISTAS!$D$4:$D$9,0))-IF(F53="",0,IF(F53&lt;=IF(J53="S",18,12),0,IF(F53&lt;=IF(J53="S",30,24),1,2))))))</f>
        <v/>
      </c>
      <c r="S53" s="9"/>
      <c r="T53" s="9"/>
      <c r="U53" s="9"/>
    </row>
    <row r="54" customFormat="false" ht="15" hidden="false" customHeight="false" outlineLevel="0" collapsed="false">
      <c r="A54" s="9"/>
      <c r="B54" s="9"/>
      <c r="C54" s="21" t="str">
        <f aca="false">IF(A54="","",01_CONFIG!$B$4)</f>
        <v/>
      </c>
      <c r="D54" s="44" t="str">
        <f aca="false">IF(A54="","",01_CONFIG!$B$7)</f>
        <v/>
      </c>
      <c r="E54" s="11"/>
      <c r="F54" s="16" t="str">
        <f aca="false">IF(OR(E54="",D54=""),"",(YEAR(D54)-YEAR(E54))*12+MONTH(D54)-MONTH(E54))</f>
        <v/>
      </c>
      <c r="G54" s="16" t="str">
        <f aca="false">IF(OR(E54="",D54=""),"",IF(E54&gt;D54,"EXCLUIR","OK"))</f>
        <v/>
      </c>
      <c r="H54" s="9"/>
      <c r="I54" s="45" t="str">
        <f aca="false">IF(H54="","",IFERROR(INDEX(12_FUENTES!$B$2:$B$301,MATCH(H54,12_FUENTES!$A$2:$A$301,0)),"FUENTE NO REGISTRADA"))</f>
        <v/>
      </c>
      <c r="J54" s="9"/>
      <c r="K54" s="9"/>
      <c r="L54" s="9"/>
      <c r="M54" s="9"/>
      <c r="N54" s="9"/>
      <c r="O54" s="9"/>
      <c r="P54" s="9"/>
      <c r="Q54" s="9"/>
      <c r="R54" s="16" t="str">
        <f aca="false">IF(OR(I54="",I54="FUENTE NO REGISTRADA"),"",INDEX(16_LISTAS!$A$4:$A$8,MAX(1,INDEX(16_LISTAS!$E$4:$E$9,MATCH(I54,16_LISTAS!$D$4:$D$9,0))-IF(F54="",0,IF(F54&lt;=IF(J54="S",18,12),0,IF(F54&lt;=IF(J54="S",30,24),1,2))))))</f>
        <v/>
      </c>
      <c r="S54" s="9"/>
      <c r="T54" s="9"/>
      <c r="U54" s="9"/>
    </row>
    <row r="55" customFormat="false" ht="15" hidden="false" customHeight="false" outlineLevel="0" collapsed="false">
      <c r="A55" s="9"/>
      <c r="B55" s="9"/>
      <c r="C55" s="21" t="str">
        <f aca="false">IF(A55="","",01_CONFIG!$B$4)</f>
        <v/>
      </c>
      <c r="D55" s="44" t="str">
        <f aca="false">IF(A55="","",01_CONFIG!$B$7)</f>
        <v/>
      </c>
      <c r="E55" s="11"/>
      <c r="F55" s="16" t="str">
        <f aca="false">IF(OR(E55="",D55=""),"",(YEAR(D55)-YEAR(E55))*12+MONTH(D55)-MONTH(E55))</f>
        <v/>
      </c>
      <c r="G55" s="16" t="str">
        <f aca="false">IF(OR(E55="",D55=""),"",IF(E55&gt;D55,"EXCLUIR","OK"))</f>
        <v/>
      </c>
      <c r="H55" s="9"/>
      <c r="I55" s="45" t="str">
        <f aca="false">IF(H55="","",IFERROR(INDEX(12_FUENTES!$B$2:$B$301,MATCH(H55,12_FUENTES!$A$2:$A$301,0)),"FUENTE NO REGISTRADA"))</f>
        <v/>
      </c>
      <c r="J55" s="9"/>
      <c r="K55" s="9"/>
      <c r="L55" s="9"/>
      <c r="M55" s="9"/>
      <c r="N55" s="9"/>
      <c r="O55" s="9"/>
      <c r="P55" s="9"/>
      <c r="Q55" s="9"/>
      <c r="R55" s="16" t="str">
        <f aca="false">IF(OR(I55="",I55="FUENTE NO REGISTRADA"),"",INDEX(16_LISTAS!$A$4:$A$8,MAX(1,INDEX(16_LISTAS!$E$4:$E$9,MATCH(I55,16_LISTAS!$D$4:$D$9,0))-IF(F55="",0,IF(F55&lt;=IF(J55="S",18,12),0,IF(F55&lt;=IF(J55="S",30,24),1,2))))))</f>
        <v/>
      </c>
      <c r="S55" s="9"/>
      <c r="T55" s="9"/>
      <c r="U55" s="9"/>
    </row>
    <row r="56" customFormat="false" ht="15" hidden="false" customHeight="false" outlineLevel="0" collapsed="false">
      <c r="A56" s="9"/>
      <c r="B56" s="9"/>
      <c r="C56" s="21" t="str">
        <f aca="false">IF(A56="","",01_CONFIG!$B$4)</f>
        <v/>
      </c>
      <c r="D56" s="44" t="str">
        <f aca="false">IF(A56="","",01_CONFIG!$B$7)</f>
        <v/>
      </c>
      <c r="E56" s="11"/>
      <c r="F56" s="16" t="str">
        <f aca="false">IF(OR(E56="",D56=""),"",(YEAR(D56)-YEAR(E56))*12+MONTH(D56)-MONTH(E56))</f>
        <v/>
      </c>
      <c r="G56" s="16" t="str">
        <f aca="false">IF(OR(E56="",D56=""),"",IF(E56&gt;D56,"EXCLUIR","OK"))</f>
        <v/>
      </c>
      <c r="H56" s="9"/>
      <c r="I56" s="45" t="str">
        <f aca="false">IF(H56="","",IFERROR(INDEX(12_FUENTES!$B$2:$B$301,MATCH(H56,12_FUENTES!$A$2:$A$301,0)),"FUENTE NO REGISTRADA"))</f>
        <v/>
      </c>
      <c r="J56" s="9"/>
      <c r="K56" s="9"/>
      <c r="L56" s="9"/>
      <c r="M56" s="9"/>
      <c r="N56" s="9"/>
      <c r="O56" s="9"/>
      <c r="P56" s="9"/>
      <c r="Q56" s="9"/>
      <c r="R56" s="16" t="str">
        <f aca="false">IF(OR(I56="",I56="FUENTE NO REGISTRADA"),"",INDEX(16_LISTAS!$A$4:$A$8,MAX(1,INDEX(16_LISTAS!$E$4:$E$9,MATCH(I56,16_LISTAS!$D$4:$D$9,0))-IF(F56="",0,IF(F56&lt;=IF(J56="S",18,12),0,IF(F56&lt;=IF(J56="S",30,24),1,2))))))</f>
        <v/>
      </c>
      <c r="S56" s="9"/>
      <c r="T56" s="9"/>
      <c r="U56" s="9"/>
    </row>
    <row r="57" customFormat="false" ht="15" hidden="false" customHeight="false" outlineLevel="0" collapsed="false">
      <c r="A57" s="9"/>
      <c r="B57" s="9"/>
      <c r="C57" s="21" t="str">
        <f aca="false">IF(A57="","",01_CONFIG!$B$4)</f>
        <v/>
      </c>
      <c r="D57" s="44" t="str">
        <f aca="false">IF(A57="","",01_CONFIG!$B$7)</f>
        <v/>
      </c>
      <c r="E57" s="11"/>
      <c r="F57" s="16" t="str">
        <f aca="false">IF(OR(E57="",D57=""),"",(YEAR(D57)-YEAR(E57))*12+MONTH(D57)-MONTH(E57))</f>
        <v/>
      </c>
      <c r="G57" s="16" t="str">
        <f aca="false">IF(OR(E57="",D57=""),"",IF(E57&gt;D57,"EXCLUIR","OK"))</f>
        <v/>
      </c>
      <c r="H57" s="9"/>
      <c r="I57" s="45" t="str">
        <f aca="false">IF(H57="","",IFERROR(INDEX(12_FUENTES!$B$2:$B$301,MATCH(H57,12_FUENTES!$A$2:$A$301,0)),"FUENTE NO REGISTRADA"))</f>
        <v/>
      </c>
      <c r="J57" s="9"/>
      <c r="K57" s="9"/>
      <c r="L57" s="9"/>
      <c r="M57" s="9"/>
      <c r="N57" s="9"/>
      <c r="O57" s="9"/>
      <c r="P57" s="9"/>
      <c r="Q57" s="9"/>
      <c r="R57" s="16" t="str">
        <f aca="false">IF(OR(I57="",I57="FUENTE NO REGISTRADA"),"",INDEX(16_LISTAS!$A$4:$A$8,MAX(1,INDEX(16_LISTAS!$E$4:$E$9,MATCH(I57,16_LISTAS!$D$4:$D$9,0))-IF(F57="",0,IF(F57&lt;=IF(J57="S",18,12),0,IF(F57&lt;=IF(J57="S",30,24),1,2))))))</f>
        <v/>
      </c>
      <c r="S57" s="9"/>
      <c r="T57" s="9"/>
      <c r="U57" s="9"/>
    </row>
    <row r="58" customFormat="false" ht="15" hidden="false" customHeight="false" outlineLevel="0" collapsed="false">
      <c r="A58" s="9"/>
      <c r="B58" s="9"/>
      <c r="C58" s="21" t="str">
        <f aca="false">IF(A58="","",01_CONFIG!$B$4)</f>
        <v/>
      </c>
      <c r="D58" s="44" t="str">
        <f aca="false">IF(A58="","",01_CONFIG!$B$7)</f>
        <v/>
      </c>
      <c r="E58" s="11"/>
      <c r="F58" s="16" t="str">
        <f aca="false">IF(OR(E58="",D58=""),"",(YEAR(D58)-YEAR(E58))*12+MONTH(D58)-MONTH(E58))</f>
        <v/>
      </c>
      <c r="G58" s="16" t="str">
        <f aca="false">IF(OR(E58="",D58=""),"",IF(E58&gt;D58,"EXCLUIR","OK"))</f>
        <v/>
      </c>
      <c r="H58" s="9"/>
      <c r="I58" s="45" t="str">
        <f aca="false">IF(H58="","",IFERROR(INDEX(12_FUENTES!$B$2:$B$301,MATCH(H58,12_FUENTES!$A$2:$A$301,0)),"FUENTE NO REGISTRADA"))</f>
        <v/>
      </c>
      <c r="J58" s="9"/>
      <c r="K58" s="9"/>
      <c r="L58" s="9"/>
      <c r="M58" s="9"/>
      <c r="N58" s="9"/>
      <c r="O58" s="9"/>
      <c r="P58" s="9"/>
      <c r="Q58" s="9"/>
      <c r="R58" s="16" t="str">
        <f aca="false">IF(OR(I58="",I58="FUENTE NO REGISTRADA"),"",INDEX(16_LISTAS!$A$4:$A$8,MAX(1,INDEX(16_LISTAS!$E$4:$E$9,MATCH(I58,16_LISTAS!$D$4:$D$9,0))-IF(F58="",0,IF(F58&lt;=IF(J58="S",18,12),0,IF(F58&lt;=IF(J58="S",30,24),1,2))))))</f>
        <v/>
      </c>
      <c r="S58" s="9"/>
      <c r="T58" s="9"/>
      <c r="U58" s="9"/>
    </row>
    <row r="59" customFormat="false" ht="15" hidden="false" customHeight="false" outlineLevel="0" collapsed="false">
      <c r="A59" s="9"/>
      <c r="B59" s="9"/>
      <c r="C59" s="21" t="str">
        <f aca="false">IF(A59="","",01_CONFIG!$B$4)</f>
        <v/>
      </c>
      <c r="D59" s="44" t="str">
        <f aca="false">IF(A59="","",01_CONFIG!$B$7)</f>
        <v/>
      </c>
      <c r="E59" s="11"/>
      <c r="F59" s="16" t="str">
        <f aca="false">IF(OR(E59="",D59=""),"",(YEAR(D59)-YEAR(E59))*12+MONTH(D59)-MONTH(E59))</f>
        <v/>
      </c>
      <c r="G59" s="16" t="str">
        <f aca="false">IF(OR(E59="",D59=""),"",IF(E59&gt;D59,"EXCLUIR","OK"))</f>
        <v/>
      </c>
      <c r="H59" s="9"/>
      <c r="I59" s="45" t="str">
        <f aca="false">IF(H59="","",IFERROR(INDEX(12_FUENTES!$B$2:$B$301,MATCH(H59,12_FUENTES!$A$2:$A$301,0)),"FUENTE NO REGISTRADA"))</f>
        <v/>
      </c>
      <c r="J59" s="9"/>
      <c r="K59" s="9"/>
      <c r="L59" s="9"/>
      <c r="M59" s="9"/>
      <c r="N59" s="9"/>
      <c r="O59" s="9"/>
      <c r="P59" s="9"/>
      <c r="Q59" s="9"/>
      <c r="R59" s="16" t="str">
        <f aca="false">IF(OR(I59="",I59="FUENTE NO REGISTRADA"),"",INDEX(16_LISTAS!$A$4:$A$8,MAX(1,INDEX(16_LISTAS!$E$4:$E$9,MATCH(I59,16_LISTAS!$D$4:$D$9,0))-IF(F59="",0,IF(F59&lt;=IF(J59="S",18,12),0,IF(F59&lt;=IF(J59="S",30,24),1,2))))))</f>
        <v/>
      </c>
      <c r="S59" s="9"/>
      <c r="T59" s="9"/>
      <c r="U59" s="9"/>
    </row>
    <row r="60" customFormat="false" ht="15" hidden="false" customHeight="false" outlineLevel="0" collapsed="false">
      <c r="A60" s="9"/>
      <c r="B60" s="9"/>
      <c r="C60" s="21" t="str">
        <f aca="false">IF(A60="","",01_CONFIG!$B$4)</f>
        <v/>
      </c>
      <c r="D60" s="44" t="str">
        <f aca="false">IF(A60="","",01_CONFIG!$B$7)</f>
        <v/>
      </c>
      <c r="E60" s="11"/>
      <c r="F60" s="16" t="str">
        <f aca="false">IF(OR(E60="",D60=""),"",(YEAR(D60)-YEAR(E60))*12+MONTH(D60)-MONTH(E60))</f>
        <v/>
      </c>
      <c r="G60" s="16" t="str">
        <f aca="false">IF(OR(E60="",D60=""),"",IF(E60&gt;D60,"EXCLUIR","OK"))</f>
        <v/>
      </c>
      <c r="H60" s="9"/>
      <c r="I60" s="45" t="str">
        <f aca="false">IF(H60="","",IFERROR(INDEX(12_FUENTES!$B$2:$B$301,MATCH(H60,12_FUENTES!$A$2:$A$301,0)),"FUENTE NO REGISTRADA"))</f>
        <v/>
      </c>
      <c r="J60" s="9"/>
      <c r="K60" s="9"/>
      <c r="L60" s="9"/>
      <c r="M60" s="9"/>
      <c r="N60" s="9"/>
      <c r="O60" s="9"/>
      <c r="P60" s="9"/>
      <c r="Q60" s="9"/>
      <c r="R60" s="16" t="str">
        <f aca="false">IF(OR(I60="",I60="FUENTE NO REGISTRADA"),"",INDEX(16_LISTAS!$A$4:$A$8,MAX(1,INDEX(16_LISTAS!$E$4:$E$9,MATCH(I60,16_LISTAS!$D$4:$D$9,0))-IF(F60="",0,IF(F60&lt;=IF(J60="S",18,12),0,IF(F60&lt;=IF(J60="S",30,24),1,2))))))</f>
        <v/>
      </c>
      <c r="S60" s="9"/>
      <c r="T60" s="9"/>
      <c r="U60" s="9"/>
    </row>
    <row r="61" customFormat="false" ht="15" hidden="false" customHeight="false" outlineLevel="0" collapsed="false">
      <c r="A61" s="9"/>
      <c r="B61" s="9"/>
      <c r="C61" s="21" t="str">
        <f aca="false">IF(A61="","",01_CONFIG!$B$4)</f>
        <v/>
      </c>
      <c r="D61" s="44" t="str">
        <f aca="false">IF(A61="","",01_CONFIG!$B$7)</f>
        <v/>
      </c>
      <c r="E61" s="11"/>
      <c r="F61" s="16" t="str">
        <f aca="false">IF(OR(E61="",D61=""),"",(YEAR(D61)-YEAR(E61))*12+MONTH(D61)-MONTH(E61))</f>
        <v/>
      </c>
      <c r="G61" s="16" t="str">
        <f aca="false">IF(OR(E61="",D61=""),"",IF(E61&gt;D61,"EXCLUIR","OK"))</f>
        <v/>
      </c>
      <c r="H61" s="9"/>
      <c r="I61" s="45" t="str">
        <f aca="false">IF(H61="","",IFERROR(INDEX(12_FUENTES!$B$2:$B$301,MATCH(H61,12_FUENTES!$A$2:$A$301,0)),"FUENTE NO REGISTRADA"))</f>
        <v/>
      </c>
      <c r="J61" s="9"/>
      <c r="K61" s="9"/>
      <c r="L61" s="9"/>
      <c r="M61" s="9"/>
      <c r="N61" s="9"/>
      <c r="O61" s="9"/>
      <c r="P61" s="9"/>
      <c r="Q61" s="9"/>
      <c r="R61" s="16" t="str">
        <f aca="false">IF(OR(I61="",I61="FUENTE NO REGISTRADA"),"",INDEX(16_LISTAS!$A$4:$A$8,MAX(1,INDEX(16_LISTAS!$E$4:$E$9,MATCH(I61,16_LISTAS!$D$4:$D$9,0))-IF(F61="",0,IF(F61&lt;=IF(J61="S",18,12),0,IF(F61&lt;=IF(J61="S",30,24),1,2))))))</f>
        <v/>
      </c>
      <c r="S61" s="9"/>
      <c r="T61" s="9"/>
      <c r="U61" s="9"/>
    </row>
    <row r="62" customFormat="false" ht="15" hidden="false" customHeight="false" outlineLevel="0" collapsed="false">
      <c r="A62" s="9"/>
      <c r="B62" s="9"/>
      <c r="C62" s="21" t="str">
        <f aca="false">IF(A62="","",01_CONFIG!$B$4)</f>
        <v/>
      </c>
      <c r="D62" s="44" t="str">
        <f aca="false">IF(A62="","",01_CONFIG!$B$7)</f>
        <v/>
      </c>
      <c r="E62" s="11"/>
      <c r="F62" s="16" t="str">
        <f aca="false">IF(OR(E62="",D62=""),"",(YEAR(D62)-YEAR(E62))*12+MONTH(D62)-MONTH(E62))</f>
        <v/>
      </c>
      <c r="G62" s="16" t="str">
        <f aca="false">IF(OR(E62="",D62=""),"",IF(E62&gt;D62,"EXCLUIR","OK"))</f>
        <v/>
      </c>
      <c r="H62" s="9"/>
      <c r="I62" s="45" t="str">
        <f aca="false">IF(H62="","",IFERROR(INDEX(12_FUENTES!$B$2:$B$301,MATCH(H62,12_FUENTES!$A$2:$A$301,0)),"FUENTE NO REGISTRADA"))</f>
        <v/>
      </c>
      <c r="J62" s="9"/>
      <c r="K62" s="9"/>
      <c r="L62" s="9"/>
      <c r="M62" s="9"/>
      <c r="N62" s="9"/>
      <c r="O62" s="9"/>
      <c r="P62" s="9"/>
      <c r="Q62" s="9"/>
      <c r="R62" s="16" t="str">
        <f aca="false">IF(OR(I62="",I62="FUENTE NO REGISTRADA"),"",INDEX(16_LISTAS!$A$4:$A$8,MAX(1,INDEX(16_LISTAS!$E$4:$E$9,MATCH(I62,16_LISTAS!$D$4:$D$9,0))-IF(F62="",0,IF(F62&lt;=IF(J62="S",18,12),0,IF(F62&lt;=IF(J62="S",30,24),1,2))))))</f>
        <v/>
      </c>
      <c r="S62" s="9"/>
      <c r="T62" s="9"/>
      <c r="U62" s="9"/>
    </row>
    <row r="63" customFormat="false" ht="15" hidden="false" customHeight="false" outlineLevel="0" collapsed="false">
      <c r="A63" s="9"/>
      <c r="B63" s="9"/>
      <c r="C63" s="21" t="str">
        <f aca="false">IF(A63="","",01_CONFIG!$B$4)</f>
        <v/>
      </c>
      <c r="D63" s="44" t="str">
        <f aca="false">IF(A63="","",01_CONFIG!$B$7)</f>
        <v/>
      </c>
      <c r="E63" s="11"/>
      <c r="F63" s="16" t="str">
        <f aca="false">IF(OR(E63="",D63=""),"",(YEAR(D63)-YEAR(E63))*12+MONTH(D63)-MONTH(E63))</f>
        <v/>
      </c>
      <c r="G63" s="16" t="str">
        <f aca="false">IF(OR(E63="",D63=""),"",IF(E63&gt;D63,"EXCLUIR","OK"))</f>
        <v/>
      </c>
      <c r="H63" s="9"/>
      <c r="I63" s="45" t="str">
        <f aca="false">IF(H63="","",IFERROR(INDEX(12_FUENTES!$B$2:$B$301,MATCH(H63,12_FUENTES!$A$2:$A$301,0)),"FUENTE NO REGISTRADA"))</f>
        <v/>
      </c>
      <c r="J63" s="9"/>
      <c r="K63" s="9"/>
      <c r="L63" s="9"/>
      <c r="M63" s="9"/>
      <c r="N63" s="9"/>
      <c r="O63" s="9"/>
      <c r="P63" s="9"/>
      <c r="Q63" s="9"/>
      <c r="R63" s="16" t="str">
        <f aca="false">IF(OR(I63="",I63="FUENTE NO REGISTRADA"),"",INDEX(16_LISTAS!$A$4:$A$8,MAX(1,INDEX(16_LISTAS!$E$4:$E$9,MATCH(I63,16_LISTAS!$D$4:$D$9,0))-IF(F63="",0,IF(F63&lt;=IF(J63="S",18,12),0,IF(F63&lt;=IF(J63="S",30,24),1,2))))))</f>
        <v/>
      </c>
      <c r="S63" s="9"/>
      <c r="T63" s="9"/>
      <c r="U63" s="9"/>
    </row>
    <row r="64" customFormat="false" ht="15" hidden="false" customHeight="false" outlineLevel="0" collapsed="false">
      <c r="A64" s="9"/>
      <c r="B64" s="9"/>
      <c r="C64" s="21" t="str">
        <f aca="false">IF(A64="","",01_CONFIG!$B$4)</f>
        <v/>
      </c>
      <c r="D64" s="44" t="str">
        <f aca="false">IF(A64="","",01_CONFIG!$B$7)</f>
        <v/>
      </c>
      <c r="E64" s="11"/>
      <c r="F64" s="16" t="str">
        <f aca="false">IF(OR(E64="",D64=""),"",(YEAR(D64)-YEAR(E64))*12+MONTH(D64)-MONTH(E64))</f>
        <v/>
      </c>
      <c r="G64" s="16" t="str">
        <f aca="false">IF(OR(E64="",D64=""),"",IF(E64&gt;D64,"EXCLUIR","OK"))</f>
        <v/>
      </c>
      <c r="H64" s="9"/>
      <c r="I64" s="45" t="str">
        <f aca="false">IF(H64="","",IFERROR(INDEX(12_FUENTES!$B$2:$B$301,MATCH(H64,12_FUENTES!$A$2:$A$301,0)),"FUENTE NO REGISTRADA"))</f>
        <v/>
      </c>
      <c r="J64" s="9"/>
      <c r="K64" s="9"/>
      <c r="L64" s="9"/>
      <c r="M64" s="9"/>
      <c r="N64" s="9"/>
      <c r="O64" s="9"/>
      <c r="P64" s="9"/>
      <c r="Q64" s="9"/>
      <c r="R64" s="16" t="str">
        <f aca="false">IF(OR(I64="",I64="FUENTE NO REGISTRADA"),"",INDEX(16_LISTAS!$A$4:$A$8,MAX(1,INDEX(16_LISTAS!$E$4:$E$9,MATCH(I64,16_LISTAS!$D$4:$D$9,0))-IF(F64="",0,IF(F64&lt;=IF(J64="S",18,12),0,IF(F64&lt;=IF(J64="S",30,24),1,2))))))</f>
        <v/>
      </c>
      <c r="S64" s="9"/>
      <c r="T64" s="9"/>
      <c r="U64" s="9"/>
    </row>
    <row r="65" customFormat="false" ht="15" hidden="false" customHeight="false" outlineLevel="0" collapsed="false">
      <c r="A65" s="9"/>
      <c r="B65" s="9"/>
      <c r="C65" s="21" t="str">
        <f aca="false">IF(A65="","",01_CONFIG!$B$4)</f>
        <v/>
      </c>
      <c r="D65" s="44" t="str">
        <f aca="false">IF(A65="","",01_CONFIG!$B$7)</f>
        <v/>
      </c>
      <c r="E65" s="11"/>
      <c r="F65" s="16" t="str">
        <f aca="false">IF(OR(E65="",D65=""),"",(YEAR(D65)-YEAR(E65))*12+MONTH(D65)-MONTH(E65))</f>
        <v/>
      </c>
      <c r="G65" s="16" t="str">
        <f aca="false">IF(OR(E65="",D65=""),"",IF(E65&gt;D65,"EXCLUIR","OK"))</f>
        <v/>
      </c>
      <c r="H65" s="9"/>
      <c r="I65" s="45" t="str">
        <f aca="false">IF(H65="","",IFERROR(INDEX(12_FUENTES!$B$2:$B$301,MATCH(H65,12_FUENTES!$A$2:$A$301,0)),"FUENTE NO REGISTRADA"))</f>
        <v/>
      </c>
      <c r="J65" s="9"/>
      <c r="K65" s="9"/>
      <c r="L65" s="9"/>
      <c r="M65" s="9"/>
      <c r="N65" s="9"/>
      <c r="O65" s="9"/>
      <c r="P65" s="9"/>
      <c r="Q65" s="9"/>
      <c r="R65" s="16" t="str">
        <f aca="false">IF(OR(I65="",I65="FUENTE NO REGISTRADA"),"",INDEX(16_LISTAS!$A$4:$A$8,MAX(1,INDEX(16_LISTAS!$E$4:$E$9,MATCH(I65,16_LISTAS!$D$4:$D$9,0))-IF(F65="",0,IF(F65&lt;=IF(J65="S",18,12),0,IF(F65&lt;=IF(J65="S",30,24),1,2))))))</f>
        <v/>
      </c>
      <c r="S65" s="9"/>
      <c r="T65" s="9"/>
      <c r="U65" s="9"/>
    </row>
    <row r="66" customFormat="false" ht="15" hidden="false" customHeight="false" outlineLevel="0" collapsed="false">
      <c r="A66" s="9"/>
      <c r="B66" s="9"/>
      <c r="C66" s="21" t="str">
        <f aca="false">IF(A66="","",01_CONFIG!$B$4)</f>
        <v/>
      </c>
      <c r="D66" s="44" t="str">
        <f aca="false">IF(A66="","",01_CONFIG!$B$7)</f>
        <v/>
      </c>
      <c r="E66" s="11"/>
      <c r="F66" s="16" t="str">
        <f aca="false">IF(OR(E66="",D66=""),"",(YEAR(D66)-YEAR(E66))*12+MONTH(D66)-MONTH(E66))</f>
        <v/>
      </c>
      <c r="G66" s="16" t="str">
        <f aca="false">IF(OR(E66="",D66=""),"",IF(E66&gt;D66,"EXCLUIR","OK"))</f>
        <v/>
      </c>
      <c r="H66" s="9"/>
      <c r="I66" s="45" t="str">
        <f aca="false">IF(H66="","",IFERROR(INDEX(12_FUENTES!$B$2:$B$301,MATCH(H66,12_FUENTES!$A$2:$A$301,0)),"FUENTE NO REGISTRADA"))</f>
        <v/>
      </c>
      <c r="J66" s="9"/>
      <c r="K66" s="9"/>
      <c r="L66" s="9"/>
      <c r="M66" s="9"/>
      <c r="N66" s="9"/>
      <c r="O66" s="9"/>
      <c r="P66" s="9"/>
      <c r="Q66" s="9"/>
      <c r="R66" s="16" t="str">
        <f aca="false">IF(OR(I66="",I66="FUENTE NO REGISTRADA"),"",INDEX(16_LISTAS!$A$4:$A$8,MAX(1,INDEX(16_LISTAS!$E$4:$E$9,MATCH(I66,16_LISTAS!$D$4:$D$9,0))-IF(F66="",0,IF(F66&lt;=IF(J66="S",18,12),0,IF(F66&lt;=IF(J66="S",30,24),1,2))))))</f>
        <v/>
      </c>
      <c r="S66" s="9"/>
      <c r="T66" s="9"/>
      <c r="U66" s="9"/>
    </row>
    <row r="67" customFormat="false" ht="15" hidden="false" customHeight="false" outlineLevel="0" collapsed="false">
      <c r="A67" s="9"/>
      <c r="B67" s="9"/>
      <c r="C67" s="21" t="str">
        <f aca="false">IF(A67="","",01_CONFIG!$B$4)</f>
        <v/>
      </c>
      <c r="D67" s="44" t="str">
        <f aca="false">IF(A67="","",01_CONFIG!$B$7)</f>
        <v/>
      </c>
      <c r="E67" s="11"/>
      <c r="F67" s="16" t="str">
        <f aca="false">IF(OR(E67="",D67=""),"",(YEAR(D67)-YEAR(E67))*12+MONTH(D67)-MONTH(E67))</f>
        <v/>
      </c>
      <c r="G67" s="16" t="str">
        <f aca="false">IF(OR(E67="",D67=""),"",IF(E67&gt;D67,"EXCLUIR","OK"))</f>
        <v/>
      </c>
      <c r="H67" s="9"/>
      <c r="I67" s="45" t="str">
        <f aca="false">IF(H67="","",IFERROR(INDEX(12_FUENTES!$B$2:$B$301,MATCH(H67,12_FUENTES!$A$2:$A$301,0)),"FUENTE NO REGISTRADA"))</f>
        <v/>
      </c>
      <c r="J67" s="9"/>
      <c r="K67" s="9"/>
      <c r="L67" s="9"/>
      <c r="M67" s="9"/>
      <c r="N67" s="9"/>
      <c r="O67" s="9"/>
      <c r="P67" s="9"/>
      <c r="Q67" s="9"/>
      <c r="R67" s="16" t="str">
        <f aca="false">IF(OR(I67="",I67="FUENTE NO REGISTRADA"),"",INDEX(16_LISTAS!$A$4:$A$8,MAX(1,INDEX(16_LISTAS!$E$4:$E$9,MATCH(I67,16_LISTAS!$D$4:$D$9,0))-IF(F67="",0,IF(F67&lt;=IF(J67="S",18,12),0,IF(F67&lt;=IF(J67="S",30,24),1,2))))))</f>
        <v/>
      </c>
      <c r="S67" s="9"/>
      <c r="T67" s="9"/>
      <c r="U67" s="9"/>
    </row>
    <row r="68" customFormat="false" ht="15" hidden="false" customHeight="false" outlineLevel="0" collapsed="false">
      <c r="A68" s="9"/>
      <c r="B68" s="9"/>
      <c r="C68" s="21" t="str">
        <f aca="false">IF(A68="","",01_CONFIG!$B$4)</f>
        <v/>
      </c>
      <c r="D68" s="44" t="str">
        <f aca="false">IF(A68="","",01_CONFIG!$B$7)</f>
        <v/>
      </c>
      <c r="E68" s="11"/>
      <c r="F68" s="16" t="str">
        <f aca="false">IF(OR(E68="",D68=""),"",(YEAR(D68)-YEAR(E68))*12+MONTH(D68)-MONTH(E68))</f>
        <v/>
      </c>
      <c r="G68" s="16" t="str">
        <f aca="false">IF(OR(E68="",D68=""),"",IF(E68&gt;D68,"EXCLUIR","OK"))</f>
        <v/>
      </c>
      <c r="H68" s="9"/>
      <c r="I68" s="45" t="str">
        <f aca="false">IF(H68="","",IFERROR(INDEX(12_FUENTES!$B$2:$B$301,MATCH(H68,12_FUENTES!$A$2:$A$301,0)),"FUENTE NO REGISTRADA"))</f>
        <v/>
      </c>
      <c r="J68" s="9"/>
      <c r="K68" s="9"/>
      <c r="L68" s="9"/>
      <c r="M68" s="9"/>
      <c r="N68" s="9"/>
      <c r="O68" s="9"/>
      <c r="P68" s="9"/>
      <c r="Q68" s="9"/>
      <c r="R68" s="16" t="str">
        <f aca="false">IF(OR(I68="",I68="FUENTE NO REGISTRADA"),"",INDEX(16_LISTAS!$A$4:$A$8,MAX(1,INDEX(16_LISTAS!$E$4:$E$9,MATCH(I68,16_LISTAS!$D$4:$D$9,0))-IF(F68="",0,IF(F68&lt;=IF(J68="S",18,12),0,IF(F68&lt;=IF(J68="S",30,24),1,2))))))</f>
        <v/>
      </c>
      <c r="S68" s="9"/>
      <c r="T68" s="9"/>
      <c r="U68" s="9"/>
    </row>
    <row r="69" customFormat="false" ht="15" hidden="false" customHeight="false" outlineLevel="0" collapsed="false">
      <c r="A69" s="9"/>
      <c r="B69" s="9"/>
      <c r="C69" s="21" t="str">
        <f aca="false">IF(A69="","",01_CONFIG!$B$4)</f>
        <v/>
      </c>
      <c r="D69" s="44" t="str">
        <f aca="false">IF(A69="","",01_CONFIG!$B$7)</f>
        <v/>
      </c>
      <c r="E69" s="11"/>
      <c r="F69" s="16" t="str">
        <f aca="false">IF(OR(E69="",D69=""),"",(YEAR(D69)-YEAR(E69))*12+MONTH(D69)-MONTH(E69))</f>
        <v/>
      </c>
      <c r="G69" s="16" t="str">
        <f aca="false">IF(OR(E69="",D69=""),"",IF(E69&gt;D69,"EXCLUIR","OK"))</f>
        <v/>
      </c>
      <c r="H69" s="9"/>
      <c r="I69" s="45" t="str">
        <f aca="false">IF(H69="","",IFERROR(INDEX(12_FUENTES!$B$2:$B$301,MATCH(H69,12_FUENTES!$A$2:$A$301,0)),"FUENTE NO REGISTRADA"))</f>
        <v/>
      </c>
      <c r="J69" s="9"/>
      <c r="K69" s="9"/>
      <c r="L69" s="9"/>
      <c r="M69" s="9"/>
      <c r="N69" s="9"/>
      <c r="O69" s="9"/>
      <c r="P69" s="9"/>
      <c r="Q69" s="9"/>
      <c r="R69" s="16" t="str">
        <f aca="false">IF(OR(I69="",I69="FUENTE NO REGISTRADA"),"",INDEX(16_LISTAS!$A$4:$A$8,MAX(1,INDEX(16_LISTAS!$E$4:$E$9,MATCH(I69,16_LISTAS!$D$4:$D$9,0))-IF(F69="",0,IF(F69&lt;=IF(J69="S",18,12),0,IF(F69&lt;=IF(J69="S",30,24),1,2))))))</f>
        <v/>
      </c>
      <c r="S69" s="9"/>
      <c r="T69" s="9"/>
      <c r="U69" s="9"/>
    </row>
    <row r="70" customFormat="false" ht="15" hidden="false" customHeight="false" outlineLevel="0" collapsed="false">
      <c r="A70" s="9"/>
      <c r="B70" s="9"/>
      <c r="C70" s="21" t="str">
        <f aca="false">IF(A70="","",01_CONFIG!$B$4)</f>
        <v/>
      </c>
      <c r="D70" s="44" t="str">
        <f aca="false">IF(A70="","",01_CONFIG!$B$7)</f>
        <v/>
      </c>
      <c r="E70" s="11"/>
      <c r="F70" s="16" t="str">
        <f aca="false">IF(OR(E70="",D70=""),"",(YEAR(D70)-YEAR(E70))*12+MONTH(D70)-MONTH(E70))</f>
        <v/>
      </c>
      <c r="G70" s="16" t="str">
        <f aca="false">IF(OR(E70="",D70=""),"",IF(E70&gt;D70,"EXCLUIR","OK"))</f>
        <v/>
      </c>
      <c r="H70" s="9"/>
      <c r="I70" s="45" t="str">
        <f aca="false">IF(H70="","",IFERROR(INDEX(12_FUENTES!$B$2:$B$301,MATCH(H70,12_FUENTES!$A$2:$A$301,0)),"FUENTE NO REGISTRADA"))</f>
        <v/>
      </c>
      <c r="J70" s="9"/>
      <c r="K70" s="9"/>
      <c r="L70" s="9"/>
      <c r="M70" s="9"/>
      <c r="N70" s="9"/>
      <c r="O70" s="9"/>
      <c r="P70" s="9"/>
      <c r="Q70" s="9"/>
      <c r="R70" s="16" t="str">
        <f aca="false">IF(OR(I70="",I70="FUENTE NO REGISTRADA"),"",INDEX(16_LISTAS!$A$4:$A$8,MAX(1,INDEX(16_LISTAS!$E$4:$E$9,MATCH(I70,16_LISTAS!$D$4:$D$9,0))-IF(F70="",0,IF(F70&lt;=IF(J70="S",18,12),0,IF(F70&lt;=IF(J70="S",30,24),1,2))))))</f>
        <v/>
      </c>
      <c r="S70" s="9"/>
      <c r="T70" s="9"/>
      <c r="U70" s="9"/>
    </row>
    <row r="71" customFormat="false" ht="15" hidden="false" customHeight="false" outlineLevel="0" collapsed="false">
      <c r="A71" s="9"/>
      <c r="B71" s="9"/>
      <c r="C71" s="21" t="str">
        <f aca="false">IF(A71="","",01_CONFIG!$B$4)</f>
        <v/>
      </c>
      <c r="D71" s="44" t="str">
        <f aca="false">IF(A71="","",01_CONFIG!$B$7)</f>
        <v/>
      </c>
      <c r="E71" s="11"/>
      <c r="F71" s="16" t="str">
        <f aca="false">IF(OR(E71="",D71=""),"",(YEAR(D71)-YEAR(E71))*12+MONTH(D71)-MONTH(E71))</f>
        <v/>
      </c>
      <c r="G71" s="16" t="str">
        <f aca="false">IF(OR(E71="",D71=""),"",IF(E71&gt;D71,"EXCLUIR","OK"))</f>
        <v/>
      </c>
      <c r="H71" s="9"/>
      <c r="I71" s="45" t="str">
        <f aca="false">IF(H71="","",IFERROR(INDEX(12_FUENTES!$B$2:$B$301,MATCH(H71,12_FUENTES!$A$2:$A$301,0)),"FUENTE NO REGISTRADA"))</f>
        <v/>
      </c>
      <c r="J71" s="9"/>
      <c r="K71" s="9"/>
      <c r="L71" s="9"/>
      <c r="M71" s="9"/>
      <c r="N71" s="9"/>
      <c r="O71" s="9"/>
      <c r="P71" s="9"/>
      <c r="Q71" s="9"/>
      <c r="R71" s="16" t="str">
        <f aca="false">IF(OR(I71="",I71="FUENTE NO REGISTRADA"),"",INDEX(16_LISTAS!$A$4:$A$8,MAX(1,INDEX(16_LISTAS!$E$4:$E$9,MATCH(I71,16_LISTAS!$D$4:$D$9,0))-IF(F71="",0,IF(F71&lt;=IF(J71="S",18,12),0,IF(F71&lt;=IF(J71="S",30,24),1,2))))))</f>
        <v/>
      </c>
      <c r="S71" s="9"/>
      <c r="T71" s="9"/>
      <c r="U71" s="9"/>
    </row>
    <row r="72" customFormat="false" ht="15" hidden="false" customHeight="false" outlineLevel="0" collapsed="false">
      <c r="A72" s="9"/>
      <c r="B72" s="9"/>
      <c r="C72" s="21" t="str">
        <f aca="false">IF(A72="","",01_CONFIG!$B$4)</f>
        <v/>
      </c>
      <c r="D72" s="44" t="str">
        <f aca="false">IF(A72="","",01_CONFIG!$B$7)</f>
        <v/>
      </c>
      <c r="E72" s="11"/>
      <c r="F72" s="16" t="str">
        <f aca="false">IF(OR(E72="",D72=""),"",(YEAR(D72)-YEAR(E72))*12+MONTH(D72)-MONTH(E72))</f>
        <v/>
      </c>
      <c r="G72" s="16" t="str">
        <f aca="false">IF(OR(E72="",D72=""),"",IF(E72&gt;D72,"EXCLUIR","OK"))</f>
        <v/>
      </c>
      <c r="H72" s="9"/>
      <c r="I72" s="45" t="str">
        <f aca="false">IF(H72="","",IFERROR(INDEX(12_FUENTES!$B$2:$B$301,MATCH(H72,12_FUENTES!$A$2:$A$301,0)),"FUENTE NO REGISTRADA"))</f>
        <v/>
      </c>
      <c r="J72" s="9"/>
      <c r="K72" s="9"/>
      <c r="L72" s="9"/>
      <c r="M72" s="9"/>
      <c r="N72" s="9"/>
      <c r="O72" s="9"/>
      <c r="P72" s="9"/>
      <c r="Q72" s="9"/>
      <c r="R72" s="16" t="str">
        <f aca="false">IF(OR(I72="",I72="FUENTE NO REGISTRADA"),"",INDEX(16_LISTAS!$A$4:$A$8,MAX(1,INDEX(16_LISTAS!$E$4:$E$9,MATCH(I72,16_LISTAS!$D$4:$D$9,0))-IF(F72="",0,IF(F72&lt;=IF(J72="S",18,12),0,IF(F72&lt;=IF(J72="S",30,24),1,2))))))</f>
        <v/>
      </c>
      <c r="S72" s="9"/>
      <c r="T72" s="9"/>
      <c r="U72" s="9"/>
    </row>
    <row r="73" customFormat="false" ht="15" hidden="false" customHeight="false" outlineLevel="0" collapsed="false">
      <c r="A73" s="9"/>
      <c r="B73" s="9"/>
      <c r="C73" s="21" t="str">
        <f aca="false">IF(A73="","",01_CONFIG!$B$4)</f>
        <v/>
      </c>
      <c r="D73" s="44" t="str">
        <f aca="false">IF(A73="","",01_CONFIG!$B$7)</f>
        <v/>
      </c>
      <c r="E73" s="11"/>
      <c r="F73" s="16" t="str">
        <f aca="false">IF(OR(E73="",D73=""),"",(YEAR(D73)-YEAR(E73))*12+MONTH(D73)-MONTH(E73))</f>
        <v/>
      </c>
      <c r="G73" s="16" t="str">
        <f aca="false">IF(OR(E73="",D73=""),"",IF(E73&gt;D73,"EXCLUIR","OK"))</f>
        <v/>
      </c>
      <c r="H73" s="9"/>
      <c r="I73" s="45" t="str">
        <f aca="false">IF(H73="","",IFERROR(INDEX(12_FUENTES!$B$2:$B$301,MATCH(H73,12_FUENTES!$A$2:$A$301,0)),"FUENTE NO REGISTRADA"))</f>
        <v/>
      </c>
      <c r="J73" s="9"/>
      <c r="K73" s="9"/>
      <c r="L73" s="9"/>
      <c r="M73" s="9"/>
      <c r="N73" s="9"/>
      <c r="O73" s="9"/>
      <c r="P73" s="9"/>
      <c r="Q73" s="9"/>
      <c r="R73" s="16" t="str">
        <f aca="false">IF(OR(I73="",I73="FUENTE NO REGISTRADA"),"",INDEX(16_LISTAS!$A$4:$A$8,MAX(1,INDEX(16_LISTAS!$E$4:$E$9,MATCH(I73,16_LISTAS!$D$4:$D$9,0))-IF(F73="",0,IF(F73&lt;=IF(J73="S",18,12),0,IF(F73&lt;=IF(J73="S",30,24),1,2))))))</f>
        <v/>
      </c>
      <c r="S73" s="9"/>
      <c r="T73" s="9"/>
      <c r="U73" s="9"/>
    </row>
    <row r="74" customFormat="false" ht="15" hidden="false" customHeight="false" outlineLevel="0" collapsed="false">
      <c r="A74" s="9"/>
      <c r="B74" s="9"/>
      <c r="C74" s="21" t="str">
        <f aca="false">IF(A74="","",01_CONFIG!$B$4)</f>
        <v/>
      </c>
      <c r="D74" s="44" t="str">
        <f aca="false">IF(A74="","",01_CONFIG!$B$7)</f>
        <v/>
      </c>
      <c r="E74" s="11"/>
      <c r="F74" s="16" t="str">
        <f aca="false">IF(OR(E74="",D74=""),"",(YEAR(D74)-YEAR(E74))*12+MONTH(D74)-MONTH(E74))</f>
        <v/>
      </c>
      <c r="G74" s="16" t="str">
        <f aca="false">IF(OR(E74="",D74=""),"",IF(E74&gt;D74,"EXCLUIR","OK"))</f>
        <v/>
      </c>
      <c r="H74" s="9"/>
      <c r="I74" s="45" t="str">
        <f aca="false">IF(H74="","",IFERROR(INDEX(12_FUENTES!$B$2:$B$301,MATCH(H74,12_FUENTES!$A$2:$A$301,0)),"FUENTE NO REGISTRADA"))</f>
        <v/>
      </c>
      <c r="J74" s="9"/>
      <c r="K74" s="9"/>
      <c r="L74" s="9"/>
      <c r="M74" s="9"/>
      <c r="N74" s="9"/>
      <c r="O74" s="9"/>
      <c r="P74" s="9"/>
      <c r="Q74" s="9"/>
      <c r="R74" s="16" t="str">
        <f aca="false">IF(OR(I74="",I74="FUENTE NO REGISTRADA"),"",INDEX(16_LISTAS!$A$4:$A$8,MAX(1,INDEX(16_LISTAS!$E$4:$E$9,MATCH(I74,16_LISTAS!$D$4:$D$9,0))-IF(F74="",0,IF(F74&lt;=IF(J74="S",18,12),0,IF(F74&lt;=IF(J74="S",30,24),1,2))))))</f>
        <v/>
      </c>
      <c r="S74" s="9"/>
      <c r="T74" s="9"/>
      <c r="U74" s="9"/>
    </row>
    <row r="75" customFormat="false" ht="15" hidden="false" customHeight="false" outlineLevel="0" collapsed="false">
      <c r="A75" s="9"/>
      <c r="B75" s="9"/>
      <c r="C75" s="21" t="str">
        <f aca="false">IF(A75="","",01_CONFIG!$B$4)</f>
        <v/>
      </c>
      <c r="D75" s="44" t="str">
        <f aca="false">IF(A75="","",01_CONFIG!$B$7)</f>
        <v/>
      </c>
      <c r="E75" s="11"/>
      <c r="F75" s="16" t="str">
        <f aca="false">IF(OR(E75="",D75=""),"",(YEAR(D75)-YEAR(E75))*12+MONTH(D75)-MONTH(E75))</f>
        <v/>
      </c>
      <c r="G75" s="16" t="str">
        <f aca="false">IF(OR(E75="",D75=""),"",IF(E75&gt;D75,"EXCLUIR","OK"))</f>
        <v/>
      </c>
      <c r="H75" s="9"/>
      <c r="I75" s="45" t="str">
        <f aca="false">IF(H75="","",IFERROR(INDEX(12_FUENTES!$B$2:$B$301,MATCH(H75,12_FUENTES!$A$2:$A$301,0)),"FUENTE NO REGISTRADA"))</f>
        <v/>
      </c>
      <c r="J75" s="9"/>
      <c r="K75" s="9"/>
      <c r="L75" s="9"/>
      <c r="M75" s="9"/>
      <c r="N75" s="9"/>
      <c r="O75" s="9"/>
      <c r="P75" s="9"/>
      <c r="Q75" s="9"/>
      <c r="R75" s="16" t="str">
        <f aca="false">IF(OR(I75="",I75="FUENTE NO REGISTRADA"),"",INDEX(16_LISTAS!$A$4:$A$8,MAX(1,INDEX(16_LISTAS!$E$4:$E$9,MATCH(I75,16_LISTAS!$D$4:$D$9,0))-IF(F75="",0,IF(F75&lt;=IF(J75="S",18,12),0,IF(F75&lt;=IF(J75="S",30,24),1,2))))))</f>
        <v/>
      </c>
      <c r="S75" s="9"/>
      <c r="T75" s="9"/>
      <c r="U75" s="9"/>
    </row>
    <row r="76" customFormat="false" ht="15" hidden="false" customHeight="false" outlineLevel="0" collapsed="false">
      <c r="A76" s="9"/>
      <c r="B76" s="9"/>
      <c r="C76" s="21" t="str">
        <f aca="false">IF(A76="","",01_CONFIG!$B$4)</f>
        <v/>
      </c>
      <c r="D76" s="44" t="str">
        <f aca="false">IF(A76="","",01_CONFIG!$B$7)</f>
        <v/>
      </c>
      <c r="E76" s="11"/>
      <c r="F76" s="16" t="str">
        <f aca="false">IF(OR(E76="",D76=""),"",(YEAR(D76)-YEAR(E76))*12+MONTH(D76)-MONTH(E76))</f>
        <v/>
      </c>
      <c r="G76" s="16" t="str">
        <f aca="false">IF(OR(E76="",D76=""),"",IF(E76&gt;D76,"EXCLUIR","OK"))</f>
        <v/>
      </c>
      <c r="H76" s="9"/>
      <c r="I76" s="45" t="str">
        <f aca="false">IF(H76="","",IFERROR(INDEX(12_FUENTES!$B$2:$B$301,MATCH(H76,12_FUENTES!$A$2:$A$301,0)),"FUENTE NO REGISTRADA"))</f>
        <v/>
      </c>
      <c r="J76" s="9"/>
      <c r="K76" s="9"/>
      <c r="L76" s="9"/>
      <c r="M76" s="9"/>
      <c r="N76" s="9"/>
      <c r="O76" s="9"/>
      <c r="P76" s="9"/>
      <c r="Q76" s="9"/>
      <c r="R76" s="16" t="str">
        <f aca="false">IF(OR(I76="",I76="FUENTE NO REGISTRADA"),"",INDEX(16_LISTAS!$A$4:$A$8,MAX(1,INDEX(16_LISTAS!$E$4:$E$9,MATCH(I76,16_LISTAS!$D$4:$D$9,0))-IF(F76="",0,IF(F76&lt;=IF(J76="S",18,12),0,IF(F76&lt;=IF(J76="S",30,24),1,2))))))</f>
        <v/>
      </c>
      <c r="S76" s="9"/>
      <c r="T76" s="9"/>
      <c r="U76" s="9"/>
    </row>
    <row r="77" customFormat="false" ht="15" hidden="false" customHeight="false" outlineLevel="0" collapsed="false">
      <c r="A77" s="9"/>
      <c r="B77" s="9"/>
      <c r="C77" s="21" t="str">
        <f aca="false">IF(A77="","",01_CONFIG!$B$4)</f>
        <v/>
      </c>
      <c r="D77" s="44" t="str">
        <f aca="false">IF(A77="","",01_CONFIG!$B$7)</f>
        <v/>
      </c>
      <c r="E77" s="11"/>
      <c r="F77" s="16" t="str">
        <f aca="false">IF(OR(E77="",D77=""),"",(YEAR(D77)-YEAR(E77))*12+MONTH(D77)-MONTH(E77))</f>
        <v/>
      </c>
      <c r="G77" s="16" t="str">
        <f aca="false">IF(OR(E77="",D77=""),"",IF(E77&gt;D77,"EXCLUIR","OK"))</f>
        <v/>
      </c>
      <c r="H77" s="9"/>
      <c r="I77" s="45" t="str">
        <f aca="false">IF(H77="","",IFERROR(INDEX(12_FUENTES!$B$2:$B$301,MATCH(H77,12_FUENTES!$A$2:$A$301,0)),"FUENTE NO REGISTRADA"))</f>
        <v/>
      </c>
      <c r="J77" s="9"/>
      <c r="K77" s="9"/>
      <c r="L77" s="9"/>
      <c r="M77" s="9"/>
      <c r="N77" s="9"/>
      <c r="O77" s="9"/>
      <c r="P77" s="9"/>
      <c r="Q77" s="9"/>
      <c r="R77" s="16" t="str">
        <f aca="false">IF(OR(I77="",I77="FUENTE NO REGISTRADA"),"",INDEX(16_LISTAS!$A$4:$A$8,MAX(1,INDEX(16_LISTAS!$E$4:$E$9,MATCH(I77,16_LISTAS!$D$4:$D$9,0))-IF(F77="",0,IF(F77&lt;=IF(J77="S",18,12),0,IF(F77&lt;=IF(J77="S",30,24),1,2))))))</f>
        <v/>
      </c>
      <c r="S77" s="9"/>
      <c r="T77" s="9"/>
      <c r="U77" s="9"/>
    </row>
    <row r="78" customFormat="false" ht="15" hidden="false" customHeight="false" outlineLevel="0" collapsed="false">
      <c r="A78" s="9"/>
      <c r="B78" s="9"/>
      <c r="C78" s="21" t="str">
        <f aca="false">IF(A78="","",01_CONFIG!$B$4)</f>
        <v/>
      </c>
      <c r="D78" s="44" t="str">
        <f aca="false">IF(A78="","",01_CONFIG!$B$7)</f>
        <v/>
      </c>
      <c r="E78" s="11"/>
      <c r="F78" s="16" t="str">
        <f aca="false">IF(OR(E78="",D78=""),"",(YEAR(D78)-YEAR(E78))*12+MONTH(D78)-MONTH(E78))</f>
        <v/>
      </c>
      <c r="G78" s="16" t="str">
        <f aca="false">IF(OR(E78="",D78=""),"",IF(E78&gt;D78,"EXCLUIR","OK"))</f>
        <v/>
      </c>
      <c r="H78" s="9"/>
      <c r="I78" s="45" t="str">
        <f aca="false">IF(H78="","",IFERROR(INDEX(12_FUENTES!$B$2:$B$301,MATCH(H78,12_FUENTES!$A$2:$A$301,0)),"FUENTE NO REGISTRADA"))</f>
        <v/>
      </c>
      <c r="J78" s="9"/>
      <c r="K78" s="9"/>
      <c r="L78" s="9"/>
      <c r="M78" s="9"/>
      <c r="N78" s="9"/>
      <c r="O78" s="9"/>
      <c r="P78" s="9"/>
      <c r="Q78" s="9"/>
      <c r="R78" s="16" t="str">
        <f aca="false">IF(OR(I78="",I78="FUENTE NO REGISTRADA"),"",INDEX(16_LISTAS!$A$4:$A$8,MAX(1,INDEX(16_LISTAS!$E$4:$E$9,MATCH(I78,16_LISTAS!$D$4:$D$9,0))-IF(F78="",0,IF(F78&lt;=IF(J78="S",18,12),0,IF(F78&lt;=IF(J78="S",30,24),1,2))))))</f>
        <v/>
      </c>
      <c r="S78" s="9"/>
      <c r="T78" s="9"/>
      <c r="U78" s="9"/>
    </row>
    <row r="79" customFormat="false" ht="15" hidden="false" customHeight="false" outlineLevel="0" collapsed="false">
      <c r="A79" s="9"/>
      <c r="B79" s="9"/>
      <c r="C79" s="21" t="str">
        <f aca="false">IF(A79="","",01_CONFIG!$B$4)</f>
        <v/>
      </c>
      <c r="D79" s="44" t="str">
        <f aca="false">IF(A79="","",01_CONFIG!$B$7)</f>
        <v/>
      </c>
      <c r="E79" s="11"/>
      <c r="F79" s="16" t="str">
        <f aca="false">IF(OR(E79="",D79=""),"",(YEAR(D79)-YEAR(E79))*12+MONTH(D79)-MONTH(E79))</f>
        <v/>
      </c>
      <c r="G79" s="16" t="str">
        <f aca="false">IF(OR(E79="",D79=""),"",IF(E79&gt;D79,"EXCLUIR","OK"))</f>
        <v/>
      </c>
      <c r="H79" s="9"/>
      <c r="I79" s="45" t="str">
        <f aca="false">IF(H79="","",IFERROR(INDEX(12_FUENTES!$B$2:$B$301,MATCH(H79,12_FUENTES!$A$2:$A$301,0)),"FUENTE NO REGISTRADA"))</f>
        <v/>
      </c>
      <c r="J79" s="9"/>
      <c r="K79" s="9"/>
      <c r="L79" s="9"/>
      <c r="M79" s="9"/>
      <c r="N79" s="9"/>
      <c r="O79" s="9"/>
      <c r="P79" s="9"/>
      <c r="Q79" s="9"/>
      <c r="R79" s="16" t="str">
        <f aca="false">IF(OR(I79="",I79="FUENTE NO REGISTRADA"),"",INDEX(16_LISTAS!$A$4:$A$8,MAX(1,INDEX(16_LISTAS!$E$4:$E$9,MATCH(I79,16_LISTAS!$D$4:$D$9,0))-IF(F79="",0,IF(F79&lt;=IF(J79="S",18,12),0,IF(F79&lt;=IF(J79="S",30,24),1,2))))))</f>
        <v/>
      </c>
      <c r="S79" s="9"/>
      <c r="T79" s="9"/>
      <c r="U79" s="9"/>
    </row>
    <row r="80" customFormat="false" ht="15" hidden="false" customHeight="false" outlineLevel="0" collapsed="false">
      <c r="A80" s="9"/>
      <c r="B80" s="9"/>
      <c r="C80" s="21" t="str">
        <f aca="false">IF(A80="","",01_CONFIG!$B$4)</f>
        <v/>
      </c>
      <c r="D80" s="44" t="str">
        <f aca="false">IF(A80="","",01_CONFIG!$B$7)</f>
        <v/>
      </c>
      <c r="E80" s="11"/>
      <c r="F80" s="16" t="str">
        <f aca="false">IF(OR(E80="",D80=""),"",(YEAR(D80)-YEAR(E80))*12+MONTH(D80)-MONTH(E80))</f>
        <v/>
      </c>
      <c r="G80" s="16" t="str">
        <f aca="false">IF(OR(E80="",D80=""),"",IF(E80&gt;D80,"EXCLUIR","OK"))</f>
        <v/>
      </c>
      <c r="H80" s="9"/>
      <c r="I80" s="45" t="str">
        <f aca="false">IF(H80="","",IFERROR(INDEX(12_FUENTES!$B$2:$B$301,MATCH(H80,12_FUENTES!$A$2:$A$301,0)),"FUENTE NO REGISTRADA"))</f>
        <v/>
      </c>
      <c r="J80" s="9"/>
      <c r="K80" s="9"/>
      <c r="L80" s="9"/>
      <c r="M80" s="9"/>
      <c r="N80" s="9"/>
      <c r="O80" s="9"/>
      <c r="P80" s="9"/>
      <c r="Q80" s="9"/>
      <c r="R80" s="16" t="str">
        <f aca="false">IF(OR(I80="",I80="FUENTE NO REGISTRADA"),"",INDEX(16_LISTAS!$A$4:$A$8,MAX(1,INDEX(16_LISTAS!$E$4:$E$9,MATCH(I80,16_LISTAS!$D$4:$D$9,0))-IF(F80="",0,IF(F80&lt;=IF(J80="S",18,12),0,IF(F80&lt;=IF(J80="S",30,24),1,2))))))</f>
        <v/>
      </c>
      <c r="S80" s="9"/>
      <c r="T80" s="9"/>
      <c r="U80" s="9"/>
    </row>
    <row r="81" customFormat="false" ht="15" hidden="false" customHeight="false" outlineLevel="0" collapsed="false">
      <c r="A81" s="9"/>
      <c r="B81" s="9"/>
      <c r="C81" s="21" t="str">
        <f aca="false">IF(A81="","",01_CONFIG!$B$4)</f>
        <v/>
      </c>
      <c r="D81" s="44" t="str">
        <f aca="false">IF(A81="","",01_CONFIG!$B$7)</f>
        <v/>
      </c>
      <c r="E81" s="11"/>
      <c r="F81" s="16" t="str">
        <f aca="false">IF(OR(E81="",D81=""),"",(YEAR(D81)-YEAR(E81))*12+MONTH(D81)-MONTH(E81))</f>
        <v/>
      </c>
      <c r="G81" s="16" t="str">
        <f aca="false">IF(OR(E81="",D81=""),"",IF(E81&gt;D81,"EXCLUIR","OK"))</f>
        <v/>
      </c>
      <c r="H81" s="9"/>
      <c r="I81" s="45" t="str">
        <f aca="false">IF(H81="","",IFERROR(INDEX(12_FUENTES!$B$2:$B$301,MATCH(H81,12_FUENTES!$A$2:$A$301,0)),"FUENTE NO REGISTRADA"))</f>
        <v/>
      </c>
      <c r="J81" s="9"/>
      <c r="K81" s="9"/>
      <c r="L81" s="9"/>
      <c r="M81" s="9"/>
      <c r="N81" s="9"/>
      <c r="O81" s="9"/>
      <c r="P81" s="9"/>
      <c r="Q81" s="9"/>
      <c r="R81" s="16" t="str">
        <f aca="false">IF(OR(I81="",I81="FUENTE NO REGISTRADA"),"",INDEX(16_LISTAS!$A$4:$A$8,MAX(1,INDEX(16_LISTAS!$E$4:$E$9,MATCH(I81,16_LISTAS!$D$4:$D$9,0))-IF(F81="",0,IF(F81&lt;=IF(J81="S",18,12),0,IF(F81&lt;=IF(J81="S",30,24),1,2))))))</f>
        <v/>
      </c>
      <c r="S81" s="9"/>
      <c r="T81" s="9"/>
      <c r="U81" s="9"/>
    </row>
    <row r="82" customFormat="false" ht="15" hidden="false" customHeight="false" outlineLevel="0" collapsed="false">
      <c r="A82" s="9"/>
      <c r="B82" s="9"/>
      <c r="C82" s="21" t="str">
        <f aca="false">IF(A82="","",01_CONFIG!$B$4)</f>
        <v/>
      </c>
      <c r="D82" s="44" t="str">
        <f aca="false">IF(A82="","",01_CONFIG!$B$7)</f>
        <v/>
      </c>
      <c r="E82" s="11"/>
      <c r="F82" s="16" t="str">
        <f aca="false">IF(OR(E82="",D82=""),"",(YEAR(D82)-YEAR(E82))*12+MONTH(D82)-MONTH(E82))</f>
        <v/>
      </c>
      <c r="G82" s="16" t="str">
        <f aca="false">IF(OR(E82="",D82=""),"",IF(E82&gt;D82,"EXCLUIR","OK"))</f>
        <v/>
      </c>
      <c r="H82" s="9"/>
      <c r="I82" s="45" t="str">
        <f aca="false">IF(H82="","",IFERROR(INDEX(12_FUENTES!$B$2:$B$301,MATCH(H82,12_FUENTES!$A$2:$A$301,0)),"FUENTE NO REGISTRADA"))</f>
        <v/>
      </c>
      <c r="J82" s="9"/>
      <c r="K82" s="9"/>
      <c r="L82" s="9"/>
      <c r="M82" s="9"/>
      <c r="N82" s="9"/>
      <c r="O82" s="9"/>
      <c r="P82" s="9"/>
      <c r="Q82" s="9"/>
      <c r="R82" s="16" t="str">
        <f aca="false">IF(OR(I82="",I82="FUENTE NO REGISTRADA"),"",INDEX(16_LISTAS!$A$4:$A$8,MAX(1,INDEX(16_LISTAS!$E$4:$E$9,MATCH(I82,16_LISTAS!$D$4:$D$9,0))-IF(F82="",0,IF(F82&lt;=IF(J82="S",18,12),0,IF(F82&lt;=IF(J82="S",30,24),1,2))))))</f>
        <v/>
      </c>
      <c r="S82" s="9"/>
      <c r="T82" s="9"/>
      <c r="U82" s="9"/>
    </row>
    <row r="83" customFormat="false" ht="15" hidden="false" customHeight="false" outlineLevel="0" collapsed="false">
      <c r="A83" s="9"/>
      <c r="B83" s="9"/>
      <c r="C83" s="21" t="str">
        <f aca="false">IF(A83="","",01_CONFIG!$B$4)</f>
        <v/>
      </c>
      <c r="D83" s="44" t="str">
        <f aca="false">IF(A83="","",01_CONFIG!$B$7)</f>
        <v/>
      </c>
      <c r="E83" s="11"/>
      <c r="F83" s="16" t="str">
        <f aca="false">IF(OR(E83="",D83=""),"",(YEAR(D83)-YEAR(E83))*12+MONTH(D83)-MONTH(E83))</f>
        <v/>
      </c>
      <c r="G83" s="16" t="str">
        <f aca="false">IF(OR(E83="",D83=""),"",IF(E83&gt;D83,"EXCLUIR","OK"))</f>
        <v/>
      </c>
      <c r="H83" s="9"/>
      <c r="I83" s="45" t="str">
        <f aca="false">IF(H83="","",IFERROR(INDEX(12_FUENTES!$B$2:$B$301,MATCH(H83,12_FUENTES!$A$2:$A$301,0)),"FUENTE NO REGISTRADA"))</f>
        <v/>
      </c>
      <c r="J83" s="9"/>
      <c r="K83" s="9"/>
      <c r="L83" s="9"/>
      <c r="M83" s="9"/>
      <c r="N83" s="9"/>
      <c r="O83" s="9"/>
      <c r="P83" s="9"/>
      <c r="Q83" s="9"/>
      <c r="R83" s="16" t="str">
        <f aca="false">IF(OR(I83="",I83="FUENTE NO REGISTRADA"),"",INDEX(16_LISTAS!$A$4:$A$8,MAX(1,INDEX(16_LISTAS!$E$4:$E$9,MATCH(I83,16_LISTAS!$D$4:$D$9,0))-IF(F83="",0,IF(F83&lt;=IF(J83="S",18,12),0,IF(F83&lt;=IF(J83="S",30,24),1,2))))))</f>
        <v/>
      </c>
      <c r="S83" s="9"/>
      <c r="T83" s="9"/>
      <c r="U83" s="9"/>
    </row>
    <row r="84" customFormat="false" ht="15" hidden="false" customHeight="false" outlineLevel="0" collapsed="false">
      <c r="A84" s="9"/>
      <c r="B84" s="9"/>
      <c r="C84" s="21" t="str">
        <f aca="false">IF(A84="","",01_CONFIG!$B$4)</f>
        <v/>
      </c>
      <c r="D84" s="44" t="str">
        <f aca="false">IF(A84="","",01_CONFIG!$B$7)</f>
        <v/>
      </c>
      <c r="E84" s="11"/>
      <c r="F84" s="16" t="str">
        <f aca="false">IF(OR(E84="",D84=""),"",(YEAR(D84)-YEAR(E84))*12+MONTH(D84)-MONTH(E84))</f>
        <v/>
      </c>
      <c r="G84" s="16" t="str">
        <f aca="false">IF(OR(E84="",D84=""),"",IF(E84&gt;D84,"EXCLUIR","OK"))</f>
        <v/>
      </c>
      <c r="H84" s="9"/>
      <c r="I84" s="45" t="str">
        <f aca="false">IF(H84="","",IFERROR(INDEX(12_FUENTES!$B$2:$B$301,MATCH(H84,12_FUENTES!$A$2:$A$301,0)),"FUENTE NO REGISTRADA"))</f>
        <v/>
      </c>
      <c r="J84" s="9"/>
      <c r="K84" s="9"/>
      <c r="L84" s="9"/>
      <c r="M84" s="9"/>
      <c r="N84" s="9"/>
      <c r="O84" s="9"/>
      <c r="P84" s="9"/>
      <c r="Q84" s="9"/>
      <c r="R84" s="16" t="str">
        <f aca="false">IF(OR(I84="",I84="FUENTE NO REGISTRADA"),"",INDEX(16_LISTAS!$A$4:$A$8,MAX(1,INDEX(16_LISTAS!$E$4:$E$9,MATCH(I84,16_LISTAS!$D$4:$D$9,0))-IF(F84="",0,IF(F84&lt;=IF(J84="S",18,12),0,IF(F84&lt;=IF(J84="S",30,24),1,2))))))</f>
        <v/>
      </c>
      <c r="S84" s="9"/>
      <c r="T84" s="9"/>
      <c r="U84" s="9"/>
    </row>
    <row r="85" customFormat="false" ht="15" hidden="false" customHeight="false" outlineLevel="0" collapsed="false">
      <c r="A85" s="9"/>
      <c r="B85" s="9"/>
      <c r="C85" s="21" t="str">
        <f aca="false">IF(A85="","",01_CONFIG!$B$4)</f>
        <v/>
      </c>
      <c r="D85" s="44" t="str">
        <f aca="false">IF(A85="","",01_CONFIG!$B$7)</f>
        <v/>
      </c>
      <c r="E85" s="11"/>
      <c r="F85" s="16" t="str">
        <f aca="false">IF(OR(E85="",D85=""),"",(YEAR(D85)-YEAR(E85))*12+MONTH(D85)-MONTH(E85))</f>
        <v/>
      </c>
      <c r="G85" s="16" t="str">
        <f aca="false">IF(OR(E85="",D85=""),"",IF(E85&gt;D85,"EXCLUIR","OK"))</f>
        <v/>
      </c>
      <c r="H85" s="9"/>
      <c r="I85" s="45" t="str">
        <f aca="false">IF(H85="","",IFERROR(INDEX(12_FUENTES!$B$2:$B$301,MATCH(H85,12_FUENTES!$A$2:$A$301,0)),"FUENTE NO REGISTRADA"))</f>
        <v/>
      </c>
      <c r="J85" s="9"/>
      <c r="K85" s="9"/>
      <c r="L85" s="9"/>
      <c r="M85" s="9"/>
      <c r="N85" s="9"/>
      <c r="O85" s="9"/>
      <c r="P85" s="9"/>
      <c r="Q85" s="9"/>
      <c r="R85" s="16" t="str">
        <f aca="false">IF(OR(I85="",I85="FUENTE NO REGISTRADA"),"",INDEX(16_LISTAS!$A$4:$A$8,MAX(1,INDEX(16_LISTAS!$E$4:$E$9,MATCH(I85,16_LISTAS!$D$4:$D$9,0))-IF(F85="",0,IF(F85&lt;=IF(J85="S",18,12),0,IF(F85&lt;=IF(J85="S",30,24),1,2))))))</f>
        <v/>
      </c>
      <c r="S85" s="9"/>
      <c r="T85" s="9"/>
      <c r="U85" s="9"/>
    </row>
    <row r="86" customFormat="false" ht="15" hidden="false" customHeight="false" outlineLevel="0" collapsed="false">
      <c r="A86" s="9"/>
      <c r="B86" s="9"/>
      <c r="C86" s="21" t="str">
        <f aca="false">IF(A86="","",01_CONFIG!$B$4)</f>
        <v/>
      </c>
      <c r="D86" s="44" t="str">
        <f aca="false">IF(A86="","",01_CONFIG!$B$7)</f>
        <v/>
      </c>
      <c r="E86" s="11"/>
      <c r="F86" s="16" t="str">
        <f aca="false">IF(OR(E86="",D86=""),"",(YEAR(D86)-YEAR(E86))*12+MONTH(D86)-MONTH(E86))</f>
        <v/>
      </c>
      <c r="G86" s="16" t="str">
        <f aca="false">IF(OR(E86="",D86=""),"",IF(E86&gt;D86,"EXCLUIR","OK"))</f>
        <v/>
      </c>
      <c r="H86" s="9"/>
      <c r="I86" s="45" t="str">
        <f aca="false">IF(H86="","",IFERROR(INDEX(12_FUENTES!$B$2:$B$301,MATCH(H86,12_FUENTES!$A$2:$A$301,0)),"FUENTE NO REGISTRADA"))</f>
        <v/>
      </c>
      <c r="J86" s="9"/>
      <c r="K86" s="9"/>
      <c r="L86" s="9"/>
      <c r="M86" s="9"/>
      <c r="N86" s="9"/>
      <c r="O86" s="9"/>
      <c r="P86" s="9"/>
      <c r="Q86" s="9"/>
      <c r="R86" s="16" t="str">
        <f aca="false">IF(OR(I86="",I86="FUENTE NO REGISTRADA"),"",INDEX(16_LISTAS!$A$4:$A$8,MAX(1,INDEX(16_LISTAS!$E$4:$E$9,MATCH(I86,16_LISTAS!$D$4:$D$9,0))-IF(F86="",0,IF(F86&lt;=IF(J86="S",18,12),0,IF(F86&lt;=IF(J86="S",30,24),1,2))))))</f>
        <v/>
      </c>
      <c r="S86" s="9"/>
      <c r="T86" s="9"/>
      <c r="U86" s="9"/>
    </row>
    <row r="87" customFormat="false" ht="15" hidden="false" customHeight="false" outlineLevel="0" collapsed="false">
      <c r="A87" s="9"/>
      <c r="B87" s="9"/>
      <c r="C87" s="21" t="str">
        <f aca="false">IF(A87="","",01_CONFIG!$B$4)</f>
        <v/>
      </c>
      <c r="D87" s="44" t="str">
        <f aca="false">IF(A87="","",01_CONFIG!$B$7)</f>
        <v/>
      </c>
      <c r="E87" s="11"/>
      <c r="F87" s="16" t="str">
        <f aca="false">IF(OR(E87="",D87=""),"",(YEAR(D87)-YEAR(E87))*12+MONTH(D87)-MONTH(E87))</f>
        <v/>
      </c>
      <c r="G87" s="16" t="str">
        <f aca="false">IF(OR(E87="",D87=""),"",IF(E87&gt;D87,"EXCLUIR","OK"))</f>
        <v/>
      </c>
      <c r="H87" s="9"/>
      <c r="I87" s="45" t="str">
        <f aca="false">IF(H87="","",IFERROR(INDEX(12_FUENTES!$B$2:$B$301,MATCH(H87,12_FUENTES!$A$2:$A$301,0)),"FUENTE NO REGISTRADA"))</f>
        <v/>
      </c>
      <c r="J87" s="9"/>
      <c r="K87" s="9"/>
      <c r="L87" s="9"/>
      <c r="M87" s="9"/>
      <c r="N87" s="9"/>
      <c r="O87" s="9"/>
      <c r="P87" s="9"/>
      <c r="Q87" s="9"/>
      <c r="R87" s="16" t="str">
        <f aca="false">IF(OR(I87="",I87="FUENTE NO REGISTRADA"),"",INDEX(16_LISTAS!$A$4:$A$8,MAX(1,INDEX(16_LISTAS!$E$4:$E$9,MATCH(I87,16_LISTAS!$D$4:$D$9,0))-IF(F87="",0,IF(F87&lt;=IF(J87="S",18,12),0,IF(F87&lt;=IF(J87="S",30,24),1,2))))))</f>
        <v/>
      </c>
      <c r="S87" s="9"/>
      <c r="T87" s="9"/>
      <c r="U87" s="9"/>
    </row>
    <row r="88" customFormat="false" ht="15" hidden="false" customHeight="false" outlineLevel="0" collapsed="false">
      <c r="A88" s="9"/>
      <c r="B88" s="9"/>
      <c r="C88" s="21" t="str">
        <f aca="false">IF(A88="","",01_CONFIG!$B$4)</f>
        <v/>
      </c>
      <c r="D88" s="44" t="str">
        <f aca="false">IF(A88="","",01_CONFIG!$B$7)</f>
        <v/>
      </c>
      <c r="E88" s="11"/>
      <c r="F88" s="16" t="str">
        <f aca="false">IF(OR(E88="",D88=""),"",(YEAR(D88)-YEAR(E88))*12+MONTH(D88)-MONTH(E88))</f>
        <v/>
      </c>
      <c r="G88" s="16" t="str">
        <f aca="false">IF(OR(E88="",D88=""),"",IF(E88&gt;D88,"EXCLUIR","OK"))</f>
        <v/>
      </c>
      <c r="H88" s="9"/>
      <c r="I88" s="45" t="str">
        <f aca="false">IF(H88="","",IFERROR(INDEX(12_FUENTES!$B$2:$B$301,MATCH(H88,12_FUENTES!$A$2:$A$301,0)),"FUENTE NO REGISTRADA"))</f>
        <v/>
      </c>
      <c r="J88" s="9"/>
      <c r="K88" s="9"/>
      <c r="L88" s="9"/>
      <c r="M88" s="9"/>
      <c r="N88" s="9"/>
      <c r="O88" s="9"/>
      <c r="P88" s="9"/>
      <c r="Q88" s="9"/>
      <c r="R88" s="16" t="str">
        <f aca="false">IF(OR(I88="",I88="FUENTE NO REGISTRADA"),"",INDEX(16_LISTAS!$A$4:$A$8,MAX(1,INDEX(16_LISTAS!$E$4:$E$9,MATCH(I88,16_LISTAS!$D$4:$D$9,0))-IF(F88="",0,IF(F88&lt;=IF(J88="S",18,12),0,IF(F88&lt;=IF(J88="S",30,24),1,2))))))</f>
        <v/>
      </c>
      <c r="S88" s="9"/>
      <c r="T88" s="9"/>
      <c r="U88" s="9"/>
    </row>
    <row r="89" customFormat="false" ht="15" hidden="false" customHeight="false" outlineLevel="0" collapsed="false">
      <c r="A89" s="9"/>
      <c r="B89" s="9"/>
      <c r="C89" s="21" t="str">
        <f aca="false">IF(A89="","",01_CONFIG!$B$4)</f>
        <v/>
      </c>
      <c r="D89" s="44" t="str">
        <f aca="false">IF(A89="","",01_CONFIG!$B$7)</f>
        <v/>
      </c>
      <c r="E89" s="11"/>
      <c r="F89" s="16" t="str">
        <f aca="false">IF(OR(E89="",D89=""),"",(YEAR(D89)-YEAR(E89))*12+MONTH(D89)-MONTH(E89))</f>
        <v/>
      </c>
      <c r="G89" s="16" t="str">
        <f aca="false">IF(OR(E89="",D89=""),"",IF(E89&gt;D89,"EXCLUIR","OK"))</f>
        <v/>
      </c>
      <c r="H89" s="9"/>
      <c r="I89" s="45" t="str">
        <f aca="false">IF(H89="","",IFERROR(INDEX(12_FUENTES!$B$2:$B$301,MATCH(H89,12_FUENTES!$A$2:$A$301,0)),"FUENTE NO REGISTRADA"))</f>
        <v/>
      </c>
      <c r="J89" s="9"/>
      <c r="K89" s="9"/>
      <c r="L89" s="9"/>
      <c r="M89" s="9"/>
      <c r="N89" s="9"/>
      <c r="O89" s="9"/>
      <c r="P89" s="9"/>
      <c r="Q89" s="9"/>
      <c r="R89" s="16" t="str">
        <f aca="false">IF(OR(I89="",I89="FUENTE NO REGISTRADA"),"",INDEX(16_LISTAS!$A$4:$A$8,MAX(1,INDEX(16_LISTAS!$E$4:$E$9,MATCH(I89,16_LISTAS!$D$4:$D$9,0))-IF(F89="",0,IF(F89&lt;=IF(J89="S",18,12),0,IF(F89&lt;=IF(J89="S",30,24),1,2))))))</f>
        <v/>
      </c>
      <c r="S89" s="9"/>
      <c r="T89" s="9"/>
      <c r="U89" s="9"/>
    </row>
    <row r="90" customFormat="false" ht="15" hidden="false" customHeight="false" outlineLevel="0" collapsed="false">
      <c r="A90" s="9"/>
      <c r="B90" s="9"/>
      <c r="C90" s="21" t="str">
        <f aca="false">IF(A90="","",01_CONFIG!$B$4)</f>
        <v/>
      </c>
      <c r="D90" s="44" t="str">
        <f aca="false">IF(A90="","",01_CONFIG!$B$7)</f>
        <v/>
      </c>
      <c r="E90" s="11"/>
      <c r="F90" s="16" t="str">
        <f aca="false">IF(OR(E90="",D90=""),"",(YEAR(D90)-YEAR(E90))*12+MONTH(D90)-MONTH(E90))</f>
        <v/>
      </c>
      <c r="G90" s="16" t="str">
        <f aca="false">IF(OR(E90="",D90=""),"",IF(E90&gt;D90,"EXCLUIR","OK"))</f>
        <v/>
      </c>
      <c r="H90" s="9"/>
      <c r="I90" s="45" t="str">
        <f aca="false">IF(H90="","",IFERROR(INDEX(12_FUENTES!$B$2:$B$301,MATCH(H90,12_FUENTES!$A$2:$A$301,0)),"FUENTE NO REGISTRADA"))</f>
        <v/>
      </c>
      <c r="J90" s="9"/>
      <c r="K90" s="9"/>
      <c r="L90" s="9"/>
      <c r="M90" s="9"/>
      <c r="N90" s="9"/>
      <c r="O90" s="9"/>
      <c r="P90" s="9"/>
      <c r="Q90" s="9"/>
      <c r="R90" s="16" t="str">
        <f aca="false">IF(OR(I90="",I90="FUENTE NO REGISTRADA"),"",INDEX(16_LISTAS!$A$4:$A$8,MAX(1,INDEX(16_LISTAS!$E$4:$E$9,MATCH(I90,16_LISTAS!$D$4:$D$9,0))-IF(F90="",0,IF(F90&lt;=IF(J90="S",18,12),0,IF(F90&lt;=IF(J90="S",30,24),1,2))))))</f>
        <v/>
      </c>
      <c r="S90" s="9"/>
      <c r="T90" s="9"/>
      <c r="U90" s="9"/>
    </row>
    <row r="91" customFormat="false" ht="15" hidden="false" customHeight="false" outlineLevel="0" collapsed="false">
      <c r="A91" s="9"/>
      <c r="B91" s="9"/>
      <c r="C91" s="21" t="str">
        <f aca="false">IF(A91="","",01_CONFIG!$B$4)</f>
        <v/>
      </c>
      <c r="D91" s="44" t="str">
        <f aca="false">IF(A91="","",01_CONFIG!$B$7)</f>
        <v/>
      </c>
      <c r="E91" s="11"/>
      <c r="F91" s="16" t="str">
        <f aca="false">IF(OR(E91="",D91=""),"",(YEAR(D91)-YEAR(E91))*12+MONTH(D91)-MONTH(E91))</f>
        <v/>
      </c>
      <c r="G91" s="16" t="str">
        <f aca="false">IF(OR(E91="",D91=""),"",IF(E91&gt;D91,"EXCLUIR","OK"))</f>
        <v/>
      </c>
      <c r="H91" s="9"/>
      <c r="I91" s="45" t="str">
        <f aca="false">IF(H91="","",IFERROR(INDEX(12_FUENTES!$B$2:$B$301,MATCH(H91,12_FUENTES!$A$2:$A$301,0)),"FUENTE NO REGISTRADA"))</f>
        <v/>
      </c>
      <c r="J91" s="9"/>
      <c r="K91" s="9"/>
      <c r="L91" s="9"/>
      <c r="M91" s="9"/>
      <c r="N91" s="9"/>
      <c r="O91" s="9"/>
      <c r="P91" s="9"/>
      <c r="Q91" s="9"/>
      <c r="R91" s="16" t="str">
        <f aca="false">IF(OR(I91="",I91="FUENTE NO REGISTRADA"),"",INDEX(16_LISTAS!$A$4:$A$8,MAX(1,INDEX(16_LISTAS!$E$4:$E$9,MATCH(I91,16_LISTAS!$D$4:$D$9,0))-IF(F91="",0,IF(F91&lt;=IF(J91="S",18,12),0,IF(F91&lt;=IF(J91="S",30,24),1,2))))))</f>
        <v/>
      </c>
      <c r="S91" s="9"/>
      <c r="T91" s="9"/>
      <c r="U91" s="9"/>
    </row>
    <row r="92" customFormat="false" ht="15" hidden="false" customHeight="false" outlineLevel="0" collapsed="false">
      <c r="A92" s="9"/>
      <c r="B92" s="9"/>
      <c r="C92" s="21" t="str">
        <f aca="false">IF(A92="","",01_CONFIG!$B$4)</f>
        <v/>
      </c>
      <c r="D92" s="44" t="str">
        <f aca="false">IF(A92="","",01_CONFIG!$B$7)</f>
        <v/>
      </c>
      <c r="E92" s="11"/>
      <c r="F92" s="16" t="str">
        <f aca="false">IF(OR(E92="",D92=""),"",(YEAR(D92)-YEAR(E92))*12+MONTH(D92)-MONTH(E92))</f>
        <v/>
      </c>
      <c r="G92" s="16" t="str">
        <f aca="false">IF(OR(E92="",D92=""),"",IF(E92&gt;D92,"EXCLUIR","OK"))</f>
        <v/>
      </c>
      <c r="H92" s="9"/>
      <c r="I92" s="45" t="str">
        <f aca="false">IF(H92="","",IFERROR(INDEX(12_FUENTES!$B$2:$B$301,MATCH(H92,12_FUENTES!$A$2:$A$301,0)),"FUENTE NO REGISTRADA"))</f>
        <v/>
      </c>
      <c r="J92" s="9"/>
      <c r="K92" s="9"/>
      <c r="L92" s="9"/>
      <c r="M92" s="9"/>
      <c r="N92" s="9"/>
      <c r="O92" s="9"/>
      <c r="P92" s="9"/>
      <c r="Q92" s="9"/>
      <c r="R92" s="16" t="str">
        <f aca="false">IF(OR(I92="",I92="FUENTE NO REGISTRADA"),"",INDEX(16_LISTAS!$A$4:$A$8,MAX(1,INDEX(16_LISTAS!$E$4:$E$9,MATCH(I92,16_LISTAS!$D$4:$D$9,0))-IF(F92="",0,IF(F92&lt;=IF(J92="S",18,12),0,IF(F92&lt;=IF(J92="S",30,24),1,2))))))</f>
        <v/>
      </c>
      <c r="S92" s="9"/>
      <c r="T92" s="9"/>
      <c r="U92" s="9"/>
    </row>
    <row r="93" customFormat="false" ht="15" hidden="false" customHeight="false" outlineLevel="0" collapsed="false">
      <c r="A93" s="9"/>
      <c r="B93" s="9"/>
      <c r="C93" s="21" t="str">
        <f aca="false">IF(A93="","",01_CONFIG!$B$4)</f>
        <v/>
      </c>
      <c r="D93" s="44" t="str">
        <f aca="false">IF(A93="","",01_CONFIG!$B$7)</f>
        <v/>
      </c>
      <c r="E93" s="11"/>
      <c r="F93" s="16" t="str">
        <f aca="false">IF(OR(E93="",D93=""),"",(YEAR(D93)-YEAR(E93))*12+MONTH(D93)-MONTH(E93))</f>
        <v/>
      </c>
      <c r="G93" s="16" t="str">
        <f aca="false">IF(OR(E93="",D93=""),"",IF(E93&gt;D93,"EXCLUIR","OK"))</f>
        <v/>
      </c>
      <c r="H93" s="9"/>
      <c r="I93" s="45" t="str">
        <f aca="false">IF(H93="","",IFERROR(INDEX(12_FUENTES!$B$2:$B$301,MATCH(H93,12_FUENTES!$A$2:$A$301,0)),"FUENTE NO REGISTRADA"))</f>
        <v/>
      </c>
      <c r="J93" s="9"/>
      <c r="K93" s="9"/>
      <c r="L93" s="9"/>
      <c r="M93" s="9"/>
      <c r="N93" s="9"/>
      <c r="O93" s="9"/>
      <c r="P93" s="9"/>
      <c r="Q93" s="9"/>
      <c r="R93" s="16" t="str">
        <f aca="false">IF(OR(I93="",I93="FUENTE NO REGISTRADA"),"",INDEX(16_LISTAS!$A$4:$A$8,MAX(1,INDEX(16_LISTAS!$E$4:$E$9,MATCH(I93,16_LISTAS!$D$4:$D$9,0))-IF(F93="",0,IF(F93&lt;=IF(J93="S",18,12),0,IF(F93&lt;=IF(J93="S",30,24),1,2))))))</f>
        <v/>
      </c>
      <c r="S93" s="9"/>
      <c r="T93" s="9"/>
      <c r="U93" s="9"/>
    </row>
    <row r="94" customFormat="false" ht="15" hidden="false" customHeight="false" outlineLevel="0" collapsed="false">
      <c r="A94" s="9"/>
      <c r="B94" s="9"/>
      <c r="C94" s="21" t="str">
        <f aca="false">IF(A94="","",01_CONFIG!$B$4)</f>
        <v/>
      </c>
      <c r="D94" s="44" t="str">
        <f aca="false">IF(A94="","",01_CONFIG!$B$7)</f>
        <v/>
      </c>
      <c r="E94" s="11"/>
      <c r="F94" s="16" t="str">
        <f aca="false">IF(OR(E94="",D94=""),"",(YEAR(D94)-YEAR(E94))*12+MONTH(D94)-MONTH(E94))</f>
        <v/>
      </c>
      <c r="G94" s="16" t="str">
        <f aca="false">IF(OR(E94="",D94=""),"",IF(E94&gt;D94,"EXCLUIR","OK"))</f>
        <v/>
      </c>
      <c r="H94" s="9"/>
      <c r="I94" s="45" t="str">
        <f aca="false">IF(H94="","",IFERROR(INDEX(12_FUENTES!$B$2:$B$301,MATCH(H94,12_FUENTES!$A$2:$A$301,0)),"FUENTE NO REGISTRADA"))</f>
        <v/>
      </c>
      <c r="J94" s="9"/>
      <c r="K94" s="9"/>
      <c r="L94" s="9"/>
      <c r="M94" s="9"/>
      <c r="N94" s="9"/>
      <c r="O94" s="9"/>
      <c r="P94" s="9"/>
      <c r="Q94" s="9"/>
      <c r="R94" s="16" t="str">
        <f aca="false">IF(OR(I94="",I94="FUENTE NO REGISTRADA"),"",INDEX(16_LISTAS!$A$4:$A$8,MAX(1,INDEX(16_LISTAS!$E$4:$E$9,MATCH(I94,16_LISTAS!$D$4:$D$9,0))-IF(F94="",0,IF(F94&lt;=IF(J94="S",18,12),0,IF(F94&lt;=IF(J94="S",30,24),1,2))))))</f>
        <v/>
      </c>
      <c r="S94" s="9"/>
      <c r="T94" s="9"/>
      <c r="U94" s="9"/>
    </row>
    <row r="95" customFormat="false" ht="15" hidden="false" customHeight="false" outlineLevel="0" collapsed="false">
      <c r="A95" s="9"/>
      <c r="B95" s="9"/>
      <c r="C95" s="21" t="str">
        <f aca="false">IF(A95="","",01_CONFIG!$B$4)</f>
        <v/>
      </c>
      <c r="D95" s="44" t="str">
        <f aca="false">IF(A95="","",01_CONFIG!$B$7)</f>
        <v/>
      </c>
      <c r="E95" s="11"/>
      <c r="F95" s="16" t="str">
        <f aca="false">IF(OR(E95="",D95=""),"",(YEAR(D95)-YEAR(E95))*12+MONTH(D95)-MONTH(E95))</f>
        <v/>
      </c>
      <c r="G95" s="16" t="str">
        <f aca="false">IF(OR(E95="",D95=""),"",IF(E95&gt;D95,"EXCLUIR","OK"))</f>
        <v/>
      </c>
      <c r="H95" s="9"/>
      <c r="I95" s="45" t="str">
        <f aca="false">IF(H95="","",IFERROR(INDEX(12_FUENTES!$B$2:$B$301,MATCH(H95,12_FUENTES!$A$2:$A$301,0)),"FUENTE NO REGISTRADA"))</f>
        <v/>
      </c>
      <c r="J95" s="9"/>
      <c r="K95" s="9"/>
      <c r="L95" s="9"/>
      <c r="M95" s="9"/>
      <c r="N95" s="9"/>
      <c r="O95" s="9"/>
      <c r="P95" s="9"/>
      <c r="Q95" s="9"/>
      <c r="R95" s="16" t="str">
        <f aca="false">IF(OR(I95="",I95="FUENTE NO REGISTRADA"),"",INDEX(16_LISTAS!$A$4:$A$8,MAX(1,INDEX(16_LISTAS!$E$4:$E$9,MATCH(I95,16_LISTAS!$D$4:$D$9,0))-IF(F95="",0,IF(F95&lt;=IF(J95="S",18,12),0,IF(F95&lt;=IF(J95="S",30,24),1,2))))))</f>
        <v/>
      </c>
      <c r="S95" s="9"/>
      <c r="T95" s="9"/>
      <c r="U95" s="9"/>
    </row>
    <row r="96" customFormat="false" ht="15" hidden="false" customHeight="false" outlineLevel="0" collapsed="false">
      <c r="A96" s="9"/>
      <c r="B96" s="9"/>
      <c r="C96" s="21" t="str">
        <f aca="false">IF(A96="","",01_CONFIG!$B$4)</f>
        <v/>
      </c>
      <c r="D96" s="44" t="str">
        <f aca="false">IF(A96="","",01_CONFIG!$B$7)</f>
        <v/>
      </c>
      <c r="E96" s="11"/>
      <c r="F96" s="16" t="str">
        <f aca="false">IF(OR(E96="",D96=""),"",(YEAR(D96)-YEAR(E96))*12+MONTH(D96)-MONTH(E96))</f>
        <v/>
      </c>
      <c r="G96" s="16" t="str">
        <f aca="false">IF(OR(E96="",D96=""),"",IF(E96&gt;D96,"EXCLUIR","OK"))</f>
        <v/>
      </c>
      <c r="H96" s="9"/>
      <c r="I96" s="45" t="str">
        <f aca="false">IF(H96="","",IFERROR(INDEX(12_FUENTES!$B$2:$B$301,MATCH(H96,12_FUENTES!$A$2:$A$301,0)),"FUENTE NO REGISTRADA"))</f>
        <v/>
      </c>
      <c r="J96" s="9"/>
      <c r="K96" s="9"/>
      <c r="L96" s="9"/>
      <c r="M96" s="9"/>
      <c r="N96" s="9"/>
      <c r="O96" s="9"/>
      <c r="P96" s="9"/>
      <c r="Q96" s="9"/>
      <c r="R96" s="16" t="str">
        <f aca="false">IF(OR(I96="",I96="FUENTE NO REGISTRADA"),"",INDEX(16_LISTAS!$A$4:$A$8,MAX(1,INDEX(16_LISTAS!$E$4:$E$9,MATCH(I96,16_LISTAS!$D$4:$D$9,0))-IF(F96="",0,IF(F96&lt;=IF(J96="S",18,12),0,IF(F96&lt;=IF(J96="S",30,24),1,2))))))</f>
        <v/>
      </c>
      <c r="S96" s="9"/>
      <c r="T96" s="9"/>
      <c r="U96" s="9"/>
    </row>
    <row r="97" customFormat="false" ht="15" hidden="false" customHeight="false" outlineLevel="0" collapsed="false">
      <c r="A97" s="9"/>
      <c r="B97" s="9"/>
      <c r="C97" s="21" t="str">
        <f aca="false">IF(A97="","",01_CONFIG!$B$4)</f>
        <v/>
      </c>
      <c r="D97" s="44" t="str">
        <f aca="false">IF(A97="","",01_CONFIG!$B$7)</f>
        <v/>
      </c>
      <c r="E97" s="11"/>
      <c r="F97" s="16" t="str">
        <f aca="false">IF(OR(E97="",D97=""),"",(YEAR(D97)-YEAR(E97))*12+MONTH(D97)-MONTH(E97))</f>
        <v/>
      </c>
      <c r="G97" s="16" t="str">
        <f aca="false">IF(OR(E97="",D97=""),"",IF(E97&gt;D97,"EXCLUIR","OK"))</f>
        <v/>
      </c>
      <c r="H97" s="9"/>
      <c r="I97" s="45" t="str">
        <f aca="false">IF(H97="","",IFERROR(INDEX(12_FUENTES!$B$2:$B$301,MATCH(H97,12_FUENTES!$A$2:$A$301,0)),"FUENTE NO REGISTRADA"))</f>
        <v/>
      </c>
      <c r="J97" s="9"/>
      <c r="K97" s="9"/>
      <c r="L97" s="9"/>
      <c r="M97" s="9"/>
      <c r="N97" s="9"/>
      <c r="O97" s="9"/>
      <c r="P97" s="9"/>
      <c r="Q97" s="9"/>
      <c r="R97" s="16" t="str">
        <f aca="false">IF(OR(I97="",I97="FUENTE NO REGISTRADA"),"",INDEX(16_LISTAS!$A$4:$A$8,MAX(1,INDEX(16_LISTAS!$E$4:$E$9,MATCH(I97,16_LISTAS!$D$4:$D$9,0))-IF(F97="",0,IF(F97&lt;=IF(J97="S",18,12),0,IF(F97&lt;=IF(J97="S",30,24),1,2))))))</f>
        <v/>
      </c>
      <c r="S97" s="9"/>
      <c r="T97" s="9"/>
      <c r="U97" s="9"/>
    </row>
    <row r="98" customFormat="false" ht="15" hidden="false" customHeight="false" outlineLevel="0" collapsed="false">
      <c r="A98" s="9"/>
      <c r="B98" s="9"/>
      <c r="C98" s="21" t="str">
        <f aca="false">IF(A98="","",01_CONFIG!$B$4)</f>
        <v/>
      </c>
      <c r="D98" s="44" t="str">
        <f aca="false">IF(A98="","",01_CONFIG!$B$7)</f>
        <v/>
      </c>
      <c r="E98" s="11"/>
      <c r="F98" s="16" t="str">
        <f aca="false">IF(OR(E98="",D98=""),"",(YEAR(D98)-YEAR(E98))*12+MONTH(D98)-MONTH(E98))</f>
        <v/>
      </c>
      <c r="G98" s="16" t="str">
        <f aca="false">IF(OR(E98="",D98=""),"",IF(E98&gt;D98,"EXCLUIR","OK"))</f>
        <v/>
      </c>
      <c r="H98" s="9"/>
      <c r="I98" s="45" t="str">
        <f aca="false">IF(H98="","",IFERROR(INDEX(12_FUENTES!$B$2:$B$301,MATCH(H98,12_FUENTES!$A$2:$A$301,0)),"FUENTE NO REGISTRADA"))</f>
        <v/>
      </c>
      <c r="J98" s="9"/>
      <c r="K98" s="9"/>
      <c r="L98" s="9"/>
      <c r="M98" s="9"/>
      <c r="N98" s="9"/>
      <c r="O98" s="9"/>
      <c r="P98" s="9"/>
      <c r="Q98" s="9"/>
      <c r="R98" s="16" t="str">
        <f aca="false">IF(OR(I98="",I98="FUENTE NO REGISTRADA"),"",INDEX(16_LISTAS!$A$4:$A$8,MAX(1,INDEX(16_LISTAS!$E$4:$E$9,MATCH(I98,16_LISTAS!$D$4:$D$9,0))-IF(F98="",0,IF(F98&lt;=IF(J98="S",18,12),0,IF(F98&lt;=IF(J98="S",30,24),1,2))))))</f>
        <v/>
      </c>
      <c r="S98" s="9"/>
      <c r="T98" s="9"/>
      <c r="U98" s="9"/>
    </row>
    <row r="99" customFormat="false" ht="15" hidden="false" customHeight="false" outlineLevel="0" collapsed="false">
      <c r="A99" s="9"/>
      <c r="B99" s="9"/>
      <c r="C99" s="21" t="str">
        <f aca="false">IF(A99="","",01_CONFIG!$B$4)</f>
        <v/>
      </c>
      <c r="D99" s="44" t="str">
        <f aca="false">IF(A99="","",01_CONFIG!$B$7)</f>
        <v/>
      </c>
      <c r="E99" s="11"/>
      <c r="F99" s="16" t="str">
        <f aca="false">IF(OR(E99="",D99=""),"",(YEAR(D99)-YEAR(E99))*12+MONTH(D99)-MONTH(E99))</f>
        <v/>
      </c>
      <c r="G99" s="16" t="str">
        <f aca="false">IF(OR(E99="",D99=""),"",IF(E99&gt;D99,"EXCLUIR","OK"))</f>
        <v/>
      </c>
      <c r="H99" s="9"/>
      <c r="I99" s="45" t="str">
        <f aca="false">IF(H99="","",IFERROR(INDEX(12_FUENTES!$B$2:$B$301,MATCH(H99,12_FUENTES!$A$2:$A$301,0)),"FUENTE NO REGISTRADA"))</f>
        <v/>
      </c>
      <c r="J99" s="9"/>
      <c r="K99" s="9"/>
      <c r="L99" s="9"/>
      <c r="M99" s="9"/>
      <c r="N99" s="9"/>
      <c r="O99" s="9"/>
      <c r="P99" s="9"/>
      <c r="Q99" s="9"/>
      <c r="R99" s="16" t="str">
        <f aca="false">IF(OR(I99="",I99="FUENTE NO REGISTRADA"),"",INDEX(16_LISTAS!$A$4:$A$8,MAX(1,INDEX(16_LISTAS!$E$4:$E$9,MATCH(I99,16_LISTAS!$D$4:$D$9,0))-IF(F99="",0,IF(F99&lt;=IF(J99="S",18,12),0,IF(F99&lt;=IF(J99="S",30,24),1,2))))))</f>
        <v/>
      </c>
      <c r="S99" s="9"/>
      <c r="T99" s="9"/>
      <c r="U99" s="9"/>
    </row>
    <row r="100" customFormat="false" ht="15" hidden="false" customHeight="false" outlineLevel="0" collapsed="false">
      <c r="A100" s="9"/>
      <c r="B100" s="9"/>
      <c r="C100" s="21" t="str">
        <f aca="false">IF(A100="","",01_CONFIG!$B$4)</f>
        <v/>
      </c>
      <c r="D100" s="44" t="str">
        <f aca="false">IF(A100="","",01_CONFIG!$B$7)</f>
        <v/>
      </c>
      <c r="E100" s="11"/>
      <c r="F100" s="16" t="str">
        <f aca="false">IF(OR(E100="",D100=""),"",(YEAR(D100)-YEAR(E100))*12+MONTH(D100)-MONTH(E100))</f>
        <v/>
      </c>
      <c r="G100" s="16" t="str">
        <f aca="false">IF(OR(E100="",D100=""),"",IF(E100&gt;D100,"EXCLUIR","OK"))</f>
        <v/>
      </c>
      <c r="H100" s="9"/>
      <c r="I100" s="45" t="str">
        <f aca="false">IF(H100="","",IFERROR(INDEX(12_FUENTES!$B$2:$B$301,MATCH(H100,12_FUENTES!$A$2:$A$301,0)),"FUENTE NO REGISTRADA"))</f>
        <v/>
      </c>
      <c r="J100" s="9"/>
      <c r="K100" s="9"/>
      <c r="L100" s="9"/>
      <c r="M100" s="9"/>
      <c r="N100" s="9"/>
      <c r="O100" s="9"/>
      <c r="P100" s="9"/>
      <c r="Q100" s="9"/>
      <c r="R100" s="16" t="str">
        <f aca="false">IF(OR(I100="",I100="FUENTE NO REGISTRADA"),"",INDEX(16_LISTAS!$A$4:$A$8,MAX(1,INDEX(16_LISTAS!$E$4:$E$9,MATCH(I100,16_LISTAS!$D$4:$D$9,0))-IF(F100="",0,IF(F100&lt;=IF(J100="S",18,12),0,IF(F100&lt;=IF(J100="S",30,24),1,2))))))</f>
        <v/>
      </c>
      <c r="S100" s="9"/>
      <c r="T100" s="9"/>
      <c r="U100" s="9"/>
    </row>
    <row r="101" customFormat="false" ht="15" hidden="false" customHeight="false" outlineLevel="0" collapsed="false">
      <c r="A101" s="9"/>
      <c r="B101" s="9"/>
      <c r="C101" s="21" t="str">
        <f aca="false">IF(A101="","",01_CONFIG!$B$4)</f>
        <v/>
      </c>
      <c r="D101" s="44" t="str">
        <f aca="false">IF(A101="","",01_CONFIG!$B$7)</f>
        <v/>
      </c>
      <c r="E101" s="11"/>
      <c r="F101" s="16" t="str">
        <f aca="false">IF(OR(E101="",D101=""),"",(YEAR(D101)-YEAR(E101))*12+MONTH(D101)-MONTH(E101))</f>
        <v/>
      </c>
      <c r="G101" s="16" t="str">
        <f aca="false">IF(OR(E101="",D101=""),"",IF(E101&gt;D101,"EXCLUIR","OK"))</f>
        <v/>
      </c>
      <c r="H101" s="9"/>
      <c r="I101" s="45" t="str">
        <f aca="false">IF(H101="","",IFERROR(INDEX(12_FUENTES!$B$2:$B$301,MATCH(H101,12_FUENTES!$A$2:$A$301,0)),"FUENTE NO REGISTRADA"))</f>
        <v/>
      </c>
      <c r="J101" s="9"/>
      <c r="K101" s="9"/>
      <c r="L101" s="9"/>
      <c r="M101" s="9"/>
      <c r="N101" s="9"/>
      <c r="O101" s="9"/>
      <c r="P101" s="9"/>
      <c r="Q101" s="9"/>
      <c r="R101" s="16" t="str">
        <f aca="false">IF(OR(I101="",I101="FUENTE NO REGISTRADA"),"",INDEX(16_LISTAS!$A$4:$A$8,MAX(1,INDEX(16_LISTAS!$E$4:$E$9,MATCH(I101,16_LISTAS!$D$4:$D$9,0))-IF(F101="",0,IF(F101&lt;=IF(J101="S",18,12),0,IF(F101&lt;=IF(J101="S",30,24),1,2))))))</f>
        <v/>
      </c>
      <c r="S101" s="9"/>
      <c r="T101" s="9"/>
      <c r="U101" s="9"/>
    </row>
    <row r="102" customFormat="false" ht="15" hidden="false" customHeight="false" outlineLevel="0" collapsed="false">
      <c r="A102" s="9"/>
      <c r="B102" s="9"/>
      <c r="C102" s="21" t="str">
        <f aca="false">IF(A102="","",01_CONFIG!$B$4)</f>
        <v/>
      </c>
      <c r="D102" s="44" t="str">
        <f aca="false">IF(A102="","",01_CONFIG!$B$7)</f>
        <v/>
      </c>
      <c r="E102" s="11"/>
      <c r="F102" s="16" t="str">
        <f aca="false">IF(OR(E102="",D102=""),"",(YEAR(D102)-YEAR(E102))*12+MONTH(D102)-MONTH(E102))</f>
        <v/>
      </c>
      <c r="G102" s="16" t="str">
        <f aca="false">IF(OR(E102="",D102=""),"",IF(E102&gt;D102,"EXCLUIR","OK"))</f>
        <v/>
      </c>
      <c r="H102" s="9"/>
      <c r="I102" s="45" t="str">
        <f aca="false">IF(H102="","",IFERROR(INDEX(12_FUENTES!$B$2:$B$301,MATCH(H102,12_FUENTES!$A$2:$A$301,0)),"FUENTE NO REGISTRADA"))</f>
        <v/>
      </c>
      <c r="J102" s="9"/>
      <c r="K102" s="9"/>
      <c r="L102" s="9"/>
      <c r="M102" s="9"/>
      <c r="N102" s="9"/>
      <c r="O102" s="9"/>
      <c r="P102" s="9"/>
      <c r="Q102" s="9"/>
      <c r="R102" s="16" t="str">
        <f aca="false">IF(OR(I102="",I102="FUENTE NO REGISTRADA"),"",INDEX(16_LISTAS!$A$4:$A$8,MAX(1,INDEX(16_LISTAS!$E$4:$E$9,MATCH(I102,16_LISTAS!$D$4:$D$9,0))-IF(F102="",0,IF(F102&lt;=IF(J102="S",18,12),0,IF(F102&lt;=IF(J102="S",30,24),1,2))))))</f>
        <v/>
      </c>
      <c r="S102" s="9"/>
      <c r="T102" s="9"/>
      <c r="U102" s="9"/>
    </row>
    <row r="103" customFormat="false" ht="15" hidden="false" customHeight="false" outlineLevel="0" collapsed="false">
      <c r="A103" s="9"/>
      <c r="B103" s="9"/>
      <c r="C103" s="21" t="str">
        <f aca="false">IF(A103="","",01_CONFIG!$B$4)</f>
        <v/>
      </c>
      <c r="D103" s="44" t="str">
        <f aca="false">IF(A103="","",01_CONFIG!$B$7)</f>
        <v/>
      </c>
      <c r="E103" s="11"/>
      <c r="F103" s="16" t="str">
        <f aca="false">IF(OR(E103="",D103=""),"",(YEAR(D103)-YEAR(E103))*12+MONTH(D103)-MONTH(E103))</f>
        <v/>
      </c>
      <c r="G103" s="16" t="str">
        <f aca="false">IF(OR(E103="",D103=""),"",IF(E103&gt;D103,"EXCLUIR","OK"))</f>
        <v/>
      </c>
      <c r="H103" s="9"/>
      <c r="I103" s="45" t="str">
        <f aca="false">IF(H103="","",IFERROR(INDEX(12_FUENTES!$B$2:$B$301,MATCH(H103,12_FUENTES!$A$2:$A$301,0)),"FUENTE NO REGISTRADA"))</f>
        <v/>
      </c>
      <c r="J103" s="9"/>
      <c r="K103" s="9"/>
      <c r="L103" s="9"/>
      <c r="M103" s="9"/>
      <c r="N103" s="9"/>
      <c r="O103" s="9"/>
      <c r="P103" s="9"/>
      <c r="Q103" s="9"/>
      <c r="R103" s="16" t="str">
        <f aca="false">IF(OR(I103="",I103="FUENTE NO REGISTRADA"),"",INDEX(16_LISTAS!$A$4:$A$8,MAX(1,INDEX(16_LISTAS!$E$4:$E$9,MATCH(I103,16_LISTAS!$D$4:$D$9,0))-IF(F103="",0,IF(F103&lt;=IF(J103="S",18,12),0,IF(F103&lt;=IF(J103="S",30,24),1,2))))))</f>
        <v/>
      </c>
      <c r="S103" s="9"/>
      <c r="T103" s="9"/>
      <c r="U103" s="9"/>
    </row>
    <row r="104" customFormat="false" ht="15" hidden="false" customHeight="false" outlineLevel="0" collapsed="false">
      <c r="A104" s="9"/>
      <c r="B104" s="9"/>
      <c r="C104" s="21" t="str">
        <f aca="false">IF(A104="","",01_CONFIG!$B$4)</f>
        <v/>
      </c>
      <c r="D104" s="44" t="str">
        <f aca="false">IF(A104="","",01_CONFIG!$B$7)</f>
        <v/>
      </c>
      <c r="E104" s="11"/>
      <c r="F104" s="16" t="str">
        <f aca="false">IF(OR(E104="",D104=""),"",(YEAR(D104)-YEAR(E104))*12+MONTH(D104)-MONTH(E104))</f>
        <v/>
      </c>
      <c r="G104" s="16" t="str">
        <f aca="false">IF(OR(E104="",D104=""),"",IF(E104&gt;D104,"EXCLUIR","OK"))</f>
        <v/>
      </c>
      <c r="H104" s="9"/>
      <c r="I104" s="45" t="str">
        <f aca="false">IF(H104="","",IFERROR(INDEX(12_FUENTES!$B$2:$B$301,MATCH(H104,12_FUENTES!$A$2:$A$301,0)),"FUENTE NO REGISTRADA"))</f>
        <v/>
      </c>
      <c r="J104" s="9"/>
      <c r="K104" s="9"/>
      <c r="L104" s="9"/>
      <c r="M104" s="9"/>
      <c r="N104" s="9"/>
      <c r="O104" s="9"/>
      <c r="P104" s="9"/>
      <c r="Q104" s="9"/>
      <c r="R104" s="16" t="str">
        <f aca="false">IF(OR(I104="",I104="FUENTE NO REGISTRADA"),"",INDEX(16_LISTAS!$A$4:$A$8,MAX(1,INDEX(16_LISTAS!$E$4:$E$9,MATCH(I104,16_LISTAS!$D$4:$D$9,0))-IF(F104="",0,IF(F104&lt;=IF(J104="S",18,12),0,IF(F104&lt;=IF(J104="S",30,24),1,2))))))</f>
        <v/>
      </c>
      <c r="S104" s="9"/>
      <c r="T104" s="9"/>
      <c r="U104" s="9"/>
    </row>
    <row r="105" customFormat="false" ht="15" hidden="false" customHeight="false" outlineLevel="0" collapsed="false">
      <c r="A105" s="9"/>
      <c r="B105" s="9"/>
      <c r="C105" s="21" t="str">
        <f aca="false">IF(A105="","",01_CONFIG!$B$4)</f>
        <v/>
      </c>
      <c r="D105" s="44" t="str">
        <f aca="false">IF(A105="","",01_CONFIG!$B$7)</f>
        <v/>
      </c>
      <c r="E105" s="11"/>
      <c r="F105" s="16" t="str">
        <f aca="false">IF(OR(E105="",D105=""),"",(YEAR(D105)-YEAR(E105))*12+MONTH(D105)-MONTH(E105))</f>
        <v/>
      </c>
      <c r="G105" s="16" t="str">
        <f aca="false">IF(OR(E105="",D105=""),"",IF(E105&gt;D105,"EXCLUIR","OK"))</f>
        <v/>
      </c>
      <c r="H105" s="9"/>
      <c r="I105" s="45" t="str">
        <f aca="false">IF(H105="","",IFERROR(INDEX(12_FUENTES!$B$2:$B$301,MATCH(H105,12_FUENTES!$A$2:$A$301,0)),"FUENTE NO REGISTRADA"))</f>
        <v/>
      </c>
      <c r="J105" s="9"/>
      <c r="K105" s="9"/>
      <c r="L105" s="9"/>
      <c r="M105" s="9"/>
      <c r="N105" s="9"/>
      <c r="O105" s="9"/>
      <c r="P105" s="9"/>
      <c r="Q105" s="9"/>
      <c r="R105" s="16" t="str">
        <f aca="false">IF(OR(I105="",I105="FUENTE NO REGISTRADA"),"",INDEX(16_LISTAS!$A$4:$A$8,MAX(1,INDEX(16_LISTAS!$E$4:$E$9,MATCH(I105,16_LISTAS!$D$4:$D$9,0))-IF(F105="",0,IF(F105&lt;=IF(J105="S",18,12),0,IF(F105&lt;=IF(J105="S",30,24),1,2))))))</f>
        <v/>
      </c>
      <c r="S105" s="9"/>
      <c r="T105" s="9"/>
      <c r="U105" s="9"/>
    </row>
    <row r="106" customFormat="false" ht="15" hidden="false" customHeight="false" outlineLevel="0" collapsed="false">
      <c r="A106" s="9"/>
      <c r="B106" s="9"/>
      <c r="C106" s="21" t="str">
        <f aca="false">IF(A106="","",01_CONFIG!$B$4)</f>
        <v/>
      </c>
      <c r="D106" s="44" t="str">
        <f aca="false">IF(A106="","",01_CONFIG!$B$7)</f>
        <v/>
      </c>
      <c r="E106" s="11"/>
      <c r="F106" s="16" t="str">
        <f aca="false">IF(OR(E106="",D106=""),"",(YEAR(D106)-YEAR(E106))*12+MONTH(D106)-MONTH(E106))</f>
        <v/>
      </c>
      <c r="G106" s="16" t="str">
        <f aca="false">IF(OR(E106="",D106=""),"",IF(E106&gt;D106,"EXCLUIR","OK"))</f>
        <v/>
      </c>
      <c r="H106" s="9"/>
      <c r="I106" s="45" t="str">
        <f aca="false">IF(H106="","",IFERROR(INDEX(12_FUENTES!$B$2:$B$301,MATCH(H106,12_FUENTES!$A$2:$A$301,0)),"FUENTE NO REGISTRADA"))</f>
        <v/>
      </c>
      <c r="J106" s="9"/>
      <c r="K106" s="9"/>
      <c r="L106" s="9"/>
      <c r="M106" s="9"/>
      <c r="N106" s="9"/>
      <c r="O106" s="9"/>
      <c r="P106" s="9"/>
      <c r="Q106" s="9"/>
      <c r="R106" s="16" t="str">
        <f aca="false">IF(OR(I106="",I106="FUENTE NO REGISTRADA"),"",INDEX(16_LISTAS!$A$4:$A$8,MAX(1,INDEX(16_LISTAS!$E$4:$E$9,MATCH(I106,16_LISTAS!$D$4:$D$9,0))-IF(F106="",0,IF(F106&lt;=IF(J106="S",18,12),0,IF(F106&lt;=IF(J106="S",30,24),1,2))))))</f>
        <v/>
      </c>
      <c r="S106" s="9"/>
      <c r="T106" s="9"/>
      <c r="U106" s="9"/>
    </row>
    <row r="107" customFormat="false" ht="15" hidden="false" customHeight="false" outlineLevel="0" collapsed="false">
      <c r="A107" s="9"/>
      <c r="B107" s="9"/>
      <c r="C107" s="21" t="str">
        <f aca="false">IF(A107="","",01_CONFIG!$B$4)</f>
        <v/>
      </c>
      <c r="D107" s="44" t="str">
        <f aca="false">IF(A107="","",01_CONFIG!$B$7)</f>
        <v/>
      </c>
      <c r="E107" s="11"/>
      <c r="F107" s="16" t="str">
        <f aca="false">IF(OR(E107="",D107=""),"",(YEAR(D107)-YEAR(E107))*12+MONTH(D107)-MONTH(E107))</f>
        <v/>
      </c>
      <c r="G107" s="16" t="str">
        <f aca="false">IF(OR(E107="",D107=""),"",IF(E107&gt;D107,"EXCLUIR","OK"))</f>
        <v/>
      </c>
      <c r="H107" s="9"/>
      <c r="I107" s="45" t="str">
        <f aca="false">IF(H107="","",IFERROR(INDEX(12_FUENTES!$B$2:$B$301,MATCH(H107,12_FUENTES!$A$2:$A$301,0)),"FUENTE NO REGISTRADA"))</f>
        <v/>
      </c>
      <c r="J107" s="9"/>
      <c r="K107" s="9"/>
      <c r="L107" s="9"/>
      <c r="M107" s="9"/>
      <c r="N107" s="9"/>
      <c r="O107" s="9"/>
      <c r="P107" s="9"/>
      <c r="Q107" s="9"/>
      <c r="R107" s="16" t="str">
        <f aca="false">IF(OR(I107="",I107="FUENTE NO REGISTRADA"),"",INDEX(16_LISTAS!$A$4:$A$8,MAX(1,INDEX(16_LISTAS!$E$4:$E$9,MATCH(I107,16_LISTAS!$D$4:$D$9,0))-IF(F107="",0,IF(F107&lt;=IF(J107="S",18,12),0,IF(F107&lt;=IF(J107="S",30,24),1,2))))))</f>
        <v/>
      </c>
      <c r="S107" s="9"/>
      <c r="T107" s="9"/>
      <c r="U107" s="9"/>
    </row>
    <row r="108" customFormat="false" ht="15" hidden="false" customHeight="false" outlineLevel="0" collapsed="false">
      <c r="A108" s="9"/>
      <c r="B108" s="9"/>
      <c r="C108" s="21" t="str">
        <f aca="false">IF(A108="","",01_CONFIG!$B$4)</f>
        <v/>
      </c>
      <c r="D108" s="44" t="str">
        <f aca="false">IF(A108="","",01_CONFIG!$B$7)</f>
        <v/>
      </c>
      <c r="E108" s="11"/>
      <c r="F108" s="16" t="str">
        <f aca="false">IF(OR(E108="",D108=""),"",(YEAR(D108)-YEAR(E108))*12+MONTH(D108)-MONTH(E108))</f>
        <v/>
      </c>
      <c r="G108" s="16" t="str">
        <f aca="false">IF(OR(E108="",D108=""),"",IF(E108&gt;D108,"EXCLUIR","OK"))</f>
        <v/>
      </c>
      <c r="H108" s="9"/>
      <c r="I108" s="45" t="str">
        <f aca="false">IF(H108="","",IFERROR(INDEX(12_FUENTES!$B$2:$B$301,MATCH(H108,12_FUENTES!$A$2:$A$301,0)),"FUENTE NO REGISTRADA"))</f>
        <v/>
      </c>
      <c r="J108" s="9"/>
      <c r="K108" s="9"/>
      <c r="L108" s="9"/>
      <c r="M108" s="9"/>
      <c r="N108" s="9"/>
      <c r="O108" s="9"/>
      <c r="P108" s="9"/>
      <c r="Q108" s="9"/>
      <c r="R108" s="16" t="str">
        <f aca="false">IF(OR(I108="",I108="FUENTE NO REGISTRADA"),"",INDEX(16_LISTAS!$A$4:$A$8,MAX(1,INDEX(16_LISTAS!$E$4:$E$9,MATCH(I108,16_LISTAS!$D$4:$D$9,0))-IF(F108="",0,IF(F108&lt;=IF(J108="S",18,12),0,IF(F108&lt;=IF(J108="S",30,24),1,2))))))</f>
        <v/>
      </c>
      <c r="S108" s="9"/>
      <c r="T108" s="9"/>
      <c r="U108" s="9"/>
    </row>
    <row r="109" customFormat="false" ht="15" hidden="false" customHeight="false" outlineLevel="0" collapsed="false">
      <c r="A109" s="9"/>
      <c r="B109" s="9"/>
      <c r="C109" s="21" t="str">
        <f aca="false">IF(A109="","",01_CONFIG!$B$4)</f>
        <v/>
      </c>
      <c r="D109" s="44" t="str">
        <f aca="false">IF(A109="","",01_CONFIG!$B$7)</f>
        <v/>
      </c>
      <c r="E109" s="11"/>
      <c r="F109" s="16" t="str">
        <f aca="false">IF(OR(E109="",D109=""),"",(YEAR(D109)-YEAR(E109))*12+MONTH(D109)-MONTH(E109))</f>
        <v/>
      </c>
      <c r="G109" s="16" t="str">
        <f aca="false">IF(OR(E109="",D109=""),"",IF(E109&gt;D109,"EXCLUIR","OK"))</f>
        <v/>
      </c>
      <c r="H109" s="9"/>
      <c r="I109" s="45" t="str">
        <f aca="false">IF(H109="","",IFERROR(INDEX(12_FUENTES!$B$2:$B$301,MATCH(H109,12_FUENTES!$A$2:$A$301,0)),"FUENTE NO REGISTRADA"))</f>
        <v/>
      </c>
      <c r="J109" s="9"/>
      <c r="K109" s="9"/>
      <c r="L109" s="9"/>
      <c r="M109" s="9"/>
      <c r="N109" s="9"/>
      <c r="O109" s="9"/>
      <c r="P109" s="9"/>
      <c r="Q109" s="9"/>
      <c r="R109" s="16" t="str">
        <f aca="false">IF(OR(I109="",I109="FUENTE NO REGISTRADA"),"",INDEX(16_LISTAS!$A$4:$A$8,MAX(1,INDEX(16_LISTAS!$E$4:$E$9,MATCH(I109,16_LISTAS!$D$4:$D$9,0))-IF(F109="",0,IF(F109&lt;=IF(J109="S",18,12),0,IF(F109&lt;=IF(J109="S",30,24),1,2))))))</f>
        <v/>
      </c>
      <c r="S109" s="9"/>
      <c r="T109" s="9"/>
      <c r="U109" s="9"/>
    </row>
    <row r="110" customFormat="false" ht="15" hidden="false" customHeight="false" outlineLevel="0" collapsed="false">
      <c r="A110" s="9"/>
      <c r="B110" s="9"/>
      <c r="C110" s="21" t="str">
        <f aca="false">IF(A110="","",01_CONFIG!$B$4)</f>
        <v/>
      </c>
      <c r="D110" s="44" t="str">
        <f aca="false">IF(A110="","",01_CONFIG!$B$7)</f>
        <v/>
      </c>
      <c r="E110" s="11"/>
      <c r="F110" s="16" t="str">
        <f aca="false">IF(OR(E110="",D110=""),"",(YEAR(D110)-YEAR(E110))*12+MONTH(D110)-MONTH(E110))</f>
        <v/>
      </c>
      <c r="G110" s="16" t="str">
        <f aca="false">IF(OR(E110="",D110=""),"",IF(E110&gt;D110,"EXCLUIR","OK"))</f>
        <v/>
      </c>
      <c r="H110" s="9"/>
      <c r="I110" s="45" t="str">
        <f aca="false">IF(H110="","",IFERROR(INDEX(12_FUENTES!$B$2:$B$301,MATCH(H110,12_FUENTES!$A$2:$A$301,0)),"FUENTE NO REGISTRADA"))</f>
        <v/>
      </c>
      <c r="J110" s="9"/>
      <c r="K110" s="9"/>
      <c r="L110" s="9"/>
      <c r="M110" s="9"/>
      <c r="N110" s="9"/>
      <c r="O110" s="9"/>
      <c r="P110" s="9"/>
      <c r="Q110" s="9"/>
      <c r="R110" s="16" t="str">
        <f aca="false">IF(OR(I110="",I110="FUENTE NO REGISTRADA"),"",INDEX(16_LISTAS!$A$4:$A$8,MAX(1,INDEX(16_LISTAS!$E$4:$E$9,MATCH(I110,16_LISTAS!$D$4:$D$9,0))-IF(F110="",0,IF(F110&lt;=IF(J110="S",18,12),0,IF(F110&lt;=IF(J110="S",30,24),1,2))))))</f>
        <v/>
      </c>
      <c r="S110" s="9"/>
      <c r="T110" s="9"/>
      <c r="U110" s="9"/>
    </row>
    <row r="111" customFormat="false" ht="15" hidden="false" customHeight="false" outlineLevel="0" collapsed="false">
      <c r="A111" s="9"/>
      <c r="B111" s="9"/>
      <c r="C111" s="21" t="str">
        <f aca="false">IF(A111="","",01_CONFIG!$B$4)</f>
        <v/>
      </c>
      <c r="D111" s="44" t="str">
        <f aca="false">IF(A111="","",01_CONFIG!$B$7)</f>
        <v/>
      </c>
      <c r="E111" s="11"/>
      <c r="F111" s="16" t="str">
        <f aca="false">IF(OR(E111="",D111=""),"",(YEAR(D111)-YEAR(E111))*12+MONTH(D111)-MONTH(E111))</f>
        <v/>
      </c>
      <c r="G111" s="16" t="str">
        <f aca="false">IF(OR(E111="",D111=""),"",IF(E111&gt;D111,"EXCLUIR","OK"))</f>
        <v/>
      </c>
      <c r="H111" s="9"/>
      <c r="I111" s="45" t="str">
        <f aca="false">IF(H111="","",IFERROR(INDEX(12_FUENTES!$B$2:$B$301,MATCH(H111,12_FUENTES!$A$2:$A$301,0)),"FUENTE NO REGISTRADA"))</f>
        <v/>
      </c>
      <c r="J111" s="9"/>
      <c r="K111" s="9"/>
      <c r="L111" s="9"/>
      <c r="M111" s="9"/>
      <c r="N111" s="9"/>
      <c r="O111" s="9"/>
      <c r="P111" s="9"/>
      <c r="Q111" s="9"/>
      <c r="R111" s="16" t="str">
        <f aca="false">IF(OR(I111="",I111="FUENTE NO REGISTRADA"),"",INDEX(16_LISTAS!$A$4:$A$8,MAX(1,INDEX(16_LISTAS!$E$4:$E$9,MATCH(I111,16_LISTAS!$D$4:$D$9,0))-IF(F111="",0,IF(F111&lt;=IF(J111="S",18,12),0,IF(F111&lt;=IF(J111="S",30,24),1,2))))))</f>
        <v/>
      </c>
      <c r="S111" s="9"/>
      <c r="T111" s="9"/>
      <c r="U111" s="9"/>
    </row>
    <row r="112" customFormat="false" ht="15" hidden="false" customHeight="false" outlineLevel="0" collapsed="false">
      <c r="A112" s="9"/>
      <c r="B112" s="9"/>
      <c r="C112" s="21" t="str">
        <f aca="false">IF(A112="","",01_CONFIG!$B$4)</f>
        <v/>
      </c>
      <c r="D112" s="44" t="str">
        <f aca="false">IF(A112="","",01_CONFIG!$B$7)</f>
        <v/>
      </c>
      <c r="E112" s="11"/>
      <c r="F112" s="16" t="str">
        <f aca="false">IF(OR(E112="",D112=""),"",(YEAR(D112)-YEAR(E112))*12+MONTH(D112)-MONTH(E112))</f>
        <v/>
      </c>
      <c r="G112" s="16" t="str">
        <f aca="false">IF(OR(E112="",D112=""),"",IF(E112&gt;D112,"EXCLUIR","OK"))</f>
        <v/>
      </c>
      <c r="H112" s="9"/>
      <c r="I112" s="45" t="str">
        <f aca="false">IF(H112="","",IFERROR(INDEX(12_FUENTES!$B$2:$B$301,MATCH(H112,12_FUENTES!$A$2:$A$301,0)),"FUENTE NO REGISTRADA"))</f>
        <v/>
      </c>
      <c r="J112" s="9"/>
      <c r="K112" s="9"/>
      <c r="L112" s="9"/>
      <c r="M112" s="9"/>
      <c r="N112" s="9"/>
      <c r="O112" s="9"/>
      <c r="P112" s="9"/>
      <c r="Q112" s="9"/>
      <c r="R112" s="16" t="str">
        <f aca="false">IF(OR(I112="",I112="FUENTE NO REGISTRADA"),"",INDEX(16_LISTAS!$A$4:$A$8,MAX(1,INDEX(16_LISTAS!$E$4:$E$9,MATCH(I112,16_LISTAS!$D$4:$D$9,0))-IF(F112="",0,IF(F112&lt;=IF(J112="S",18,12),0,IF(F112&lt;=IF(J112="S",30,24),1,2))))))</f>
        <v/>
      </c>
      <c r="S112" s="9"/>
      <c r="T112" s="9"/>
      <c r="U112" s="9"/>
    </row>
    <row r="113" customFormat="false" ht="15" hidden="false" customHeight="false" outlineLevel="0" collapsed="false">
      <c r="A113" s="9"/>
      <c r="B113" s="9"/>
      <c r="C113" s="21" t="str">
        <f aca="false">IF(A113="","",01_CONFIG!$B$4)</f>
        <v/>
      </c>
      <c r="D113" s="44" t="str">
        <f aca="false">IF(A113="","",01_CONFIG!$B$7)</f>
        <v/>
      </c>
      <c r="E113" s="11"/>
      <c r="F113" s="16" t="str">
        <f aca="false">IF(OR(E113="",D113=""),"",(YEAR(D113)-YEAR(E113))*12+MONTH(D113)-MONTH(E113))</f>
        <v/>
      </c>
      <c r="G113" s="16" t="str">
        <f aca="false">IF(OR(E113="",D113=""),"",IF(E113&gt;D113,"EXCLUIR","OK"))</f>
        <v/>
      </c>
      <c r="H113" s="9"/>
      <c r="I113" s="45" t="str">
        <f aca="false">IF(H113="","",IFERROR(INDEX(12_FUENTES!$B$2:$B$301,MATCH(H113,12_FUENTES!$A$2:$A$301,0)),"FUENTE NO REGISTRADA"))</f>
        <v/>
      </c>
      <c r="J113" s="9"/>
      <c r="K113" s="9"/>
      <c r="L113" s="9"/>
      <c r="M113" s="9"/>
      <c r="N113" s="9"/>
      <c r="O113" s="9"/>
      <c r="P113" s="9"/>
      <c r="Q113" s="9"/>
      <c r="R113" s="16" t="str">
        <f aca="false">IF(OR(I113="",I113="FUENTE NO REGISTRADA"),"",INDEX(16_LISTAS!$A$4:$A$8,MAX(1,INDEX(16_LISTAS!$E$4:$E$9,MATCH(I113,16_LISTAS!$D$4:$D$9,0))-IF(F113="",0,IF(F113&lt;=IF(J113="S",18,12),0,IF(F113&lt;=IF(J113="S",30,24),1,2))))))</f>
        <v/>
      </c>
      <c r="S113" s="9"/>
      <c r="T113" s="9"/>
      <c r="U113" s="9"/>
    </row>
    <row r="114" customFormat="false" ht="15" hidden="false" customHeight="false" outlineLevel="0" collapsed="false">
      <c r="A114" s="9"/>
      <c r="B114" s="9"/>
      <c r="C114" s="21" t="str">
        <f aca="false">IF(A114="","",01_CONFIG!$B$4)</f>
        <v/>
      </c>
      <c r="D114" s="44" t="str">
        <f aca="false">IF(A114="","",01_CONFIG!$B$7)</f>
        <v/>
      </c>
      <c r="E114" s="11"/>
      <c r="F114" s="16" t="str">
        <f aca="false">IF(OR(E114="",D114=""),"",(YEAR(D114)-YEAR(E114))*12+MONTH(D114)-MONTH(E114))</f>
        <v/>
      </c>
      <c r="G114" s="16" t="str">
        <f aca="false">IF(OR(E114="",D114=""),"",IF(E114&gt;D114,"EXCLUIR","OK"))</f>
        <v/>
      </c>
      <c r="H114" s="9"/>
      <c r="I114" s="45" t="str">
        <f aca="false">IF(H114="","",IFERROR(INDEX(12_FUENTES!$B$2:$B$301,MATCH(H114,12_FUENTES!$A$2:$A$301,0)),"FUENTE NO REGISTRADA"))</f>
        <v/>
      </c>
      <c r="J114" s="9"/>
      <c r="K114" s="9"/>
      <c r="L114" s="9"/>
      <c r="M114" s="9"/>
      <c r="N114" s="9"/>
      <c r="O114" s="9"/>
      <c r="P114" s="9"/>
      <c r="Q114" s="9"/>
      <c r="R114" s="16" t="str">
        <f aca="false">IF(OR(I114="",I114="FUENTE NO REGISTRADA"),"",INDEX(16_LISTAS!$A$4:$A$8,MAX(1,INDEX(16_LISTAS!$E$4:$E$9,MATCH(I114,16_LISTAS!$D$4:$D$9,0))-IF(F114="",0,IF(F114&lt;=IF(J114="S",18,12),0,IF(F114&lt;=IF(J114="S",30,24),1,2))))))</f>
        <v/>
      </c>
      <c r="S114" s="9"/>
      <c r="T114" s="9"/>
      <c r="U114" s="9"/>
    </row>
    <row r="115" customFormat="false" ht="15" hidden="false" customHeight="false" outlineLevel="0" collapsed="false">
      <c r="A115" s="9"/>
      <c r="B115" s="9"/>
      <c r="C115" s="21" t="str">
        <f aca="false">IF(A115="","",01_CONFIG!$B$4)</f>
        <v/>
      </c>
      <c r="D115" s="44" t="str">
        <f aca="false">IF(A115="","",01_CONFIG!$B$7)</f>
        <v/>
      </c>
      <c r="E115" s="11"/>
      <c r="F115" s="16" t="str">
        <f aca="false">IF(OR(E115="",D115=""),"",(YEAR(D115)-YEAR(E115))*12+MONTH(D115)-MONTH(E115))</f>
        <v/>
      </c>
      <c r="G115" s="16" t="str">
        <f aca="false">IF(OR(E115="",D115=""),"",IF(E115&gt;D115,"EXCLUIR","OK"))</f>
        <v/>
      </c>
      <c r="H115" s="9"/>
      <c r="I115" s="45" t="str">
        <f aca="false">IF(H115="","",IFERROR(INDEX(12_FUENTES!$B$2:$B$301,MATCH(H115,12_FUENTES!$A$2:$A$301,0)),"FUENTE NO REGISTRADA"))</f>
        <v/>
      </c>
      <c r="J115" s="9"/>
      <c r="K115" s="9"/>
      <c r="L115" s="9"/>
      <c r="M115" s="9"/>
      <c r="N115" s="9"/>
      <c r="O115" s="9"/>
      <c r="P115" s="9"/>
      <c r="Q115" s="9"/>
      <c r="R115" s="16" t="str">
        <f aca="false">IF(OR(I115="",I115="FUENTE NO REGISTRADA"),"",INDEX(16_LISTAS!$A$4:$A$8,MAX(1,INDEX(16_LISTAS!$E$4:$E$9,MATCH(I115,16_LISTAS!$D$4:$D$9,0))-IF(F115="",0,IF(F115&lt;=IF(J115="S",18,12),0,IF(F115&lt;=IF(J115="S",30,24),1,2))))))</f>
        <v/>
      </c>
      <c r="S115" s="9"/>
      <c r="T115" s="9"/>
      <c r="U115" s="9"/>
    </row>
    <row r="116" customFormat="false" ht="15" hidden="false" customHeight="false" outlineLevel="0" collapsed="false">
      <c r="A116" s="9"/>
      <c r="B116" s="9"/>
      <c r="C116" s="21" t="str">
        <f aca="false">IF(A116="","",01_CONFIG!$B$4)</f>
        <v/>
      </c>
      <c r="D116" s="44" t="str">
        <f aca="false">IF(A116="","",01_CONFIG!$B$7)</f>
        <v/>
      </c>
      <c r="E116" s="11"/>
      <c r="F116" s="16" t="str">
        <f aca="false">IF(OR(E116="",D116=""),"",(YEAR(D116)-YEAR(E116))*12+MONTH(D116)-MONTH(E116))</f>
        <v/>
      </c>
      <c r="G116" s="16" t="str">
        <f aca="false">IF(OR(E116="",D116=""),"",IF(E116&gt;D116,"EXCLUIR","OK"))</f>
        <v/>
      </c>
      <c r="H116" s="9"/>
      <c r="I116" s="45" t="str">
        <f aca="false">IF(H116="","",IFERROR(INDEX(12_FUENTES!$B$2:$B$301,MATCH(H116,12_FUENTES!$A$2:$A$301,0)),"FUENTE NO REGISTRADA"))</f>
        <v/>
      </c>
      <c r="J116" s="9"/>
      <c r="K116" s="9"/>
      <c r="L116" s="9"/>
      <c r="M116" s="9"/>
      <c r="N116" s="9"/>
      <c r="O116" s="9"/>
      <c r="P116" s="9"/>
      <c r="Q116" s="9"/>
      <c r="R116" s="16" t="str">
        <f aca="false">IF(OR(I116="",I116="FUENTE NO REGISTRADA"),"",INDEX(16_LISTAS!$A$4:$A$8,MAX(1,INDEX(16_LISTAS!$E$4:$E$9,MATCH(I116,16_LISTAS!$D$4:$D$9,0))-IF(F116="",0,IF(F116&lt;=IF(J116="S",18,12),0,IF(F116&lt;=IF(J116="S",30,24),1,2))))))</f>
        <v/>
      </c>
      <c r="S116" s="9"/>
      <c r="T116" s="9"/>
      <c r="U116" s="9"/>
    </row>
    <row r="117" customFormat="false" ht="15" hidden="false" customHeight="false" outlineLevel="0" collapsed="false">
      <c r="A117" s="9"/>
      <c r="B117" s="9"/>
      <c r="C117" s="21" t="str">
        <f aca="false">IF(A117="","",01_CONFIG!$B$4)</f>
        <v/>
      </c>
      <c r="D117" s="44" t="str">
        <f aca="false">IF(A117="","",01_CONFIG!$B$7)</f>
        <v/>
      </c>
      <c r="E117" s="11"/>
      <c r="F117" s="16" t="str">
        <f aca="false">IF(OR(E117="",D117=""),"",(YEAR(D117)-YEAR(E117))*12+MONTH(D117)-MONTH(E117))</f>
        <v/>
      </c>
      <c r="G117" s="16" t="str">
        <f aca="false">IF(OR(E117="",D117=""),"",IF(E117&gt;D117,"EXCLUIR","OK"))</f>
        <v/>
      </c>
      <c r="H117" s="9"/>
      <c r="I117" s="45" t="str">
        <f aca="false">IF(H117="","",IFERROR(INDEX(12_FUENTES!$B$2:$B$301,MATCH(H117,12_FUENTES!$A$2:$A$301,0)),"FUENTE NO REGISTRADA"))</f>
        <v/>
      </c>
      <c r="J117" s="9"/>
      <c r="K117" s="9"/>
      <c r="L117" s="9"/>
      <c r="M117" s="9"/>
      <c r="N117" s="9"/>
      <c r="O117" s="9"/>
      <c r="P117" s="9"/>
      <c r="Q117" s="9"/>
      <c r="R117" s="16" t="str">
        <f aca="false">IF(OR(I117="",I117="FUENTE NO REGISTRADA"),"",INDEX(16_LISTAS!$A$4:$A$8,MAX(1,INDEX(16_LISTAS!$E$4:$E$9,MATCH(I117,16_LISTAS!$D$4:$D$9,0))-IF(F117="",0,IF(F117&lt;=IF(J117="S",18,12),0,IF(F117&lt;=IF(J117="S",30,24),1,2))))))</f>
        <v/>
      </c>
      <c r="S117" s="9"/>
      <c r="T117" s="9"/>
      <c r="U117" s="9"/>
    </row>
    <row r="118" customFormat="false" ht="15" hidden="false" customHeight="false" outlineLevel="0" collapsed="false">
      <c r="A118" s="9"/>
      <c r="B118" s="9"/>
      <c r="C118" s="21" t="str">
        <f aca="false">IF(A118="","",01_CONFIG!$B$4)</f>
        <v/>
      </c>
      <c r="D118" s="44" t="str">
        <f aca="false">IF(A118="","",01_CONFIG!$B$7)</f>
        <v/>
      </c>
      <c r="E118" s="11"/>
      <c r="F118" s="16" t="str">
        <f aca="false">IF(OR(E118="",D118=""),"",(YEAR(D118)-YEAR(E118))*12+MONTH(D118)-MONTH(E118))</f>
        <v/>
      </c>
      <c r="G118" s="16" t="str">
        <f aca="false">IF(OR(E118="",D118=""),"",IF(E118&gt;D118,"EXCLUIR","OK"))</f>
        <v/>
      </c>
      <c r="H118" s="9"/>
      <c r="I118" s="45" t="str">
        <f aca="false">IF(H118="","",IFERROR(INDEX(12_FUENTES!$B$2:$B$301,MATCH(H118,12_FUENTES!$A$2:$A$301,0)),"FUENTE NO REGISTRADA"))</f>
        <v/>
      </c>
      <c r="J118" s="9"/>
      <c r="K118" s="9"/>
      <c r="L118" s="9"/>
      <c r="M118" s="9"/>
      <c r="N118" s="9"/>
      <c r="O118" s="9"/>
      <c r="P118" s="9"/>
      <c r="Q118" s="9"/>
      <c r="R118" s="16" t="str">
        <f aca="false">IF(OR(I118="",I118="FUENTE NO REGISTRADA"),"",INDEX(16_LISTAS!$A$4:$A$8,MAX(1,INDEX(16_LISTAS!$E$4:$E$9,MATCH(I118,16_LISTAS!$D$4:$D$9,0))-IF(F118="",0,IF(F118&lt;=IF(J118="S",18,12),0,IF(F118&lt;=IF(J118="S",30,24),1,2))))))</f>
        <v/>
      </c>
      <c r="S118" s="9"/>
      <c r="T118" s="9"/>
      <c r="U118" s="9"/>
    </row>
    <row r="119" customFormat="false" ht="15" hidden="false" customHeight="false" outlineLevel="0" collapsed="false">
      <c r="A119" s="9"/>
      <c r="B119" s="9"/>
      <c r="C119" s="21" t="str">
        <f aca="false">IF(A119="","",01_CONFIG!$B$4)</f>
        <v/>
      </c>
      <c r="D119" s="44" t="str">
        <f aca="false">IF(A119="","",01_CONFIG!$B$7)</f>
        <v/>
      </c>
      <c r="E119" s="11"/>
      <c r="F119" s="16" t="str">
        <f aca="false">IF(OR(E119="",D119=""),"",(YEAR(D119)-YEAR(E119))*12+MONTH(D119)-MONTH(E119))</f>
        <v/>
      </c>
      <c r="G119" s="16" t="str">
        <f aca="false">IF(OR(E119="",D119=""),"",IF(E119&gt;D119,"EXCLUIR","OK"))</f>
        <v/>
      </c>
      <c r="H119" s="9"/>
      <c r="I119" s="45" t="str">
        <f aca="false">IF(H119="","",IFERROR(INDEX(12_FUENTES!$B$2:$B$301,MATCH(H119,12_FUENTES!$A$2:$A$301,0)),"FUENTE NO REGISTRADA"))</f>
        <v/>
      </c>
      <c r="J119" s="9"/>
      <c r="K119" s="9"/>
      <c r="L119" s="9"/>
      <c r="M119" s="9"/>
      <c r="N119" s="9"/>
      <c r="O119" s="9"/>
      <c r="P119" s="9"/>
      <c r="Q119" s="9"/>
      <c r="R119" s="16" t="str">
        <f aca="false">IF(OR(I119="",I119="FUENTE NO REGISTRADA"),"",INDEX(16_LISTAS!$A$4:$A$8,MAX(1,INDEX(16_LISTAS!$E$4:$E$9,MATCH(I119,16_LISTAS!$D$4:$D$9,0))-IF(F119="",0,IF(F119&lt;=IF(J119="S",18,12),0,IF(F119&lt;=IF(J119="S",30,24),1,2))))))</f>
        <v/>
      </c>
      <c r="S119" s="9"/>
      <c r="T119" s="9"/>
      <c r="U119" s="9"/>
    </row>
    <row r="120" customFormat="false" ht="15" hidden="false" customHeight="false" outlineLevel="0" collapsed="false">
      <c r="A120" s="9"/>
      <c r="B120" s="9"/>
      <c r="C120" s="21" t="str">
        <f aca="false">IF(A120="","",01_CONFIG!$B$4)</f>
        <v/>
      </c>
      <c r="D120" s="44" t="str">
        <f aca="false">IF(A120="","",01_CONFIG!$B$7)</f>
        <v/>
      </c>
      <c r="E120" s="11"/>
      <c r="F120" s="16" t="str">
        <f aca="false">IF(OR(E120="",D120=""),"",(YEAR(D120)-YEAR(E120))*12+MONTH(D120)-MONTH(E120))</f>
        <v/>
      </c>
      <c r="G120" s="16" t="str">
        <f aca="false">IF(OR(E120="",D120=""),"",IF(E120&gt;D120,"EXCLUIR","OK"))</f>
        <v/>
      </c>
      <c r="H120" s="9"/>
      <c r="I120" s="45" t="str">
        <f aca="false">IF(H120="","",IFERROR(INDEX(12_FUENTES!$B$2:$B$301,MATCH(H120,12_FUENTES!$A$2:$A$301,0)),"FUENTE NO REGISTRADA"))</f>
        <v/>
      </c>
      <c r="J120" s="9"/>
      <c r="K120" s="9"/>
      <c r="L120" s="9"/>
      <c r="M120" s="9"/>
      <c r="N120" s="9"/>
      <c r="O120" s="9"/>
      <c r="P120" s="9"/>
      <c r="Q120" s="9"/>
      <c r="R120" s="16" t="str">
        <f aca="false">IF(OR(I120="",I120="FUENTE NO REGISTRADA"),"",INDEX(16_LISTAS!$A$4:$A$8,MAX(1,INDEX(16_LISTAS!$E$4:$E$9,MATCH(I120,16_LISTAS!$D$4:$D$9,0))-IF(F120="",0,IF(F120&lt;=IF(J120="S",18,12),0,IF(F120&lt;=IF(J120="S",30,24),1,2))))))</f>
        <v/>
      </c>
      <c r="S120" s="9"/>
      <c r="T120" s="9"/>
      <c r="U120" s="9"/>
    </row>
    <row r="121" customFormat="false" ht="15" hidden="false" customHeight="false" outlineLevel="0" collapsed="false">
      <c r="A121" s="9"/>
      <c r="B121" s="9"/>
      <c r="C121" s="21" t="str">
        <f aca="false">IF(A121="","",01_CONFIG!$B$4)</f>
        <v/>
      </c>
      <c r="D121" s="44" t="str">
        <f aca="false">IF(A121="","",01_CONFIG!$B$7)</f>
        <v/>
      </c>
      <c r="E121" s="11"/>
      <c r="F121" s="16" t="str">
        <f aca="false">IF(OR(E121="",D121=""),"",(YEAR(D121)-YEAR(E121))*12+MONTH(D121)-MONTH(E121))</f>
        <v/>
      </c>
      <c r="G121" s="16" t="str">
        <f aca="false">IF(OR(E121="",D121=""),"",IF(E121&gt;D121,"EXCLUIR","OK"))</f>
        <v/>
      </c>
      <c r="H121" s="9"/>
      <c r="I121" s="45" t="str">
        <f aca="false">IF(H121="","",IFERROR(INDEX(12_FUENTES!$B$2:$B$301,MATCH(H121,12_FUENTES!$A$2:$A$301,0)),"FUENTE NO REGISTRADA"))</f>
        <v/>
      </c>
      <c r="J121" s="9"/>
      <c r="K121" s="9"/>
      <c r="L121" s="9"/>
      <c r="M121" s="9"/>
      <c r="N121" s="9"/>
      <c r="O121" s="9"/>
      <c r="P121" s="9"/>
      <c r="Q121" s="9"/>
      <c r="R121" s="16" t="str">
        <f aca="false">IF(OR(I121="",I121="FUENTE NO REGISTRADA"),"",INDEX(16_LISTAS!$A$4:$A$8,MAX(1,INDEX(16_LISTAS!$E$4:$E$9,MATCH(I121,16_LISTAS!$D$4:$D$9,0))-IF(F121="",0,IF(F121&lt;=IF(J121="S",18,12),0,IF(F121&lt;=IF(J121="S",30,24),1,2))))))</f>
        <v/>
      </c>
      <c r="S121" s="9"/>
      <c r="T121" s="9"/>
      <c r="U121" s="9"/>
    </row>
    <row r="122" customFormat="false" ht="15" hidden="false" customHeight="false" outlineLevel="0" collapsed="false">
      <c r="A122" s="9"/>
      <c r="B122" s="9"/>
      <c r="C122" s="21" t="str">
        <f aca="false">IF(A122="","",01_CONFIG!$B$4)</f>
        <v/>
      </c>
      <c r="D122" s="44" t="str">
        <f aca="false">IF(A122="","",01_CONFIG!$B$7)</f>
        <v/>
      </c>
      <c r="E122" s="11"/>
      <c r="F122" s="16" t="str">
        <f aca="false">IF(OR(E122="",D122=""),"",(YEAR(D122)-YEAR(E122))*12+MONTH(D122)-MONTH(E122))</f>
        <v/>
      </c>
      <c r="G122" s="16" t="str">
        <f aca="false">IF(OR(E122="",D122=""),"",IF(E122&gt;D122,"EXCLUIR","OK"))</f>
        <v/>
      </c>
      <c r="H122" s="9"/>
      <c r="I122" s="45" t="str">
        <f aca="false">IF(H122="","",IFERROR(INDEX(12_FUENTES!$B$2:$B$301,MATCH(H122,12_FUENTES!$A$2:$A$301,0)),"FUENTE NO REGISTRADA"))</f>
        <v/>
      </c>
      <c r="J122" s="9"/>
      <c r="K122" s="9"/>
      <c r="L122" s="9"/>
      <c r="M122" s="9"/>
      <c r="N122" s="9"/>
      <c r="O122" s="9"/>
      <c r="P122" s="9"/>
      <c r="Q122" s="9"/>
      <c r="R122" s="16" t="str">
        <f aca="false">IF(OR(I122="",I122="FUENTE NO REGISTRADA"),"",INDEX(16_LISTAS!$A$4:$A$8,MAX(1,INDEX(16_LISTAS!$E$4:$E$9,MATCH(I122,16_LISTAS!$D$4:$D$9,0))-IF(F122="",0,IF(F122&lt;=IF(J122="S",18,12),0,IF(F122&lt;=IF(J122="S",30,24),1,2))))))</f>
        <v/>
      </c>
      <c r="S122" s="9"/>
      <c r="T122" s="9"/>
      <c r="U122" s="9"/>
    </row>
    <row r="123" customFormat="false" ht="15" hidden="false" customHeight="false" outlineLevel="0" collapsed="false">
      <c r="A123" s="9"/>
      <c r="B123" s="9"/>
      <c r="C123" s="21" t="str">
        <f aca="false">IF(A123="","",01_CONFIG!$B$4)</f>
        <v/>
      </c>
      <c r="D123" s="44" t="str">
        <f aca="false">IF(A123="","",01_CONFIG!$B$7)</f>
        <v/>
      </c>
      <c r="E123" s="11"/>
      <c r="F123" s="16" t="str">
        <f aca="false">IF(OR(E123="",D123=""),"",(YEAR(D123)-YEAR(E123))*12+MONTH(D123)-MONTH(E123))</f>
        <v/>
      </c>
      <c r="G123" s="16" t="str">
        <f aca="false">IF(OR(E123="",D123=""),"",IF(E123&gt;D123,"EXCLUIR","OK"))</f>
        <v/>
      </c>
      <c r="H123" s="9"/>
      <c r="I123" s="45" t="str">
        <f aca="false">IF(H123="","",IFERROR(INDEX(12_FUENTES!$B$2:$B$301,MATCH(H123,12_FUENTES!$A$2:$A$301,0)),"FUENTE NO REGISTRADA"))</f>
        <v/>
      </c>
      <c r="J123" s="9"/>
      <c r="K123" s="9"/>
      <c r="L123" s="9"/>
      <c r="M123" s="9"/>
      <c r="N123" s="9"/>
      <c r="O123" s="9"/>
      <c r="P123" s="9"/>
      <c r="Q123" s="9"/>
      <c r="R123" s="16" t="str">
        <f aca="false">IF(OR(I123="",I123="FUENTE NO REGISTRADA"),"",INDEX(16_LISTAS!$A$4:$A$8,MAX(1,INDEX(16_LISTAS!$E$4:$E$9,MATCH(I123,16_LISTAS!$D$4:$D$9,0))-IF(F123="",0,IF(F123&lt;=IF(J123="S",18,12),0,IF(F123&lt;=IF(J123="S",30,24),1,2))))))</f>
        <v/>
      </c>
      <c r="S123" s="9"/>
      <c r="T123" s="9"/>
      <c r="U123" s="9"/>
    </row>
    <row r="124" customFormat="false" ht="15" hidden="false" customHeight="false" outlineLevel="0" collapsed="false">
      <c r="A124" s="9"/>
      <c r="B124" s="9"/>
      <c r="C124" s="21" t="str">
        <f aca="false">IF(A124="","",01_CONFIG!$B$4)</f>
        <v/>
      </c>
      <c r="D124" s="44" t="str">
        <f aca="false">IF(A124="","",01_CONFIG!$B$7)</f>
        <v/>
      </c>
      <c r="E124" s="11"/>
      <c r="F124" s="16" t="str">
        <f aca="false">IF(OR(E124="",D124=""),"",(YEAR(D124)-YEAR(E124))*12+MONTH(D124)-MONTH(E124))</f>
        <v/>
      </c>
      <c r="G124" s="16" t="str">
        <f aca="false">IF(OR(E124="",D124=""),"",IF(E124&gt;D124,"EXCLUIR","OK"))</f>
        <v/>
      </c>
      <c r="H124" s="9"/>
      <c r="I124" s="45" t="str">
        <f aca="false">IF(H124="","",IFERROR(INDEX(12_FUENTES!$B$2:$B$301,MATCH(H124,12_FUENTES!$A$2:$A$301,0)),"FUENTE NO REGISTRADA"))</f>
        <v/>
      </c>
      <c r="J124" s="9"/>
      <c r="K124" s="9"/>
      <c r="L124" s="9"/>
      <c r="M124" s="9"/>
      <c r="N124" s="9"/>
      <c r="O124" s="9"/>
      <c r="P124" s="9"/>
      <c r="Q124" s="9"/>
      <c r="R124" s="16" t="str">
        <f aca="false">IF(OR(I124="",I124="FUENTE NO REGISTRADA"),"",INDEX(16_LISTAS!$A$4:$A$8,MAX(1,INDEX(16_LISTAS!$E$4:$E$9,MATCH(I124,16_LISTAS!$D$4:$D$9,0))-IF(F124="",0,IF(F124&lt;=IF(J124="S",18,12),0,IF(F124&lt;=IF(J124="S",30,24),1,2))))))</f>
        <v/>
      </c>
      <c r="S124" s="9"/>
      <c r="T124" s="9"/>
      <c r="U124" s="9"/>
    </row>
    <row r="125" customFormat="false" ht="15" hidden="false" customHeight="false" outlineLevel="0" collapsed="false">
      <c r="A125" s="9"/>
      <c r="B125" s="9"/>
      <c r="C125" s="21" t="str">
        <f aca="false">IF(A125="","",01_CONFIG!$B$4)</f>
        <v/>
      </c>
      <c r="D125" s="44" t="str">
        <f aca="false">IF(A125="","",01_CONFIG!$B$7)</f>
        <v/>
      </c>
      <c r="E125" s="11"/>
      <c r="F125" s="16" t="str">
        <f aca="false">IF(OR(E125="",D125=""),"",(YEAR(D125)-YEAR(E125))*12+MONTH(D125)-MONTH(E125))</f>
        <v/>
      </c>
      <c r="G125" s="16" t="str">
        <f aca="false">IF(OR(E125="",D125=""),"",IF(E125&gt;D125,"EXCLUIR","OK"))</f>
        <v/>
      </c>
      <c r="H125" s="9"/>
      <c r="I125" s="45" t="str">
        <f aca="false">IF(H125="","",IFERROR(INDEX(12_FUENTES!$B$2:$B$301,MATCH(H125,12_FUENTES!$A$2:$A$301,0)),"FUENTE NO REGISTRADA"))</f>
        <v/>
      </c>
      <c r="J125" s="9"/>
      <c r="K125" s="9"/>
      <c r="L125" s="9"/>
      <c r="M125" s="9"/>
      <c r="N125" s="9"/>
      <c r="O125" s="9"/>
      <c r="P125" s="9"/>
      <c r="Q125" s="9"/>
      <c r="R125" s="16" t="str">
        <f aca="false">IF(OR(I125="",I125="FUENTE NO REGISTRADA"),"",INDEX(16_LISTAS!$A$4:$A$8,MAX(1,INDEX(16_LISTAS!$E$4:$E$9,MATCH(I125,16_LISTAS!$D$4:$D$9,0))-IF(F125="",0,IF(F125&lt;=IF(J125="S",18,12),0,IF(F125&lt;=IF(J125="S",30,24),1,2))))))</f>
        <v/>
      </c>
      <c r="S125" s="9"/>
      <c r="T125" s="9"/>
      <c r="U125" s="9"/>
    </row>
    <row r="126" customFormat="false" ht="15" hidden="false" customHeight="false" outlineLevel="0" collapsed="false">
      <c r="A126" s="9"/>
      <c r="B126" s="9"/>
      <c r="C126" s="21" t="str">
        <f aca="false">IF(A126="","",01_CONFIG!$B$4)</f>
        <v/>
      </c>
      <c r="D126" s="44" t="str">
        <f aca="false">IF(A126="","",01_CONFIG!$B$7)</f>
        <v/>
      </c>
      <c r="E126" s="11"/>
      <c r="F126" s="16" t="str">
        <f aca="false">IF(OR(E126="",D126=""),"",(YEAR(D126)-YEAR(E126))*12+MONTH(D126)-MONTH(E126))</f>
        <v/>
      </c>
      <c r="G126" s="16" t="str">
        <f aca="false">IF(OR(E126="",D126=""),"",IF(E126&gt;D126,"EXCLUIR","OK"))</f>
        <v/>
      </c>
      <c r="H126" s="9"/>
      <c r="I126" s="45" t="str">
        <f aca="false">IF(H126="","",IFERROR(INDEX(12_FUENTES!$B$2:$B$301,MATCH(H126,12_FUENTES!$A$2:$A$301,0)),"FUENTE NO REGISTRADA"))</f>
        <v/>
      </c>
      <c r="J126" s="9"/>
      <c r="K126" s="9"/>
      <c r="L126" s="9"/>
      <c r="M126" s="9"/>
      <c r="N126" s="9"/>
      <c r="O126" s="9"/>
      <c r="P126" s="9"/>
      <c r="Q126" s="9"/>
      <c r="R126" s="16" t="str">
        <f aca="false">IF(OR(I126="",I126="FUENTE NO REGISTRADA"),"",INDEX(16_LISTAS!$A$4:$A$8,MAX(1,INDEX(16_LISTAS!$E$4:$E$9,MATCH(I126,16_LISTAS!$D$4:$D$9,0))-IF(F126="",0,IF(F126&lt;=IF(J126="S",18,12),0,IF(F126&lt;=IF(J126="S",30,24),1,2))))))</f>
        <v/>
      </c>
      <c r="S126" s="9"/>
      <c r="T126" s="9"/>
      <c r="U126" s="9"/>
    </row>
    <row r="127" customFormat="false" ht="15" hidden="false" customHeight="false" outlineLevel="0" collapsed="false">
      <c r="A127" s="9"/>
      <c r="B127" s="9"/>
      <c r="C127" s="21" t="str">
        <f aca="false">IF(A127="","",01_CONFIG!$B$4)</f>
        <v/>
      </c>
      <c r="D127" s="44" t="str">
        <f aca="false">IF(A127="","",01_CONFIG!$B$7)</f>
        <v/>
      </c>
      <c r="E127" s="11"/>
      <c r="F127" s="16" t="str">
        <f aca="false">IF(OR(E127="",D127=""),"",(YEAR(D127)-YEAR(E127))*12+MONTH(D127)-MONTH(E127))</f>
        <v/>
      </c>
      <c r="G127" s="16" t="str">
        <f aca="false">IF(OR(E127="",D127=""),"",IF(E127&gt;D127,"EXCLUIR","OK"))</f>
        <v/>
      </c>
      <c r="H127" s="9"/>
      <c r="I127" s="45" t="str">
        <f aca="false">IF(H127="","",IFERROR(INDEX(12_FUENTES!$B$2:$B$301,MATCH(H127,12_FUENTES!$A$2:$A$301,0)),"FUENTE NO REGISTRADA"))</f>
        <v/>
      </c>
      <c r="J127" s="9"/>
      <c r="K127" s="9"/>
      <c r="L127" s="9"/>
      <c r="M127" s="9"/>
      <c r="N127" s="9"/>
      <c r="O127" s="9"/>
      <c r="P127" s="9"/>
      <c r="Q127" s="9"/>
      <c r="R127" s="16" t="str">
        <f aca="false">IF(OR(I127="",I127="FUENTE NO REGISTRADA"),"",INDEX(16_LISTAS!$A$4:$A$8,MAX(1,INDEX(16_LISTAS!$E$4:$E$9,MATCH(I127,16_LISTAS!$D$4:$D$9,0))-IF(F127="",0,IF(F127&lt;=IF(J127="S",18,12),0,IF(F127&lt;=IF(J127="S",30,24),1,2))))))</f>
        <v/>
      </c>
      <c r="S127" s="9"/>
      <c r="T127" s="9"/>
      <c r="U127" s="9"/>
    </row>
    <row r="128" customFormat="false" ht="15" hidden="false" customHeight="false" outlineLevel="0" collapsed="false">
      <c r="A128" s="9"/>
      <c r="B128" s="9"/>
      <c r="C128" s="21" t="str">
        <f aca="false">IF(A128="","",01_CONFIG!$B$4)</f>
        <v/>
      </c>
      <c r="D128" s="44" t="str">
        <f aca="false">IF(A128="","",01_CONFIG!$B$7)</f>
        <v/>
      </c>
      <c r="E128" s="11"/>
      <c r="F128" s="16" t="str">
        <f aca="false">IF(OR(E128="",D128=""),"",(YEAR(D128)-YEAR(E128))*12+MONTH(D128)-MONTH(E128))</f>
        <v/>
      </c>
      <c r="G128" s="16" t="str">
        <f aca="false">IF(OR(E128="",D128=""),"",IF(E128&gt;D128,"EXCLUIR","OK"))</f>
        <v/>
      </c>
      <c r="H128" s="9"/>
      <c r="I128" s="45" t="str">
        <f aca="false">IF(H128="","",IFERROR(INDEX(12_FUENTES!$B$2:$B$301,MATCH(H128,12_FUENTES!$A$2:$A$301,0)),"FUENTE NO REGISTRADA"))</f>
        <v/>
      </c>
      <c r="J128" s="9"/>
      <c r="K128" s="9"/>
      <c r="L128" s="9"/>
      <c r="M128" s="9"/>
      <c r="N128" s="9"/>
      <c r="O128" s="9"/>
      <c r="P128" s="9"/>
      <c r="Q128" s="9"/>
      <c r="R128" s="16" t="str">
        <f aca="false">IF(OR(I128="",I128="FUENTE NO REGISTRADA"),"",INDEX(16_LISTAS!$A$4:$A$8,MAX(1,INDEX(16_LISTAS!$E$4:$E$9,MATCH(I128,16_LISTAS!$D$4:$D$9,0))-IF(F128="",0,IF(F128&lt;=IF(J128="S",18,12),0,IF(F128&lt;=IF(J128="S",30,24),1,2))))))</f>
        <v/>
      </c>
      <c r="S128" s="9"/>
      <c r="T128" s="9"/>
      <c r="U128" s="9"/>
    </row>
    <row r="129" customFormat="false" ht="15" hidden="false" customHeight="false" outlineLevel="0" collapsed="false">
      <c r="A129" s="9"/>
      <c r="B129" s="9"/>
      <c r="C129" s="21" t="str">
        <f aca="false">IF(A129="","",01_CONFIG!$B$4)</f>
        <v/>
      </c>
      <c r="D129" s="44" t="str">
        <f aca="false">IF(A129="","",01_CONFIG!$B$7)</f>
        <v/>
      </c>
      <c r="E129" s="11"/>
      <c r="F129" s="16" t="str">
        <f aca="false">IF(OR(E129="",D129=""),"",(YEAR(D129)-YEAR(E129))*12+MONTH(D129)-MONTH(E129))</f>
        <v/>
      </c>
      <c r="G129" s="16" t="str">
        <f aca="false">IF(OR(E129="",D129=""),"",IF(E129&gt;D129,"EXCLUIR","OK"))</f>
        <v/>
      </c>
      <c r="H129" s="9"/>
      <c r="I129" s="45" t="str">
        <f aca="false">IF(H129="","",IFERROR(INDEX(12_FUENTES!$B$2:$B$301,MATCH(H129,12_FUENTES!$A$2:$A$301,0)),"FUENTE NO REGISTRADA"))</f>
        <v/>
      </c>
      <c r="J129" s="9"/>
      <c r="K129" s="9"/>
      <c r="L129" s="9"/>
      <c r="M129" s="9"/>
      <c r="N129" s="9"/>
      <c r="O129" s="9"/>
      <c r="P129" s="9"/>
      <c r="Q129" s="9"/>
      <c r="R129" s="16" t="str">
        <f aca="false">IF(OR(I129="",I129="FUENTE NO REGISTRADA"),"",INDEX(16_LISTAS!$A$4:$A$8,MAX(1,INDEX(16_LISTAS!$E$4:$E$9,MATCH(I129,16_LISTAS!$D$4:$D$9,0))-IF(F129="",0,IF(F129&lt;=IF(J129="S",18,12),0,IF(F129&lt;=IF(J129="S",30,24),1,2))))))</f>
        <v/>
      </c>
      <c r="S129" s="9"/>
      <c r="T129" s="9"/>
      <c r="U129" s="9"/>
    </row>
    <row r="130" customFormat="false" ht="15" hidden="false" customHeight="false" outlineLevel="0" collapsed="false">
      <c r="A130" s="9"/>
      <c r="B130" s="9"/>
      <c r="C130" s="21" t="str">
        <f aca="false">IF(A130="","",01_CONFIG!$B$4)</f>
        <v/>
      </c>
      <c r="D130" s="44" t="str">
        <f aca="false">IF(A130="","",01_CONFIG!$B$7)</f>
        <v/>
      </c>
      <c r="E130" s="11"/>
      <c r="F130" s="16" t="str">
        <f aca="false">IF(OR(E130="",D130=""),"",(YEAR(D130)-YEAR(E130))*12+MONTH(D130)-MONTH(E130))</f>
        <v/>
      </c>
      <c r="G130" s="16" t="str">
        <f aca="false">IF(OR(E130="",D130=""),"",IF(E130&gt;D130,"EXCLUIR","OK"))</f>
        <v/>
      </c>
      <c r="H130" s="9"/>
      <c r="I130" s="45" t="str">
        <f aca="false">IF(H130="","",IFERROR(INDEX(12_FUENTES!$B$2:$B$301,MATCH(H130,12_FUENTES!$A$2:$A$301,0)),"FUENTE NO REGISTRADA"))</f>
        <v/>
      </c>
      <c r="J130" s="9"/>
      <c r="K130" s="9"/>
      <c r="L130" s="9"/>
      <c r="M130" s="9"/>
      <c r="N130" s="9"/>
      <c r="O130" s="9"/>
      <c r="P130" s="9"/>
      <c r="Q130" s="9"/>
      <c r="R130" s="16" t="str">
        <f aca="false">IF(OR(I130="",I130="FUENTE NO REGISTRADA"),"",INDEX(16_LISTAS!$A$4:$A$8,MAX(1,INDEX(16_LISTAS!$E$4:$E$9,MATCH(I130,16_LISTAS!$D$4:$D$9,0))-IF(F130="",0,IF(F130&lt;=IF(J130="S",18,12),0,IF(F130&lt;=IF(J130="S",30,24),1,2))))))</f>
        <v/>
      </c>
      <c r="S130" s="9"/>
      <c r="T130" s="9"/>
      <c r="U130" s="9"/>
    </row>
    <row r="131" customFormat="false" ht="15" hidden="false" customHeight="false" outlineLevel="0" collapsed="false">
      <c r="A131" s="9"/>
      <c r="B131" s="9"/>
      <c r="C131" s="21" t="str">
        <f aca="false">IF(A131="","",01_CONFIG!$B$4)</f>
        <v/>
      </c>
      <c r="D131" s="44" t="str">
        <f aca="false">IF(A131="","",01_CONFIG!$B$7)</f>
        <v/>
      </c>
      <c r="E131" s="11"/>
      <c r="F131" s="16" t="str">
        <f aca="false">IF(OR(E131="",D131=""),"",(YEAR(D131)-YEAR(E131))*12+MONTH(D131)-MONTH(E131))</f>
        <v/>
      </c>
      <c r="G131" s="16" t="str">
        <f aca="false">IF(OR(E131="",D131=""),"",IF(E131&gt;D131,"EXCLUIR","OK"))</f>
        <v/>
      </c>
      <c r="H131" s="9"/>
      <c r="I131" s="45" t="str">
        <f aca="false">IF(H131="","",IFERROR(INDEX(12_FUENTES!$B$2:$B$301,MATCH(H131,12_FUENTES!$A$2:$A$301,0)),"FUENTE NO REGISTRADA"))</f>
        <v/>
      </c>
      <c r="J131" s="9"/>
      <c r="K131" s="9"/>
      <c r="L131" s="9"/>
      <c r="M131" s="9"/>
      <c r="N131" s="9"/>
      <c r="O131" s="9"/>
      <c r="P131" s="9"/>
      <c r="Q131" s="9"/>
      <c r="R131" s="16" t="str">
        <f aca="false">IF(OR(I131="",I131="FUENTE NO REGISTRADA"),"",INDEX(16_LISTAS!$A$4:$A$8,MAX(1,INDEX(16_LISTAS!$E$4:$E$9,MATCH(I131,16_LISTAS!$D$4:$D$9,0))-IF(F131="",0,IF(F131&lt;=IF(J131="S",18,12),0,IF(F131&lt;=IF(J131="S",30,24),1,2))))))</f>
        <v/>
      </c>
      <c r="S131" s="9"/>
      <c r="T131" s="9"/>
      <c r="U131" s="9"/>
    </row>
    <row r="132" customFormat="false" ht="15" hidden="false" customHeight="false" outlineLevel="0" collapsed="false">
      <c r="A132" s="9"/>
      <c r="B132" s="9"/>
      <c r="C132" s="21" t="str">
        <f aca="false">IF(A132="","",01_CONFIG!$B$4)</f>
        <v/>
      </c>
      <c r="D132" s="44" t="str">
        <f aca="false">IF(A132="","",01_CONFIG!$B$7)</f>
        <v/>
      </c>
      <c r="E132" s="11"/>
      <c r="F132" s="16" t="str">
        <f aca="false">IF(OR(E132="",D132=""),"",(YEAR(D132)-YEAR(E132))*12+MONTH(D132)-MONTH(E132))</f>
        <v/>
      </c>
      <c r="G132" s="16" t="str">
        <f aca="false">IF(OR(E132="",D132=""),"",IF(E132&gt;D132,"EXCLUIR","OK"))</f>
        <v/>
      </c>
      <c r="H132" s="9"/>
      <c r="I132" s="45" t="str">
        <f aca="false">IF(H132="","",IFERROR(INDEX(12_FUENTES!$B$2:$B$301,MATCH(H132,12_FUENTES!$A$2:$A$301,0)),"FUENTE NO REGISTRADA"))</f>
        <v/>
      </c>
      <c r="J132" s="9"/>
      <c r="K132" s="9"/>
      <c r="L132" s="9"/>
      <c r="M132" s="9"/>
      <c r="N132" s="9"/>
      <c r="O132" s="9"/>
      <c r="P132" s="9"/>
      <c r="Q132" s="9"/>
      <c r="R132" s="16" t="str">
        <f aca="false">IF(OR(I132="",I132="FUENTE NO REGISTRADA"),"",INDEX(16_LISTAS!$A$4:$A$8,MAX(1,INDEX(16_LISTAS!$E$4:$E$9,MATCH(I132,16_LISTAS!$D$4:$D$9,0))-IF(F132="",0,IF(F132&lt;=IF(J132="S",18,12),0,IF(F132&lt;=IF(J132="S",30,24),1,2))))))</f>
        <v/>
      </c>
      <c r="S132" s="9"/>
      <c r="T132" s="9"/>
      <c r="U132" s="9"/>
    </row>
    <row r="133" customFormat="false" ht="15" hidden="false" customHeight="false" outlineLevel="0" collapsed="false">
      <c r="A133" s="9"/>
      <c r="B133" s="9"/>
      <c r="C133" s="21" t="str">
        <f aca="false">IF(A133="","",01_CONFIG!$B$4)</f>
        <v/>
      </c>
      <c r="D133" s="44" t="str">
        <f aca="false">IF(A133="","",01_CONFIG!$B$7)</f>
        <v/>
      </c>
      <c r="E133" s="11"/>
      <c r="F133" s="16" t="str">
        <f aca="false">IF(OR(E133="",D133=""),"",(YEAR(D133)-YEAR(E133))*12+MONTH(D133)-MONTH(E133))</f>
        <v/>
      </c>
      <c r="G133" s="16" t="str">
        <f aca="false">IF(OR(E133="",D133=""),"",IF(E133&gt;D133,"EXCLUIR","OK"))</f>
        <v/>
      </c>
      <c r="H133" s="9"/>
      <c r="I133" s="45" t="str">
        <f aca="false">IF(H133="","",IFERROR(INDEX(12_FUENTES!$B$2:$B$301,MATCH(H133,12_FUENTES!$A$2:$A$301,0)),"FUENTE NO REGISTRADA"))</f>
        <v/>
      </c>
      <c r="J133" s="9"/>
      <c r="K133" s="9"/>
      <c r="L133" s="9"/>
      <c r="M133" s="9"/>
      <c r="N133" s="9"/>
      <c r="O133" s="9"/>
      <c r="P133" s="9"/>
      <c r="Q133" s="9"/>
      <c r="R133" s="16" t="str">
        <f aca="false">IF(OR(I133="",I133="FUENTE NO REGISTRADA"),"",INDEX(16_LISTAS!$A$4:$A$8,MAX(1,INDEX(16_LISTAS!$E$4:$E$9,MATCH(I133,16_LISTAS!$D$4:$D$9,0))-IF(F133="",0,IF(F133&lt;=IF(J133="S",18,12),0,IF(F133&lt;=IF(J133="S",30,24),1,2))))))</f>
        <v/>
      </c>
      <c r="S133" s="9"/>
      <c r="T133" s="9"/>
      <c r="U133" s="9"/>
    </row>
    <row r="134" customFormat="false" ht="15" hidden="false" customHeight="false" outlineLevel="0" collapsed="false">
      <c r="A134" s="9"/>
      <c r="B134" s="9"/>
      <c r="C134" s="21" t="str">
        <f aca="false">IF(A134="","",01_CONFIG!$B$4)</f>
        <v/>
      </c>
      <c r="D134" s="44" t="str">
        <f aca="false">IF(A134="","",01_CONFIG!$B$7)</f>
        <v/>
      </c>
      <c r="E134" s="11"/>
      <c r="F134" s="16" t="str">
        <f aca="false">IF(OR(E134="",D134=""),"",(YEAR(D134)-YEAR(E134))*12+MONTH(D134)-MONTH(E134))</f>
        <v/>
      </c>
      <c r="G134" s="16" t="str">
        <f aca="false">IF(OR(E134="",D134=""),"",IF(E134&gt;D134,"EXCLUIR","OK"))</f>
        <v/>
      </c>
      <c r="H134" s="9"/>
      <c r="I134" s="45" t="str">
        <f aca="false">IF(H134="","",IFERROR(INDEX(12_FUENTES!$B$2:$B$301,MATCH(H134,12_FUENTES!$A$2:$A$301,0)),"FUENTE NO REGISTRADA"))</f>
        <v/>
      </c>
      <c r="J134" s="9"/>
      <c r="K134" s="9"/>
      <c r="L134" s="9"/>
      <c r="M134" s="9"/>
      <c r="N134" s="9"/>
      <c r="O134" s="9"/>
      <c r="P134" s="9"/>
      <c r="Q134" s="9"/>
      <c r="R134" s="16" t="str">
        <f aca="false">IF(OR(I134="",I134="FUENTE NO REGISTRADA"),"",INDEX(16_LISTAS!$A$4:$A$8,MAX(1,INDEX(16_LISTAS!$E$4:$E$9,MATCH(I134,16_LISTAS!$D$4:$D$9,0))-IF(F134="",0,IF(F134&lt;=IF(J134="S",18,12),0,IF(F134&lt;=IF(J134="S",30,24),1,2))))))</f>
        <v/>
      </c>
      <c r="S134" s="9"/>
      <c r="T134" s="9"/>
      <c r="U134" s="9"/>
    </row>
    <row r="135" customFormat="false" ht="15" hidden="false" customHeight="false" outlineLevel="0" collapsed="false">
      <c r="A135" s="9"/>
      <c r="B135" s="9"/>
      <c r="C135" s="21" t="str">
        <f aca="false">IF(A135="","",01_CONFIG!$B$4)</f>
        <v/>
      </c>
      <c r="D135" s="44" t="str">
        <f aca="false">IF(A135="","",01_CONFIG!$B$7)</f>
        <v/>
      </c>
      <c r="E135" s="11"/>
      <c r="F135" s="16" t="str">
        <f aca="false">IF(OR(E135="",D135=""),"",(YEAR(D135)-YEAR(E135))*12+MONTH(D135)-MONTH(E135))</f>
        <v/>
      </c>
      <c r="G135" s="16" t="str">
        <f aca="false">IF(OR(E135="",D135=""),"",IF(E135&gt;D135,"EXCLUIR","OK"))</f>
        <v/>
      </c>
      <c r="H135" s="9"/>
      <c r="I135" s="45" t="str">
        <f aca="false">IF(H135="","",IFERROR(INDEX(12_FUENTES!$B$2:$B$301,MATCH(H135,12_FUENTES!$A$2:$A$301,0)),"FUENTE NO REGISTRADA"))</f>
        <v/>
      </c>
      <c r="J135" s="9"/>
      <c r="K135" s="9"/>
      <c r="L135" s="9"/>
      <c r="M135" s="9"/>
      <c r="N135" s="9"/>
      <c r="O135" s="9"/>
      <c r="P135" s="9"/>
      <c r="Q135" s="9"/>
      <c r="R135" s="16" t="str">
        <f aca="false">IF(OR(I135="",I135="FUENTE NO REGISTRADA"),"",INDEX(16_LISTAS!$A$4:$A$8,MAX(1,INDEX(16_LISTAS!$E$4:$E$9,MATCH(I135,16_LISTAS!$D$4:$D$9,0))-IF(F135="",0,IF(F135&lt;=IF(J135="S",18,12),0,IF(F135&lt;=IF(J135="S",30,24),1,2))))))</f>
        <v/>
      </c>
      <c r="S135" s="9"/>
      <c r="T135" s="9"/>
      <c r="U135" s="9"/>
    </row>
    <row r="136" customFormat="false" ht="15" hidden="false" customHeight="false" outlineLevel="0" collapsed="false">
      <c r="A136" s="9"/>
      <c r="B136" s="9"/>
      <c r="C136" s="21" t="str">
        <f aca="false">IF(A136="","",01_CONFIG!$B$4)</f>
        <v/>
      </c>
      <c r="D136" s="44" t="str">
        <f aca="false">IF(A136="","",01_CONFIG!$B$7)</f>
        <v/>
      </c>
      <c r="E136" s="11"/>
      <c r="F136" s="16" t="str">
        <f aca="false">IF(OR(E136="",D136=""),"",(YEAR(D136)-YEAR(E136))*12+MONTH(D136)-MONTH(E136))</f>
        <v/>
      </c>
      <c r="G136" s="16" t="str">
        <f aca="false">IF(OR(E136="",D136=""),"",IF(E136&gt;D136,"EXCLUIR","OK"))</f>
        <v/>
      </c>
      <c r="H136" s="9"/>
      <c r="I136" s="45" t="str">
        <f aca="false">IF(H136="","",IFERROR(INDEX(12_FUENTES!$B$2:$B$301,MATCH(H136,12_FUENTES!$A$2:$A$301,0)),"FUENTE NO REGISTRADA"))</f>
        <v/>
      </c>
      <c r="J136" s="9"/>
      <c r="K136" s="9"/>
      <c r="L136" s="9"/>
      <c r="M136" s="9"/>
      <c r="N136" s="9"/>
      <c r="O136" s="9"/>
      <c r="P136" s="9"/>
      <c r="Q136" s="9"/>
      <c r="R136" s="16" t="str">
        <f aca="false">IF(OR(I136="",I136="FUENTE NO REGISTRADA"),"",INDEX(16_LISTAS!$A$4:$A$8,MAX(1,INDEX(16_LISTAS!$E$4:$E$9,MATCH(I136,16_LISTAS!$D$4:$D$9,0))-IF(F136="",0,IF(F136&lt;=IF(J136="S",18,12),0,IF(F136&lt;=IF(J136="S",30,24),1,2))))))</f>
        <v/>
      </c>
      <c r="S136" s="9"/>
      <c r="T136" s="9"/>
      <c r="U136" s="9"/>
    </row>
    <row r="137" customFormat="false" ht="15" hidden="false" customHeight="false" outlineLevel="0" collapsed="false">
      <c r="A137" s="9"/>
      <c r="B137" s="9"/>
      <c r="C137" s="21" t="str">
        <f aca="false">IF(A137="","",01_CONFIG!$B$4)</f>
        <v/>
      </c>
      <c r="D137" s="44" t="str">
        <f aca="false">IF(A137="","",01_CONFIG!$B$7)</f>
        <v/>
      </c>
      <c r="E137" s="11"/>
      <c r="F137" s="16" t="str">
        <f aca="false">IF(OR(E137="",D137=""),"",(YEAR(D137)-YEAR(E137))*12+MONTH(D137)-MONTH(E137))</f>
        <v/>
      </c>
      <c r="G137" s="16" t="str">
        <f aca="false">IF(OR(E137="",D137=""),"",IF(E137&gt;D137,"EXCLUIR","OK"))</f>
        <v/>
      </c>
      <c r="H137" s="9"/>
      <c r="I137" s="45" t="str">
        <f aca="false">IF(H137="","",IFERROR(INDEX(12_FUENTES!$B$2:$B$301,MATCH(H137,12_FUENTES!$A$2:$A$301,0)),"FUENTE NO REGISTRADA"))</f>
        <v/>
      </c>
      <c r="J137" s="9"/>
      <c r="K137" s="9"/>
      <c r="L137" s="9"/>
      <c r="M137" s="9"/>
      <c r="N137" s="9"/>
      <c r="O137" s="9"/>
      <c r="P137" s="9"/>
      <c r="Q137" s="9"/>
      <c r="R137" s="16" t="str">
        <f aca="false">IF(OR(I137="",I137="FUENTE NO REGISTRADA"),"",INDEX(16_LISTAS!$A$4:$A$8,MAX(1,INDEX(16_LISTAS!$E$4:$E$9,MATCH(I137,16_LISTAS!$D$4:$D$9,0))-IF(F137="",0,IF(F137&lt;=IF(J137="S",18,12),0,IF(F137&lt;=IF(J137="S",30,24),1,2))))))</f>
        <v/>
      </c>
      <c r="S137" s="9"/>
      <c r="T137" s="9"/>
      <c r="U137" s="9"/>
    </row>
    <row r="138" customFormat="false" ht="15" hidden="false" customHeight="false" outlineLevel="0" collapsed="false">
      <c r="A138" s="9"/>
      <c r="B138" s="9"/>
      <c r="C138" s="21" t="str">
        <f aca="false">IF(A138="","",01_CONFIG!$B$4)</f>
        <v/>
      </c>
      <c r="D138" s="44" t="str">
        <f aca="false">IF(A138="","",01_CONFIG!$B$7)</f>
        <v/>
      </c>
      <c r="E138" s="11"/>
      <c r="F138" s="16" t="str">
        <f aca="false">IF(OR(E138="",D138=""),"",(YEAR(D138)-YEAR(E138))*12+MONTH(D138)-MONTH(E138))</f>
        <v/>
      </c>
      <c r="G138" s="16" t="str">
        <f aca="false">IF(OR(E138="",D138=""),"",IF(E138&gt;D138,"EXCLUIR","OK"))</f>
        <v/>
      </c>
      <c r="H138" s="9"/>
      <c r="I138" s="45" t="str">
        <f aca="false">IF(H138="","",IFERROR(INDEX(12_FUENTES!$B$2:$B$301,MATCH(H138,12_FUENTES!$A$2:$A$301,0)),"FUENTE NO REGISTRADA"))</f>
        <v/>
      </c>
      <c r="J138" s="9"/>
      <c r="K138" s="9"/>
      <c r="L138" s="9"/>
      <c r="M138" s="9"/>
      <c r="N138" s="9"/>
      <c r="O138" s="9"/>
      <c r="P138" s="9"/>
      <c r="Q138" s="9"/>
      <c r="R138" s="16" t="str">
        <f aca="false">IF(OR(I138="",I138="FUENTE NO REGISTRADA"),"",INDEX(16_LISTAS!$A$4:$A$8,MAX(1,INDEX(16_LISTAS!$E$4:$E$9,MATCH(I138,16_LISTAS!$D$4:$D$9,0))-IF(F138="",0,IF(F138&lt;=IF(J138="S",18,12),0,IF(F138&lt;=IF(J138="S",30,24),1,2))))))</f>
        <v/>
      </c>
      <c r="S138" s="9"/>
      <c r="T138" s="9"/>
      <c r="U138" s="9"/>
    </row>
    <row r="139" customFormat="false" ht="15" hidden="false" customHeight="false" outlineLevel="0" collapsed="false">
      <c r="A139" s="9"/>
      <c r="B139" s="9"/>
      <c r="C139" s="21" t="str">
        <f aca="false">IF(A139="","",01_CONFIG!$B$4)</f>
        <v/>
      </c>
      <c r="D139" s="44" t="str">
        <f aca="false">IF(A139="","",01_CONFIG!$B$7)</f>
        <v/>
      </c>
      <c r="E139" s="11"/>
      <c r="F139" s="16" t="str">
        <f aca="false">IF(OR(E139="",D139=""),"",(YEAR(D139)-YEAR(E139))*12+MONTH(D139)-MONTH(E139))</f>
        <v/>
      </c>
      <c r="G139" s="16" t="str">
        <f aca="false">IF(OR(E139="",D139=""),"",IF(E139&gt;D139,"EXCLUIR","OK"))</f>
        <v/>
      </c>
      <c r="H139" s="9"/>
      <c r="I139" s="45" t="str">
        <f aca="false">IF(H139="","",IFERROR(INDEX(12_FUENTES!$B$2:$B$301,MATCH(H139,12_FUENTES!$A$2:$A$301,0)),"FUENTE NO REGISTRADA"))</f>
        <v/>
      </c>
      <c r="J139" s="9"/>
      <c r="K139" s="9"/>
      <c r="L139" s="9"/>
      <c r="M139" s="9"/>
      <c r="N139" s="9"/>
      <c r="O139" s="9"/>
      <c r="P139" s="9"/>
      <c r="Q139" s="9"/>
      <c r="R139" s="16" t="str">
        <f aca="false">IF(OR(I139="",I139="FUENTE NO REGISTRADA"),"",INDEX(16_LISTAS!$A$4:$A$8,MAX(1,INDEX(16_LISTAS!$E$4:$E$9,MATCH(I139,16_LISTAS!$D$4:$D$9,0))-IF(F139="",0,IF(F139&lt;=IF(J139="S",18,12),0,IF(F139&lt;=IF(J139="S",30,24),1,2))))))</f>
        <v/>
      </c>
      <c r="S139" s="9"/>
      <c r="T139" s="9"/>
      <c r="U139" s="9"/>
    </row>
    <row r="140" customFormat="false" ht="15" hidden="false" customHeight="false" outlineLevel="0" collapsed="false">
      <c r="A140" s="9"/>
      <c r="B140" s="9"/>
      <c r="C140" s="21" t="str">
        <f aca="false">IF(A140="","",01_CONFIG!$B$4)</f>
        <v/>
      </c>
      <c r="D140" s="44" t="str">
        <f aca="false">IF(A140="","",01_CONFIG!$B$7)</f>
        <v/>
      </c>
      <c r="E140" s="11"/>
      <c r="F140" s="16" t="str">
        <f aca="false">IF(OR(E140="",D140=""),"",(YEAR(D140)-YEAR(E140))*12+MONTH(D140)-MONTH(E140))</f>
        <v/>
      </c>
      <c r="G140" s="16" t="str">
        <f aca="false">IF(OR(E140="",D140=""),"",IF(E140&gt;D140,"EXCLUIR","OK"))</f>
        <v/>
      </c>
      <c r="H140" s="9"/>
      <c r="I140" s="45" t="str">
        <f aca="false">IF(H140="","",IFERROR(INDEX(12_FUENTES!$B$2:$B$301,MATCH(H140,12_FUENTES!$A$2:$A$301,0)),"FUENTE NO REGISTRADA"))</f>
        <v/>
      </c>
      <c r="J140" s="9"/>
      <c r="K140" s="9"/>
      <c r="L140" s="9"/>
      <c r="M140" s="9"/>
      <c r="N140" s="9"/>
      <c r="O140" s="9"/>
      <c r="P140" s="9"/>
      <c r="Q140" s="9"/>
      <c r="R140" s="16" t="str">
        <f aca="false">IF(OR(I140="",I140="FUENTE NO REGISTRADA"),"",INDEX(16_LISTAS!$A$4:$A$8,MAX(1,INDEX(16_LISTAS!$E$4:$E$9,MATCH(I140,16_LISTAS!$D$4:$D$9,0))-IF(F140="",0,IF(F140&lt;=IF(J140="S",18,12),0,IF(F140&lt;=IF(J140="S",30,24),1,2))))))</f>
        <v/>
      </c>
      <c r="S140" s="9"/>
      <c r="T140" s="9"/>
      <c r="U140" s="9"/>
    </row>
    <row r="141" customFormat="false" ht="15" hidden="false" customHeight="false" outlineLevel="0" collapsed="false">
      <c r="A141" s="9"/>
      <c r="B141" s="9"/>
      <c r="C141" s="21" t="str">
        <f aca="false">IF(A141="","",01_CONFIG!$B$4)</f>
        <v/>
      </c>
      <c r="D141" s="44" t="str">
        <f aca="false">IF(A141="","",01_CONFIG!$B$7)</f>
        <v/>
      </c>
      <c r="E141" s="11"/>
      <c r="F141" s="16" t="str">
        <f aca="false">IF(OR(E141="",D141=""),"",(YEAR(D141)-YEAR(E141))*12+MONTH(D141)-MONTH(E141))</f>
        <v/>
      </c>
      <c r="G141" s="16" t="str">
        <f aca="false">IF(OR(E141="",D141=""),"",IF(E141&gt;D141,"EXCLUIR","OK"))</f>
        <v/>
      </c>
      <c r="H141" s="9"/>
      <c r="I141" s="45" t="str">
        <f aca="false">IF(H141="","",IFERROR(INDEX(12_FUENTES!$B$2:$B$301,MATCH(H141,12_FUENTES!$A$2:$A$301,0)),"FUENTE NO REGISTRADA"))</f>
        <v/>
      </c>
      <c r="J141" s="9"/>
      <c r="K141" s="9"/>
      <c r="L141" s="9"/>
      <c r="M141" s="9"/>
      <c r="N141" s="9"/>
      <c r="O141" s="9"/>
      <c r="P141" s="9"/>
      <c r="Q141" s="9"/>
      <c r="R141" s="16" t="str">
        <f aca="false">IF(OR(I141="",I141="FUENTE NO REGISTRADA"),"",INDEX(16_LISTAS!$A$4:$A$8,MAX(1,INDEX(16_LISTAS!$E$4:$E$9,MATCH(I141,16_LISTAS!$D$4:$D$9,0))-IF(F141="",0,IF(F141&lt;=IF(J141="S",18,12),0,IF(F141&lt;=IF(J141="S",30,24),1,2))))))</f>
        <v/>
      </c>
      <c r="S141" s="9"/>
      <c r="T141" s="9"/>
      <c r="U141" s="9"/>
    </row>
    <row r="142" customFormat="false" ht="15" hidden="false" customHeight="false" outlineLevel="0" collapsed="false">
      <c r="A142" s="9"/>
      <c r="B142" s="9"/>
      <c r="C142" s="21" t="str">
        <f aca="false">IF(A142="","",01_CONFIG!$B$4)</f>
        <v/>
      </c>
      <c r="D142" s="44" t="str">
        <f aca="false">IF(A142="","",01_CONFIG!$B$7)</f>
        <v/>
      </c>
      <c r="E142" s="11"/>
      <c r="F142" s="16" t="str">
        <f aca="false">IF(OR(E142="",D142=""),"",(YEAR(D142)-YEAR(E142))*12+MONTH(D142)-MONTH(E142))</f>
        <v/>
      </c>
      <c r="G142" s="16" t="str">
        <f aca="false">IF(OR(E142="",D142=""),"",IF(E142&gt;D142,"EXCLUIR","OK"))</f>
        <v/>
      </c>
      <c r="H142" s="9"/>
      <c r="I142" s="45" t="str">
        <f aca="false">IF(H142="","",IFERROR(INDEX(12_FUENTES!$B$2:$B$301,MATCH(H142,12_FUENTES!$A$2:$A$301,0)),"FUENTE NO REGISTRADA"))</f>
        <v/>
      </c>
      <c r="J142" s="9"/>
      <c r="K142" s="9"/>
      <c r="L142" s="9"/>
      <c r="M142" s="9"/>
      <c r="N142" s="9"/>
      <c r="O142" s="9"/>
      <c r="P142" s="9"/>
      <c r="Q142" s="9"/>
      <c r="R142" s="16" t="str">
        <f aca="false">IF(OR(I142="",I142="FUENTE NO REGISTRADA"),"",INDEX(16_LISTAS!$A$4:$A$8,MAX(1,INDEX(16_LISTAS!$E$4:$E$9,MATCH(I142,16_LISTAS!$D$4:$D$9,0))-IF(F142="",0,IF(F142&lt;=IF(J142="S",18,12),0,IF(F142&lt;=IF(J142="S",30,24),1,2))))))</f>
        <v/>
      </c>
      <c r="S142" s="9"/>
      <c r="T142" s="9"/>
      <c r="U142" s="9"/>
    </row>
    <row r="143" customFormat="false" ht="15" hidden="false" customHeight="false" outlineLevel="0" collapsed="false">
      <c r="A143" s="9"/>
      <c r="B143" s="9"/>
      <c r="C143" s="21" t="str">
        <f aca="false">IF(A143="","",01_CONFIG!$B$4)</f>
        <v/>
      </c>
      <c r="D143" s="44" t="str">
        <f aca="false">IF(A143="","",01_CONFIG!$B$7)</f>
        <v/>
      </c>
      <c r="E143" s="11"/>
      <c r="F143" s="16" t="str">
        <f aca="false">IF(OR(E143="",D143=""),"",(YEAR(D143)-YEAR(E143))*12+MONTH(D143)-MONTH(E143))</f>
        <v/>
      </c>
      <c r="G143" s="16" t="str">
        <f aca="false">IF(OR(E143="",D143=""),"",IF(E143&gt;D143,"EXCLUIR","OK"))</f>
        <v/>
      </c>
      <c r="H143" s="9"/>
      <c r="I143" s="45" t="str">
        <f aca="false">IF(H143="","",IFERROR(INDEX(12_FUENTES!$B$2:$B$301,MATCH(H143,12_FUENTES!$A$2:$A$301,0)),"FUENTE NO REGISTRADA"))</f>
        <v/>
      </c>
      <c r="J143" s="9"/>
      <c r="K143" s="9"/>
      <c r="L143" s="9"/>
      <c r="M143" s="9"/>
      <c r="N143" s="9"/>
      <c r="O143" s="9"/>
      <c r="P143" s="9"/>
      <c r="Q143" s="9"/>
      <c r="R143" s="16" t="str">
        <f aca="false">IF(OR(I143="",I143="FUENTE NO REGISTRADA"),"",INDEX(16_LISTAS!$A$4:$A$8,MAX(1,INDEX(16_LISTAS!$E$4:$E$9,MATCH(I143,16_LISTAS!$D$4:$D$9,0))-IF(F143="",0,IF(F143&lt;=IF(J143="S",18,12),0,IF(F143&lt;=IF(J143="S",30,24),1,2))))))</f>
        <v/>
      </c>
      <c r="S143" s="9"/>
      <c r="T143" s="9"/>
      <c r="U143" s="9"/>
    </row>
    <row r="144" customFormat="false" ht="15" hidden="false" customHeight="false" outlineLevel="0" collapsed="false">
      <c r="A144" s="9"/>
      <c r="B144" s="9"/>
      <c r="C144" s="21" t="str">
        <f aca="false">IF(A144="","",01_CONFIG!$B$4)</f>
        <v/>
      </c>
      <c r="D144" s="44" t="str">
        <f aca="false">IF(A144="","",01_CONFIG!$B$7)</f>
        <v/>
      </c>
      <c r="E144" s="11"/>
      <c r="F144" s="16" t="str">
        <f aca="false">IF(OR(E144="",D144=""),"",(YEAR(D144)-YEAR(E144))*12+MONTH(D144)-MONTH(E144))</f>
        <v/>
      </c>
      <c r="G144" s="16" t="str">
        <f aca="false">IF(OR(E144="",D144=""),"",IF(E144&gt;D144,"EXCLUIR","OK"))</f>
        <v/>
      </c>
      <c r="H144" s="9"/>
      <c r="I144" s="45" t="str">
        <f aca="false">IF(H144="","",IFERROR(INDEX(12_FUENTES!$B$2:$B$301,MATCH(H144,12_FUENTES!$A$2:$A$301,0)),"FUENTE NO REGISTRADA"))</f>
        <v/>
      </c>
      <c r="J144" s="9"/>
      <c r="K144" s="9"/>
      <c r="L144" s="9"/>
      <c r="M144" s="9"/>
      <c r="N144" s="9"/>
      <c r="O144" s="9"/>
      <c r="P144" s="9"/>
      <c r="Q144" s="9"/>
      <c r="R144" s="16" t="str">
        <f aca="false">IF(OR(I144="",I144="FUENTE NO REGISTRADA"),"",INDEX(16_LISTAS!$A$4:$A$8,MAX(1,INDEX(16_LISTAS!$E$4:$E$9,MATCH(I144,16_LISTAS!$D$4:$D$9,0))-IF(F144="",0,IF(F144&lt;=IF(J144="S",18,12),0,IF(F144&lt;=IF(J144="S",30,24),1,2))))))</f>
        <v/>
      </c>
      <c r="S144" s="9"/>
      <c r="T144" s="9"/>
      <c r="U144" s="9"/>
    </row>
    <row r="145" customFormat="false" ht="15" hidden="false" customHeight="false" outlineLevel="0" collapsed="false">
      <c r="A145" s="9"/>
      <c r="B145" s="9"/>
      <c r="C145" s="21" t="str">
        <f aca="false">IF(A145="","",01_CONFIG!$B$4)</f>
        <v/>
      </c>
      <c r="D145" s="44" t="str">
        <f aca="false">IF(A145="","",01_CONFIG!$B$7)</f>
        <v/>
      </c>
      <c r="E145" s="11"/>
      <c r="F145" s="16" t="str">
        <f aca="false">IF(OR(E145="",D145=""),"",(YEAR(D145)-YEAR(E145))*12+MONTH(D145)-MONTH(E145))</f>
        <v/>
      </c>
      <c r="G145" s="16" t="str">
        <f aca="false">IF(OR(E145="",D145=""),"",IF(E145&gt;D145,"EXCLUIR","OK"))</f>
        <v/>
      </c>
      <c r="H145" s="9"/>
      <c r="I145" s="45" t="str">
        <f aca="false">IF(H145="","",IFERROR(INDEX(12_FUENTES!$B$2:$B$301,MATCH(H145,12_FUENTES!$A$2:$A$301,0)),"FUENTE NO REGISTRADA"))</f>
        <v/>
      </c>
      <c r="J145" s="9"/>
      <c r="K145" s="9"/>
      <c r="L145" s="9"/>
      <c r="M145" s="9"/>
      <c r="N145" s="9"/>
      <c r="O145" s="9"/>
      <c r="P145" s="9"/>
      <c r="Q145" s="9"/>
      <c r="R145" s="16" t="str">
        <f aca="false">IF(OR(I145="",I145="FUENTE NO REGISTRADA"),"",INDEX(16_LISTAS!$A$4:$A$8,MAX(1,INDEX(16_LISTAS!$E$4:$E$9,MATCH(I145,16_LISTAS!$D$4:$D$9,0))-IF(F145="",0,IF(F145&lt;=IF(J145="S",18,12),0,IF(F145&lt;=IF(J145="S",30,24),1,2))))))</f>
        <v/>
      </c>
      <c r="S145" s="9"/>
      <c r="T145" s="9"/>
      <c r="U145" s="9"/>
    </row>
    <row r="146" customFormat="false" ht="15" hidden="false" customHeight="false" outlineLevel="0" collapsed="false">
      <c r="A146" s="9"/>
      <c r="B146" s="9"/>
      <c r="C146" s="21" t="str">
        <f aca="false">IF(A146="","",01_CONFIG!$B$4)</f>
        <v/>
      </c>
      <c r="D146" s="44" t="str">
        <f aca="false">IF(A146="","",01_CONFIG!$B$7)</f>
        <v/>
      </c>
      <c r="E146" s="11"/>
      <c r="F146" s="16" t="str">
        <f aca="false">IF(OR(E146="",D146=""),"",(YEAR(D146)-YEAR(E146))*12+MONTH(D146)-MONTH(E146))</f>
        <v/>
      </c>
      <c r="G146" s="16" t="str">
        <f aca="false">IF(OR(E146="",D146=""),"",IF(E146&gt;D146,"EXCLUIR","OK"))</f>
        <v/>
      </c>
      <c r="H146" s="9"/>
      <c r="I146" s="45" t="str">
        <f aca="false">IF(H146="","",IFERROR(INDEX(12_FUENTES!$B$2:$B$301,MATCH(H146,12_FUENTES!$A$2:$A$301,0)),"FUENTE NO REGISTRADA"))</f>
        <v/>
      </c>
      <c r="J146" s="9"/>
      <c r="K146" s="9"/>
      <c r="L146" s="9"/>
      <c r="M146" s="9"/>
      <c r="N146" s="9"/>
      <c r="O146" s="9"/>
      <c r="P146" s="9"/>
      <c r="Q146" s="9"/>
      <c r="R146" s="16" t="str">
        <f aca="false">IF(OR(I146="",I146="FUENTE NO REGISTRADA"),"",INDEX(16_LISTAS!$A$4:$A$8,MAX(1,INDEX(16_LISTAS!$E$4:$E$9,MATCH(I146,16_LISTAS!$D$4:$D$9,0))-IF(F146="",0,IF(F146&lt;=IF(J146="S",18,12),0,IF(F146&lt;=IF(J146="S",30,24),1,2))))))</f>
        <v/>
      </c>
      <c r="S146" s="9"/>
      <c r="T146" s="9"/>
      <c r="U146" s="9"/>
    </row>
    <row r="147" customFormat="false" ht="15" hidden="false" customHeight="false" outlineLevel="0" collapsed="false">
      <c r="A147" s="9"/>
      <c r="B147" s="9"/>
      <c r="C147" s="21" t="str">
        <f aca="false">IF(A147="","",01_CONFIG!$B$4)</f>
        <v/>
      </c>
      <c r="D147" s="44" t="str">
        <f aca="false">IF(A147="","",01_CONFIG!$B$7)</f>
        <v/>
      </c>
      <c r="E147" s="11"/>
      <c r="F147" s="16" t="str">
        <f aca="false">IF(OR(E147="",D147=""),"",(YEAR(D147)-YEAR(E147))*12+MONTH(D147)-MONTH(E147))</f>
        <v/>
      </c>
      <c r="G147" s="16" t="str">
        <f aca="false">IF(OR(E147="",D147=""),"",IF(E147&gt;D147,"EXCLUIR","OK"))</f>
        <v/>
      </c>
      <c r="H147" s="9"/>
      <c r="I147" s="45" t="str">
        <f aca="false">IF(H147="","",IFERROR(INDEX(12_FUENTES!$B$2:$B$301,MATCH(H147,12_FUENTES!$A$2:$A$301,0)),"FUENTE NO REGISTRADA"))</f>
        <v/>
      </c>
      <c r="J147" s="9"/>
      <c r="K147" s="9"/>
      <c r="L147" s="9"/>
      <c r="M147" s="9"/>
      <c r="N147" s="9"/>
      <c r="O147" s="9"/>
      <c r="P147" s="9"/>
      <c r="Q147" s="9"/>
      <c r="R147" s="16" t="str">
        <f aca="false">IF(OR(I147="",I147="FUENTE NO REGISTRADA"),"",INDEX(16_LISTAS!$A$4:$A$8,MAX(1,INDEX(16_LISTAS!$E$4:$E$9,MATCH(I147,16_LISTAS!$D$4:$D$9,0))-IF(F147="",0,IF(F147&lt;=IF(J147="S",18,12),0,IF(F147&lt;=IF(J147="S",30,24),1,2))))))</f>
        <v/>
      </c>
      <c r="S147" s="9"/>
      <c r="T147" s="9"/>
      <c r="U147" s="9"/>
    </row>
    <row r="148" customFormat="false" ht="15" hidden="false" customHeight="false" outlineLevel="0" collapsed="false">
      <c r="A148" s="9"/>
      <c r="B148" s="9"/>
      <c r="C148" s="21" t="str">
        <f aca="false">IF(A148="","",01_CONFIG!$B$4)</f>
        <v/>
      </c>
      <c r="D148" s="44" t="str">
        <f aca="false">IF(A148="","",01_CONFIG!$B$7)</f>
        <v/>
      </c>
      <c r="E148" s="11"/>
      <c r="F148" s="16" t="str">
        <f aca="false">IF(OR(E148="",D148=""),"",(YEAR(D148)-YEAR(E148))*12+MONTH(D148)-MONTH(E148))</f>
        <v/>
      </c>
      <c r="G148" s="16" t="str">
        <f aca="false">IF(OR(E148="",D148=""),"",IF(E148&gt;D148,"EXCLUIR","OK"))</f>
        <v/>
      </c>
      <c r="H148" s="9"/>
      <c r="I148" s="45" t="str">
        <f aca="false">IF(H148="","",IFERROR(INDEX(12_FUENTES!$B$2:$B$301,MATCH(H148,12_FUENTES!$A$2:$A$301,0)),"FUENTE NO REGISTRADA"))</f>
        <v/>
      </c>
      <c r="J148" s="9"/>
      <c r="K148" s="9"/>
      <c r="L148" s="9"/>
      <c r="M148" s="9"/>
      <c r="N148" s="9"/>
      <c r="O148" s="9"/>
      <c r="P148" s="9"/>
      <c r="Q148" s="9"/>
      <c r="R148" s="16" t="str">
        <f aca="false">IF(OR(I148="",I148="FUENTE NO REGISTRADA"),"",INDEX(16_LISTAS!$A$4:$A$8,MAX(1,INDEX(16_LISTAS!$E$4:$E$9,MATCH(I148,16_LISTAS!$D$4:$D$9,0))-IF(F148="",0,IF(F148&lt;=IF(J148="S",18,12),0,IF(F148&lt;=IF(J148="S",30,24),1,2))))))</f>
        <v/>
      </c>
      <c r="S148" s="9"/>
      <c r="T148" s="9"/>
      <c r="U148" s="9"/>
    </row>
    <row r="149" customFormat="false" ht="15" hidden="false" customHeight="false" outlineLevel="0" collapsed="false">
      <c r="A149" s="9"/>
      <c r="B149" s="9"/>
      <c r="C149" s="21" t="str">
        <f aca="false">IF(A149="","",01_CONFIG!$B$4)</f>
        <v/>
      </c>
      <c r="D149" s="44" t="str">
        <f aca="false">IF(A149="","",01_CONFIG!$B$7)</f>
        <v/>
      </c>
      <c r="E149" s="11"/>
      <c r="F149" s="16" t="str">
        <f aca="false">IF(OR(E149="",D149=""),"",(YEAR(D149)-YEAR(E149))*12+MONTH(D149)-MONTH(E149))</f>
        <v/>
      </c>
      <c r="G149" s="16" t="str">
        <f aca="false">IF(OR(E149="",D149=""),"",IF(E149&gt;D149,"EXCLUIR","OK"))</f>
        <v/>
      </c>
      <c r="H149" s="9"/>
      <c r="I149" s="45" t="str">
        <f aca="false">IF(H149="","",IFERROR(INDEX(12_FUENTES!$B$2:$B$301,MATCH(H149,12_FUENTES!$A$2:$A$301,0)),"FUENTE NO REGISTRADA"))</f>
        <v/>
      </c>
      <c r="J149" s="9"/>
      <c r="K149" s="9"/>
      <c r="L149" s="9"/>
      <c r="M149" s="9"/>
      <c r="N149" s="9"/>
      <c r="O149" s="9"/>
      <c r="P149" s="9"/>
      <c r="Q149" s="9"/>
      <c r="R149" s="16" t="str">
        <f aca="false">IF(OR(I149="",I149="FUENTE NO REGISTRADA"),"",INDEX(16_LISTAS!$A$4:$A$8,MAX(1,INDEX(16_LISTAS!$E$4:$E$9,MATCH(I149,16_LISTAS!$D$4:$D$9,0))-IF(F149="",0,IF(F149&lt;=IF(J149="S",18,12),0,IF(F149&lt;=IF(J149="S",30,24),1,2))))))</f>
        <v/>
      </c>
      <c r="S149" s="9"/>
      <c r="T149" s="9"/>
      <c r="U149" s="9"/>
    </row>
    <row r="150" customFormat="false" ht="15" hidden="false" customHeight="false" outlineLevel="0" collapsed="false">
      <c r="A150" s="9"/>
      <c r="B150" s="9"/>
      <c r="C150" s="21" t="str">
        <f aca="false">IF(A150="","",01_CONFIG!$B$4)</f>
        <v/>
      </c>
      <c r="D150" s="44" t="str">
        <f aca="false">IF(A150="","",01_CONFIG!$B$7)</f>
        <v/>
      </c>
      <c r="E150" s="11"/>
      <c r="F150" s="16" t="str">
        <f aca="false">IF(OR(E150="",D150=""),"",(YEAR(D150)-YEAR(E150))*12+MONTH(D150)-MONTH(E150))</f>
        <v/>
      </c>
      <c r="G150" s="16" t="str">
        <f aca="false">IF(OR(E150="",D150=""),"",IF(E150&gt;D150,"EXCLUIR","OK"))</f>
        <v/>
      </c>
      <c r="H150" s="9"/>
      <c r="I150" s="45" t="str">
        <f aca="false">IF(H150="","",IFERROR(INDEX(12_FUENTES!$B$2:$B$301,MATCH(H150,12_FUENTES!$A$2:$A$301,0)),"FUENTE NO REGISTRADA"))</f>
        <v/>
      </c>
      <c r="J150" s="9"/>
      <c r="K150" s="9"/>
      <c r="L150" s="9"/>
      <c r="M150" s="9"/>
      <c r="N150" s="9"/>
      <c r="O150" s="9"/>
      <c r="P150" s="9"/>
      <c r="Q150" s="9"/>
      <c r="R150" s="16" t="str">
        <f aca="false">IF(OR(I150="",I150="FUENTE NO REGISTRADA"),"",INDEX(16_LISTAS!$A$4:$A$8,MAX(1,INDEX(16_LISTAS!$E$4:$E$9,MATCH(I150,16_LISTAS!$D$4:$D$9,0))-IF(F150="",0,IF(F150&lt;=IF(J150="S",18,12),0,IF(F150&lt;=IF(J150="S",30,24),1,2))))))</f>
        <v/>
      </c>
      <c r="S150" s="9"/>
      <c r="T150" s="9"/>
      <c r="U150" s="9"/>
    </row>
    <row r="151" customFormat="false" ht="15" hidden="false" customHeight="false" outlineLevel="0" collapsed="false">
      <c r="A151" s="9"/>
      <c r="B151" s="9"/>
      <c r="C151" s="21" t="str">
        <f aca="false">IF(A151="","",01_CONFIG!$B$4)</f>
        <v/>
      </c>
      <c r="D151" s="44" t="str">
        <f aca="false">IF(A151="","",01_CONFIG!$B$7)</f>
        <v/>
      </c>
      <c r="E151" s="11"/>
      <c r="F151" s="16" t="str">
        <f aca="false">IF(OR(E151="",D151=""),"",(YEAR(D151)-YEAR(E151))*12+MONTH(D151)-MONTH(E151))</f>
        <v/>
      </c>
      <c r="G151" s="16" t="str">
        <f aca="false">IF(OR(E151="",D151=""),"",IF(E151&gt;D151,"EXCLUIR","OK"))</f>
        <v/>
      </c>
      <c r="H151" s="9"/>
      <c r="I151" s="45" t="str">
        <f aca="false">IF(H151="","",IFERROR(INDEX(12_FUENTES!$B$2:$B$301,MATCH(H151,12_FUENTES!$A$2:$A$301,0)),"FUENTE NO REGISTRADA"))</f>
        <v/>
      </c>
      <c r="J151" s="9"/>
      <c r="K151" s="9"/>
      <c r="L151" s="9"/>
      <c r="M151" s="9"/>
      <c r="N151" s="9"/>
      <c r="O151" s="9"/>
      <c r="P151" s="9"/>
      <c r="Q151" s="9"/>
      <c r="R151" s="16" t="str">
        <f aca="false">IF(OR(I151="",I151="FUENTE NO REGISTRADA"),"",INDEX(16_LISTAS!$A$4:$A$8,MAX(1,INDEX(16_LISTAS!$E$4:$E$9,MATCH(I151,16_LISTAS!$D$4:$D$9,0))-IF(F151="",0,IF(F151&lt;=IF(J151="S",18,12),0,IF(F151&lt;=IF(J151="S",30,24),1,2))))))</f>
        <v/>
      </c>
      <c r="S151" s="9"/>
      <c r="T151" s="9"/>
      <c r="U151" s="9"/>
    </row>
    <row r="152" customFormat="false" ht="15" hidden="false" customHeight="false" outlineLevel="0" collapsed="false">
      <c r="A152" s="9"/>
      <c r="B152" s="9"/>
      <c r="C152" s="21" t="str">
        <f aca="false">IF(A152="","",01_CONFIG!$B$4)</f>
        <v/>
      </c>
      <c r="D152" s="44" t="str">
        <f aca="false">IF(A152="","",01_CONFIG!$B$7)</f>
        <v/>
      </c>
      <c r="E152" s="11"/>
      <c r="F152" s="16" t="str">
        <f aca="false">IF(OR(E152="",D152=""),"",(YEAR(D152)-YEAR(E152))*12+MONTH(D152)-MONTH(E152))</f>
        <v/>
      </c>
      <c r="G152" s="16" t="str">
        <f aca="false">IF(OR(E152="",D152=""),"",IF(E152&gt;D152,"EXCLUIR","OK"))</f>
        <v/>
      </c>
      <c r="H152" s="9"/>
      <c r="I152" s="45" t="str">
        <f aca="false">IF(H152="","",IFERROR(INDEX(12_FUENTES!$B$2:$B$301,MATCH(H152,12_FUENTES!$A$2:$A$301,0)),"FUENTE NO REGISTRADA"))</f>
        <v/>
      </c>
      <c r="J152" s="9"/>
      <c r="K152" s="9"/>
      <c r="L152" s="9"/>
      <c r="M152" s="9"/>
      <c r="N152" s="9"/>
      <c r="O152" s="9"/>
      <c r="P152" s="9"/>
      <c r="Q152" s="9"/>
      <c r="R152" s="16" t="str">
        <f aca="false">IF(OR(I152="",I152="FUENTE NO REGISTRADA"),"",INDEX(16_LISTAS!$A$4:$A$8,MAX(1,INDEX(16_LISTAS!$E$4:$E$9,MATCH(I152,16_LISTAS!$D$4:$D$9,0))-IF(F152="",0,IF(F152&lt;=IF(J152="S",18,12),0,IF(F152&lt;=IF(J152="S",30,24),1,2))))))</f>
        <v/>
      </c>
      <c r="S152" s="9"/>
      <c r="T152" s="9"/>
      <c r="U152" s="9"/>
    </row>
    <row r="153" customFormat="false" ht="15" hidden="false" customHeight="false" outlineLevel="0" collapsed="false">
      <c r="A153" s="9"/>
      <c r="B153" s="9"/>
      <c r="C153" s="21" t="str">
        <f aca="false">IF(A153="","",01_CONFIG!$B$4)</f>
        <v/>
      </c>
      <c r="D153" s="44" t="str">
        <f aca="false">IF(A153="","",01_CONFIG!$B$7)</f>
        <v/>
      </c>
      <c r="E153" s="11"/>
      <c r="F153" s="16" t="str">
        <f aca="false">IF(OR(E153="",D153=""),"",(YEAR(D153)-YEAR(E153))*12+MONTH(D153)-MONTH(E153))</f>
        <v/>
      </c>
      <c r="G153" s="16" t="str">
        <f aca="false">IF(OR(E153="",D153=""),"",IF(E153&gt;D153,"EXCLUIR","OK"))</f>
        <v/>
      </c>
      <c r="H153" s="9"/>
      <c r="I153" s="45" t="str">
        <f aca="false">IF(H153="","",IFERROR(INDEX(12_FUENTES!$B$2:$B$301,MATCH(H153,12_FUENTES!$A$2:$A$301,0)),"FUENTE NO REGISTRADA"))</f>
        <v/>
      </c>
      <c r="J153" s="9"/>
      <c r="K153" s="9"/>
      <c r="L153" s="9"/>
      <c r="M153" s="9"/>
      <c r="N153" s="9"/>
      <c r="O153" s="9"/>
      <c r="P153" s="9"/>
      <c r="Q153" s="9"/>
      <c r="R153" s="16" t="str">
        <f aca="false">IF(OR(I153="",I153="FUENTE NO REGISTRADA"),"",INDEX(16_LISTAS!$A$4:$A$8,MAX(1,INDEX(16_LISTAS!$E$4:$E$9,MATCH(I153,16_LISTAS!$D$4:$D$9,0))-IF(F153="",0,IF(F153&lt;=IF(J153="S",18,12),0,IF(F153&lt;=IF(J153="S",30,24),1,2))))))</f>
        <v/>
      </c>
      <c r="S153" s="9"/>
      <c r="T153" s="9"/>
      <c r="U153" s="9"/>
    </row>
    <row r="154" customFormat="false" ht="15" hidden="false" customHeight="false" outlineLevel="0" collapsed="false">
      <c r="A154" s="9"/>
      <c r="B154" s="9"/>
      <c r="C154" s="21" t="str">
        <f aca="false">IF(A154="","",01_CONFIG!$B$4)</f>
        <v/>
      </c>
      <c r="D154" s="44" t="str">
        <f aca="false">IF(A154="","",01_CONFIG!$B$7)</f>
        <v/>
      </c>
      <c r="E154" s="11"/>
      <c r="F154" s="16" t="str">
        <f aca="false">IF(OR(E154="",D154=""),"",(YEAR(D154)-YEAR(E154))*12+MONTH(D154)-MONTH(E154))</f>
        <v/>
      </c>
      <c r="G154" s="16" t="str">
        <f aca="false">IF(OR(E154="",D154=""),"",IF(E154&gt;D154,"EXCLUIR","OK"))</f>
        <v/>
      </c>
      <c r="H154" s="9"/>
      <c r="I154" s="45" t="str">
        <f aca="false">IF(H154="","",IFERROR(INDEX(12_FUENTES!$B$2:$B$301,MATCH(H154,12_FUENTES!$A$2:$A$301,0)),"FUENTE NO REGISTRADA"))</f>
        <v/>
      </c>
      <c r="J154" s="9"/>
      <c r="K154" s="9"/>
      <c r="L154" s="9"/>
      <c r="M154" s="9"/>
      <c r="N154" s="9"/>
      <c r="O154" s="9"/>
      <c r="P154" s="9"/>
      <c r="Q154" s="9"/>
      <c r="R154" s="16" t="str">
        <f aca="false">IF(OR(I154="",I154="FUENTE NO REGISTRADA"),"",INDEX(16_LISTAS!$A$4:$A$8,MAX(1,INDEX(16_LISTAS!$E$4:$E$9,MATCH(I154,16_LISTAS!$D$4:$D$9,0))-IF(F154="",0,IF(F154&lt;=IF(J154="S",18,12),0,IF(F154&lt;=IF(J154="S",30,24),1,2))))))</f>
        <v/>
      </c>
      <c r="S154" s="9"/>
      <c r="T154" s="9"/>
      <c r="U154" s="9"/>
    </row>
    <row r="155" customFormat="false" ht="15" hidden="false" customHeight="false" outlineLevel="0" collapsed="false">
      <c r="A155" s="9"/>
      <c r="B155" s="9"/>
      <c r="C155" s="21" t="str">
        <f aca="false">IF(A155="","",01_CONFIG!$B$4)</f>
        <v/>
      </c>
      <c r="D155" s="44" t="str">
        <f aca="false">IF(A155="","",01_CONFIG!$B$7)</f>
        <v/>
      </c>
      <c r="E155" s="11"/>
      <c r="F155" s="16" t="str">
        <f aca="false">IF(OR(E155="",D155=""),"",(YEAR(D155)-YEAR(E155))*12+MONTH(D155)-MONTH(E155))</f>
        <v/>
      </c>
      <c r="G155" s="16" t="str">
        <f aca="false">IF(OR(E155="",D155=""),"",IF(E155&gt;D155,"EXCLUIR","OK"))</f>
        <v/>
      </c>
      <c r="H155" s="9"/>
      <c r="I155" s="45" t="str">
        <f aca="false">IF(H155="","",IFERROR(INDEX(12_FUENTES!$B$2:$B$301,MATCH(H155,12_FUENTES!$A$2:$A$301,0)),"FUENTE NO REGISTRADA"))</f>
        <v/>
      </c>
      <c r="J155" s="9"/>
      <c r="K155" s="9"/>
      <c r="L155" s="9"/>
      <c r="M155" s="9"/>
      <c r="N155" s="9"/>
      <c r="O155" s="9"/>
      <c r="P155" s="9"/>
      <c r="Q155" s="9"/>
      <c r="R155" s="16" t="str">
        <f aca="false">IF(OR(I155="",I155="FUENTE NO REGISTRADA"),"",INDEX(16_LISTAS!$A$4:$A$8,MAX(1,INDEX(16_LISTAS!$E$4:$E$9,MATCH(I155,16_LISTAS!$D$4:$D$9,0))-IF(F155="",0,IF(F155&lt;=IF(J155="S",18,12),0,IF(F155&lt;=IF(J155="S",30,24),1,2))))))</f>
        <v/>
      </c>
      <c r="S155" s="9"/>
      <c r="T155" s="9"/>
      <c r="U155" s="9"/>
    </row>
    <row r="156" customFormat="false" ht="15" hidden="false" customHeight="false" outlineLevel="0" collapsed="false">
      <c r="A156" s="9"/>
      <c r="B156" s="9"/>
      <c r="C156" s="21" t="str">
        <f aca="false">IF(A156="","",01_CONFIG!$B$4)</f>
        <v/>
      </c>
      <c r="D156" s="44" t="str">
        <f aca="false">IF(A156="","",01_CONFIG!$B$7)</f>
        <v/>
      </c>
      <c r="E156" s="11"/>
      <c r="F156" s="16" t="str">
        <f aca="false">IF(OR(E156="",D156=""),"",(YEAR(D156)-YEAR(E156))*12+MONTH(D156)-MONTH(E156))</f>
        <v/>
      </c>
      <c r="G156" s="16" t="str">
        <f aca="false">IF(OR(E156="",D156=""),"",IF(E156&gt;D156,"EXCLUIR","OK"))</f>
        <v/>
      </c>
      <c r="H156" s="9"/>
      <c r="I156" s="45" t="str">
        <f aca="false">IF(H156="","",IFERROR(INDEX(12_FUENTES!$B$2:$B$301,MATCH(H156,12_FUENTES!$A$2:$A$301,0)),"FUENTE NO REGISTRADA"))</f>
        <v/>
      </c>
      <c r="J156" s="9"/>
      <c r="K156" s="9"/>
      <c r="L156" s="9"/>
      <c r="M156" s="9"/>
      <c r="N156" s="9"/>
      <c r="O156" s="9"/>
      <c r="P156" s="9"/>
      <c r="Q156" s="9"/>
      <c r="R156" s="16" t="str">
        <f aca="false">IF(OR(I156="",I156="FUENTE NO REGISTRADA"),"",INDEX(16_LISTAS!$A$4:$A$8,MAX(1,INDEX(16_LISTAS!$E$4:$E$9,MATCH(I156,16_LISTAS!$D$4:$D$9,0))-IF(F156="",0,IF(F156&lt;=IF(J156="S",18,12),0,IF(F156&lt;=IF(J156="S",30,24),1,2))))))</f>
        <v/>
      </c>
      <c r="S156" s="9"/>
      <c r="T156" s="9"/>
      <c r="U156" s="9"/>
    </row>
    <row r="157" customFormat="false" ht="15" hidden="false" customHeight="false" outlineLevel="0" collapsed="false">
      <c r="A157" s="9"/>
      <c r="B157" s="9"/>
      <c r="C157" s="21" t="str">
        <f aca="false">IF(A157="","",01_CONFIG!$B$4)</f>
        <v/>
      </c>
      <c r="D157" s="44" t="str">
        <f aca="false">IF(A157="","",01_CONFIG!$B$7)</f>
        <v/>
      </c>
      <c r="E157" s="11"/>
      <c r="F157" s="16" t="str">
        <f aca="false">IF(OR(E157="",D157=""),"",(YEAR(D157)-YEAR(E157))*12+MONTH(D157)-MONTH(E157))</f>
        <v/>
      </c>
      <c r="G157" s="16" t="str">
        <f aca="false">IF(OR(E157="",D157=""),"",IF(E157&gt;D157,"EXCLUIR","OK"))</f>
        <v/>
      </c>
      <c r="H157" s="9"/>
      <c r="I157" s="45" t="str">
        <f aca="false">IF(H157="","",IFERROR(INDEX(12_FUENTES!$B$2:$B$301,MATCH(H157,12_FUENTES!$A$2:$A$301,0)),"FUENTE NO REGISTRADA"))</f>
        <v/>
      </c>
      <c r="J157" s="9"/>
      <c r="K157" s="9"/>
      <c r="L157" s="9"/>
      <c r="M157" s="9"/>
      <c r="N157" s="9"/>
      <c r="O157" s="9"/>
      <c r="P157" s="9"/>
      <c r="Q157" s="9"/>
      <c r="R157" s="16" t="str">
        <f aca="false">IF(OR(I157="",I157="FUENTE NO REGISTRADA"),"",INDEX(16_LISTAS!$A$4:$A$8,MAX(1,INDEX(16_LISTAS!$E$4:$E$9,MATCH(I157,16_LISTAS!$D$4:$D$9,0))-IF(F157="",0,IF(F157&lt;=IF(J157="S",18,12),0,IF(F157&lt;=IF(J157="S",30,24),1,2))))))</f>
        <v/>
      </c>
      <c r="S157" s="9"/>
      <c r="T157" s="9"/>
      <c r="U157" s="9"/>
    </row>
    <row r="158" customFormat="false" ht="15" hidden="false" customHeight="false" outlineLevel="0" collapsed="false">
      <c r="A158" s="9"/>
      <c r="B158" s="9"/>
      <c r="C158" s="21" t="str">
        <f aca="false">IF(A158="","",01_CONFIG!$B$4)</f>
        <v/>
      </c>
      <c r="D158" s="44" t="str">
        <f aca="false">IF(A158="","",01_CONFIG!$B$7)</f>
        <v/>
      </c>
      <c r="E158" s="11"/>
      <c r="F158" s="16" t="str">
        <f aca="false">IF(OR(E158="",D158=""),"",(YEAR(D158)-YEAR(E158))*12+MONTH(D158)-MONTH(E158))</f>
        <v/>
      </c>
      <c r="G158" s="16" t="str">
        <f aca="false">IF(OR(E158="",D158=""),"",IF(E158&gt;D158,"EXCLUIR","OK"))</f>
        <v/>
      </c>
      <c r="H158" s="9"/>
      <c r="I158" s="45" t="str">
        <f aca="false">IF(H158="","",IFERROR(INDEX(12_FUENTES!$B$2:$B$301,MATCH(H158,12_FUENTES!$A$2:$A$301,0)),"FUENTE NO REGISTRADA"))</f>
        <v/>
      </c>
      <c r="J158" s="9"/>
      <c r="K158" s="9"/>
      <c r="L158" s="9"/>
      <c r="M158" s="9"/>
      <c r="N158" s="9"/>
      <c r="O158" s="9"/>
      <c r="P158" s="9"/>
      <c r="Q158" s="9"/>
      <c r="R158" s="16" t="str">
        <f aca="false">IF(OR(I158="",I158="FUENTE NO REGISTRADA"),"",INDEX(16_LISTAS!$A$4:$A$8,MAX(1,INDEX(16_LISTAS!$E$4:$E$9,MATCH(I158,16_LISTAS!$D$4:$D$9,0))-IF(F158="",0,IF(F158&lt;=IF(J158="S",18,12),0,IF(F158&lt;=IF(J158="S",30,24),1,2))))))</f>
        <v/>
      </c>
      <c r="S158" s="9"/>
      <c r="T158" s="9"/>
      <c r="U158" s="9"/>
    </row>
    <row r="159" customFormat="false" ht="15" hidden="false" customHeight="false" outlineLevel="0" collapsed="false">
      <c r="A159" s="9"/>
      <c r="B159" s="9"/>
      <c r="C159" s="21" t="str">
        <f aca="false">IF(A159="","",01_CONFIG!$B$4)</f>
        <v/>
      </c>
      <c r="D159" s="44" t="str">
        <f aca="false">IF(A159="","",01_CONFIG!$B$7)</f>
        <v/>
      </c>
      <c r="E159" s="11"/>
      <c r="F159" s="16" t="str">
        <f aca="false">IF(OR(E159="",D159=""),"",(YEAR(D159)-YEAR(E159))*12+MONTH(D159)-MONTH(E159))</f>
        <v/>
      </c>
      <c r="G159" s="16" t="str">
        <f aca="false">IF(OR(E159="",D159=""),"",IF(E159&gt;D159,"EXCLUIR","OK"))</f>
        <v/>
      </c>
      <c r="H159" s="9"/>
      <c r="I159" s="45" t="str">
        <f aca="false">IF(H159="","",IFERROR(INDEX(12_FUENTES!$B$2:$B$301,MATCH(H159,12_FUENTES!$A$2:$A$301,0)),"FUENTE NO REGISTRADA"))</f>
        <v/>
      </c>
      <c r="J159" s="9"/>
      <c r="K159" s="9"/>
      <c r="L159" s="9"/>
      <c r="M159" s="9"/>
      <c r="N159" s="9"/>
      <c r="O159" s="9"/>
      <c r="P159" s="9"/>
      <c r="Q159" s="9"/>
      <c r="R159" s="16" t="str">
        <f aca="false">IF(OR(I159="",I159="FUENTE NO REGISTRADA"),"",INDEX(16_LISTAS!$A$4:$A$8,MAX(1,INDEX(16_LISTAS!$E$4:$E$9,MATCH(I159,16_LISTAS!$D$4:$D$9,0))-IF(F159="",0,IF(F159&lt;=IF(J159="S",18,12),0,IF(F159&lt;=IF(J159="S",30,24),1,2))))))</f>
        <v/>
      </c>
      <c r="S159" s="9"/>
      <c r="T159" s="9"/>
      <c r="U159" s="9"/>
    </row>
    <row r="160" customFormat="false" ht="15" hidden="false" customHeight="false" outlineLevel="0" collapsed="false">
      <c r="A160" s="9"/>
      <c r="B160" s="9"/>
      <c r="C160" s="21" t="str">
        <f aca="false">IF(A160="","",01_CONFIG!$B$4)</f>
        <v/>
      </c>
      <c r="D160" s="44" t="str">
        <f aca="false">IF(A160="","",01_CONFIG!$B$7)</f>
        <v/>
      </c>
      <c r="E160" s="11"/>
      <c r="F160" s="16" t="str">
        <f aca="false">IF(OR(E160="",D160=""),"",(YEAR(D160)-YEAR(E160))*12+MONTH(D160)-MONTH(E160))</f>
        <v/>
      </c>
      <c r="G160" s="16" t="str">
        <f aca="false">IF(OR(E160="",D160=""),"",IF(E160&gt;D160,"EXCLUIR","OK"))</f>
        <v/>
      </c>
      <c r="H160" s="9"/>
      <c r="I160" s="45" t="str">
        <f aca="false">IF(H160="","",IFERROR(INDEX(12_FUENTES!$B$2:$B$301,MATCH(H160,12_FUENTES!$A$2:$A$301,0)),"FUENTE NO REGISTRADA"))</f>
        <v/>
      </c>
      <c r="J160" s="9"/>
      <c r="K160" s="9"/>
      <c r="L160" s="9"/>
      <c r="M160" s="9"/>
      <c r="N160" s="9"/>
      <c r="O160" s="9"/>
      <c r="P160" s="9"/>
      <c r="Q160" s="9"/>
      <c r="R160" s="16" t="str">
        <f aca="false">IF(OR(I160="",I160="FUENTE NO REGISTRADA"),"",INDEX(16_LISTAS!$A$4:$A$8,MAX(1,INDEX(16_LISTAS!$E$4:$E$9,MATCH(I160,16_LISTAS!$D$4:$D$9,0))-IF(F160="",0,IF(F160&lt;=IF(J160="S",18,12),0,IF(F160&lt;=IF(J160="S",30,24),1,2))))))</f>
        <v/>
      </c>
      <c r="S160" s="9"/>
      <c r="T160" s="9"/>
      <c r="U160" s="9"/>
    </row>
    <row r="161" customFormat="false" ht="15" hidden="false" customHeight="false" outlineLevel="0" collapsed="false">
      <c r="A161" s="9"/>
      <c r="B161" s="9"/>
      <c r="C161" s="21" t="str">
        <f aca="false">IF(A161="","",01_CONFIG!$B$4)</f>
        <v/>
      </c>
      <c r="D161" s="44" t="str">
        <f aca="false">IF(A161="","",01_CONFIG!$B$7)</f>
        <v/>
      </c>
      <c r="E161" s="11"/>
      <c r="F161" s="16" t="str">
        <f aca="false">IF(OR(E161="",D161=""),"",(YEAR(D161)-YEAR(E161))*12+MONTH(D161)-MONTH(E161))</f>
        <v/>
      </c>
      <c r="G161" s="16" t="str">
        <f aca="false">IF(OR(E161="",D161=""),"",IF(E161&gt;D161,"EXCLUIR","OK"))</f>
        <v/>
      </c>
      <c r="H161" s="9"/>
      <c r="I161" s="45" t="str">
        <f aca="false">IF(H161="","",IFERROR(INDEX(12_FUENTES!$B$2:$B$301,MATCH(H161,12_FUENTES!$A$2:$A$301,0)),"FUENTE NO REGISTRADA"))</f>
        <v/>
      </c>
      <c r="J161" s="9"/>
      <c r="K161" s="9"/>
      <c r="L161" s="9"/>
      <c r="M161" s="9"/>
      <c r="N161" s="9"/>
      <c r="O161" s="9"/>
      <c r="P161" s="9"/>
      <c r="Q161" s="9"/>
      <c r="R161" s="16" t="str">
        <f aca="false">IF(OR(I161="",I161="FUENTE NO REGISTRADA"),"",INDEX(16_LISTAS!$A$4:$A$8,MAX(1,INDEX(16_LISTAS!$E$4:$E$9,MATCH(I161,16_LISTAS!$D$4:$D$9,0))-IF(F161="",0,IF(F161&lt;=IF(J161="S",18,12),0,IF(F161&lt;=IF(J161="S",30,24),1,2))))))</f>
        <v/>
      </c>
      <c r="S161" s="9"/>
      <c r="T161" s="9"/>
      <c r="U161" s="9"/>
    </row>
    <row r="162" customFormat="false" ht="15" hidden="false" customHeight="false" outlineLevel="0" collapsed="false">
      <c r="A162" s="9"/>
      <c r="B162" s="9"/>
      <c r="C162" s="21" t="str">
        <f aca="false">IF(A162="","",01_CONFIG!$B$4)</f>
        <v/>
      </c>
      <c r="D162" s="44" t="str">
        <f aca="false">IF(A162="","",01_CONFIG!$B$7)</f>
        <v/>
      </c>
      <c r="E162" s="11"/>
      <c r="F162" s="16" t="str">
        <f aca="false">IF(OR(E162="",D162=""),"",(YEAR(D162)-YEAR(E162))*12+MONTH(D162)-MONTH(E162))</f>
        <v/>
      </c>
      <c r="G162" s="16" t="str">
        <f aca="false">IF(OR(E162="",D162=""),"",IF(E162&gt;D162,"EXCLUIR","OK"))</f>
        <v/>
      </c>
      <c r="H162" s="9"/>
      <c r="I162" s="45" t="str">
        <f aca="false">IF(H162="","",IFERROR(INDEX(12_FUENTES!$B$2:$B$301,MATCH(H162,12_FUENTES!$A$2:$A$301,0)),"FUENTE NO REGISTRADA"))</f>
        <v/>
      </c>
      <c r="J162" s="9"/>
      <c r="K162" s="9"/>
      <c r="L162" s="9"/>
      <c r="M162" s="9"/>
      <c r="N162" s="9"/>
      <c r="O162" s="9"/>
      <c r="P162" s="9"/>
      <c r="Q162" s="9"/>
      <c r="R162" s="16" t="str">
        <f aca="false">IF(OR(I162="",I162="FUENTE NO REGISTRADA"),"",INDEX(16_LISTAS!$A$4:$A$8,MAX(1,INDEX(16_LISTAS!$E$4:$E$9,MATCH(I162,16_LISTAS!$D$4:$D$9,0))-IF(F162="",0,IF(F162&lt;=IF(J162="S",18,12),0,IF(F162&lt;=IF(J162="S",30,24),1,2))))))</f>
        <v/>
      </c>
      <c r="S162" s="9"/>
      <c r="T162" s="9"/>
      <c r="U162" s="9"/>
    </row>
    <row r="163" customFormat="false" ht="15" hidden="false" customHeight="false" outlineLevel="0" collapsed="false">
      <c r="A163" s="9"/>
      <c r="B163" s="9"/>
      <c r="C163" s="21" t="str">
        <f aca="false">IF(A163="","",01_CONFIG!$B$4)</f>
        <v/>
      </c>
      <c r="D163" s="44" t="str">
        <f aca="false">IF(A163="","",01_CONFIG!$B$7)</f>
        <v/>
      </c>
      <c r="E163" s="11"/>
      <c r="F163" s="16" t="str">
        <f aca="false">IF(OR(E163="",D163=""),"",(YEAR(D163)-YEAR(E163))*12+MONTH(D163)-MONTH(E163))</f>
        <v/>
      </c>
      <c r="G163" s="16" t="str">
        <f aca="false">IF(OR(E163="",D163=""),"",IF(E163&gt;D163,"EXCLUIR","OK"))</f>
        <v/>
      </c>
      <c r="H163" s="9"/>
      <c r="I163" s="45" t="str">
        <f aca="false">IF(H163="","",IFERROR(INDEX(12_FUENTES!$B$2:$B$301,MATCH(H163,12_FUENTES!$A$2:$A$301,0)),"FUENTE NO REGISTRADA"))</f>
        <v/>
      </c>
      <c r="J163" s="9"/>
      <c r="K163" s="9"/>
      <c r="L163" s="9"/>
      <c r="M163" s="9"/>
      <c r="N163" s="9"/>
      <c r="O163" s="9"/>
      <c r="P163" s="9"/>
      <c r="Q163" s="9"/>
      <c r="R163" s="16" t="str">
        <f aca="false">IF(OR(I163="",I163="FUENTE NO REGISTRADA"),"",INDEX(16_LISTAS!$A$4:$A$8,MAX(1,INDEX(16_LISTAS!$E$4:$E$9,MATCH(I163,16_LISTAS!$D$4:$D$9,0))-IF(F163="",0,IF(F163&lt;=IF(J163="S",18,12),0,IF(F163&lt;=IF(J163="S",30,24),1,2))))))</f>
        <v/>
      </c>
      <c r="S163" s="9"/>
      <c r="T163" s="9"/>
      <c r="U163" s="9"/>
    </row>
    <row r="164" customFormat="false" ht="15" hidden="false" customHeight="false" outlineLevel="0" collapsed="false">
      <c r="A164" s="9"/>
      <c r="B164" s="9"/>
      <c r="C164" s="21" t="str">
        <f aca="false">IF(A164="","",01_CONFIG!$B$4)</f>
        <v/>
      </c>
      <c r="D164" s="44" t="str">
        <f aca="false">IF(A164="","",01_CONFIG!$B$7)</f>
        <v/>
      </c>
      <c r="E164" s="11"/>
      <c r="F164" s="16" t="str">
        <f aca="false">IF(OR(E164="",D164=""),"",(YEAR(D164)-YEAR(E164))*12+MONTH(D164)-MONTH(E164))</f>
        <v/>
      </c>
      <c r="G164" s="16" t="str">
        <f aca="false">IF(OR(E164="",D164=""),"",IF(E164&gt;D164,"EXCLUIR","OK"))</f>
        <v/>
      </c>
      <c r="H164" s="9"/>
      <c r="I164" s="45" t="str">
        <f aca="false">IF(H164="","",IFERROR(INDEX(12_FUENTES!$B$2:$B$301,MATCH(H164,12_FUENTES!$A$2:$A$301,0)),"FUENTE NO REGISTRADA"))</f>
        <v/>
      </c>
      <c r="J164" s="9"/>
      <c r="K164" s="9"/>
      <c r="L164" s="9"/>
      <c r="M164" s="9"/>
      <c r="N164" s="9"/>
      <c r="O164" s="9"/>
      <c r="P164" s="9"/>
      <c r="Q164" s="9"/>
      <c r="R164" s="16" t="str">
        <f aca="false">IF(OR(I164="",I164="FUENTE NO REGISTRADA"),"",INDEX(16_LISTAS!$A$4:$A$8,MAX(1,INDEX(16_LISTAS!$E$4:$E$9,MATCH(I164,16_LISTAS!$D$4:$D$9,0))-IF(F164="",0,IF(F164&lt;=IF(J164="S",18,12),0,IF(F164&lt;=IF(J164="S",30,24),1,2))))))</f>
        <v/>
      </c>
      <c r="S164" s="9"/>
      <c r="T164" s="9"/>
      <c r="U164" s="9"/>
    </row>
    <row r="165" customFormat="false" ht="15" hidden="false" customHeight="false" outlineLevel="0" collapsed="false">
      <c r="A165" s="9"/>
      <c r="B165" s="9"/>
      <c r="C165" s="21" t="str">
        <f aca="false">IF(A165="","",01_CONFIG!$B$4)</f>
        <v/>
      </c>
      <c r="D165" s="44" t="str">
        <f aca="false">IF(A165="","",01_CONFIG!$B$7)</f>
        <v/>
      </c>
      <c r="E165" s="11"/>
      <c r="F165" s="16" t="str">
        <f aca="false">IF(OR(E165="",D165=""),"",(YEAR(D165)-YEAR(E165))*12+MONTH(D165)-MONTH(E165))</f>
        <v/>
      </c>
      <c r="G165" s="16" t="str">
        <f aca="false">IF(OR(E165="",D165=""),"",IF(E165&gt;D165,"EXCLUIR","OK"))</f>
        <v/>
      </c>
      <c r="H165" s="9"/>
      <c r="I165" s="45" t="str">
        <f aca="false">IF(H165="","",IFERROR(INDEX(12_FUENTES!$B$2:$B$301,MATCH(H165,12_FUENTES!$A$2:$A$301,0)),"FUENTE NO REGISTRADA"))</f>
        <v/>
      </c>
      <c r="J165" s="9"/>
      <c r="K165" s="9"/>
      <c r="L165" s="9"/>
      <c r="M165" s="9"/>
      <c r="N165" s="9"/>
      <c r="O165" s="9"/>
      <c r="P165" s="9"/>
      <c r="Q165" s="9"/>
      <c r="R165" s="16" t="str">
        <f aca="false">IF(OR(I165="",I165="FUENTE NO REGISTRADA"),"",INDEX(16_LISTAS!$A$4:$A$8,MAX(1,INDEX(16_LISTAS!$E$4:$E$9,MATCH(I165,16_LISTAS!$D$4:$D$9,0))-IF(F165="",0,IF(F165&lt;=IF(J165="S",18,12),0,IF(F165&lt;=IF(J165="S",30,24),1,2))))))</f>
        <v/>
      </c>
      <c r="S165" s="9"/>
      <c r="T165" s="9"/>
      <c r="U165" s="9"/>
    </row>
    <row r="166" customFormat="false" ht="15" hidden="false" customHeight="false" outlineLevel="0" collapsed="false">
      <c r="A166" s="9"/>
      <c r="B166" s="9"/>
      <c r="C166" s="21" t="str">
        <f aca="false">IF(A166="","",01_CONFIG!$B$4)</f>
        <v/>
      </c>
      <c r="D166" s="44" t="str">
        <f aca="false">IF(A166="","",01_CONFIG!$B$7)</f>
        <v/>
      </c>
      <c r="E166" s="11"/>
      <c r="F166" s="16" t="str">
        <f aca="false">IF(OR(E166="",D166=""),"",(YEAR(D166)-YEAR(E166))*12+MONTH(D166)-MONTH(E166))</f>
        <v/>
      </c>
      <c r="G166" s="16" t="str">
        <f aca="false">IF(OR(E166="",D166=""),"",IF(E166&gt;D166,"EXCLUIR","OK"))</f>
        <v/>
      </c>
      <c r="H166" s="9"/>
      <c r="I166" s="45" t="str">
        <f aca="false">IF(H166="","",IFERROR(INDEX(12_FUENTES!$B$2:$B$301,MATCH(H166,12_FUENTES!$A$2:$A$301,0)),"FUENTE NO REGISTRADA"))</f>
        <v/>
      </c>
      <c r="J166" s="9"/>
      <c r="K166" s="9"/>
      <c r="L166" s="9"/>
      <c r="M166" s="9"/>
      <c r="N166" s="9"/>
      <c r="O166" s="9"/>
      <c r="P166" s="9"/>
      <c r="Q166" s="9"/>
      <c r="R166" s="16" t="str">
        <f aca="false">IF(OR(I166="",I166="FUENTE NO REGISTRADA"),"",INDEX(16_LISTAS!$A$4:$A$8,MAX(1,INDEX(16_LISTAS!$E$4:$E$9,MATCH(I166,16_LISTAS!$D$4:$D$9,0))-IF(F166="",0,IF(F166&lt;=IF(J166="S",18,12),0,IF(F166&lt;=IF(J166="S",30,24),1,2))))))</f>
        <v/>
      </c>
      <c r="S166" s="9"/>
      <c r="T166" s="9"/>
      <c r="U166" s="9"/>
    </row>
    <row r="167" customFormat="false" ht="15" hidden="false" customHeight="false" outlineLevel="0" collapsed="false">
      <c r="A167" s="9"/>
      <c r="B167" s="9"/>
      <c r="C167" s="21" t="str">
        <f aca="false">IF(A167="","",01_CONFIG!$B$4)</f>
        <v/>
      </c>
      <c r="D167" s="44" t="str">
        <f aca="false">IF(A167="","",01_CONFIG!$B$7)</f>
        <v/>
      </c>
      <c r="E167" s="11"/>
      <c r="F167" s="16" t="str">
        <f aca="false">IF(OR(E167="",D167=""),"",(YEAR(D167)-YEAR(E167))*12+MONTH(D167)-MONTH(E167))</f>
        <v/>
      </c>
      <c r="G167" s="16" t="str">
        <f aca="false">IF(OR(E167="",D167=""),"",IF(E167&gt;D167,"EXCLUIR","OK"))</f>
        <v/>
      </c>
      <c r="H167" s="9"/>
      <c r="I167" s="45" t="str">
        <f aca="false">IF(H167="","",IFERROR(INDEX(12_FUENTES!$B$2:$B$301,MATCH(H167,12_FUENTES!$A$2:$A$301,0)),"FUENTE NO REGISTRADA"))</f>
        <v/>
      </c>
      <c r="J167" s="9"/>
      <c r="K167" s="9"/>
      <c r="L167" s="9"/>
      <c r="M167" s="9"/>
      <c r="N167" s="9"/>
      <c r="O167" s="9"/>
      <c r="P167" s="9"/>
      <c r="Q167" s="9"/>
      <c r="R167" s="16" t="str">
        <f aca="false">IF(OR(I167="",I167="FUENTE NO REGISTRADA"),"",INDEX(16_LISTAS!$A$4:$A$8,MAX(1,INDEX(16_LISTAS!$E$4:$E$9,MATCH(I167,16_LISTAS!$D$4:$D$9,0))-IF(F167="",0,IF(F167&lt;=IF(J167="S",18,12),0,IF(F167&lt;=IF(J167="S",30,24),1,2))))))</f>
        <v/>
      </c>
      <c r="S167" s="9"/>
      <c r="T167" s="9"/>
      <c r="U167" s="9"/>
    </row>
    <row r="168" customFormat="false" ht="15" hidden="false" customHeight="false" outlineLevel="0" collapsed="false">
      <c r="A168" s="9"/>
      <c r="B168" s="9"/>
      <c r="C168" s="21" t="str">
        <f aca="false">IF(A168="","",01_CONFIG!$B$4)</f>
        <v/>
      </c>
      <c r="D168" s="44" t="str">
        <f aca="false">IF(A168="","",01_CONFIG!$B$7)</f>
        <v/>
      </c>
      <c r="E168" s="11"/>
      <c r="F168" s="16" t="str">
        <f aca="false">IF(OR(E168="",D168=""),"",(YEAR(D168)-YEAR(E168))*12+MONTH(D168)-MONTH(E168))</f>
        <v/>
      </c>
      <c r="G168" s="16" t="str">
        <f aca="false">IF(OR(E168="",D168=""),"",IF(E168&gt;D168,"EXCLUIR","OK"))</f>
        <v/>
      </c>
      <c r="H168" s="9"/>
      <c r="I168" s="45" t="str">
        <f aca="false">IF(H168="","",IFERROR(INDEX(12_FUENTES!$B$2:$B$301,MATCH(H168,12_FUENTES!$A$2:$A$301,0)),"FUENTE NO REGISTRADA"))</f>
        <v/>
      </c>
      <c r="J168" s="9"/>
      <c r="K168" s="9"/>
      <c r="L168" s="9"/>
      <c r="M168" s="9"/>
      <c r="N168" s="9"/>
      <c r="O168" s="9"/>
      <c r="P168" s="9"/>
      <c r="Q168" s="9"/>
      <c r="R168" s="16" t="str">
        <f aca="false">IF(OR(I168="",I168="FUENTE NO REGISTRADA"),"",INDEX(16_LISTAS!$A$4:$A$8,MAX(1,INDEX(16_LISTAS!$E$4:$E$9,MATCH(I168,16_LISTAS!$D$4:$D$9,0))-IF(F168="",0,IF(F168&lt;=IF(J168="S",18,12),0,IF(F168&lt;=IF(J168="S",30,24),1,2))))))</f>
        <v/>
      </c>
      <c r="S168" s="9"/>
      <c r="T168" s="9"/>
      <c r="U168" s="9"/>
    </row>
    <row r="169" customFormat="false" ht="15" hidden="false" customHeight="false" outlineLevel="0" collapsed="false">
      <c r="A169" s="9"/>
      <c r="B169" s="9"/>
      <c r="C169" s="21" t="str">
        <f aca="false">IF(A169="","",01_CONFIG!$B$4)</f>
        <v/>
      </c>
      <c r="D169" s="44" t="str">
        <f aca="false">IF(A169="","",01_CONFIG!$B$7)</f>
        <v/>
      </c>
      <c r="E169" s="11"/>
      <c r="F169" s="16" t="str">
        <f aca="false">IF(OR(E169="",D169=""),"",(YEAR(D169)-YEAR(E169))*12+MONTH(D169)-MONTH(E169))</f>
        <v/>
      </c>
      <c r="G169" s="16" t="str">
        <f aca="false">IF(OR(E169="",D169=""),"",IF(E169&gt;D169,"EXCLUIR","OK"))</f>
        <v/>
      </c>
      <c r="H169" s="9"/>
      <c r="I169" s="45" t="str">
        <f aca="false">IF(H169="","",IFERROR(INDEX(12_FUENTES!$B$2:$B$301,MATCH(H169,12_FUENTES!$A$2:$A$301,0)),"FUENTE NO REGISTRADA"))</f>
        <v/>
      </c>
      <c r="J169" s="9"/>
      <c r="K169" s="9"/>
      <c r="L169" s="9"/>
      <c r="M169" s="9"/>
      <c r="N169" s="9"/>
      <c r="O169" s="9"/>
      <c r="P169" s="9"/>
      <c r="Q169" s="9"/>
      <c r="R169" s="16" t="str">
        <f aca="false">IF(OR(I169="",I169="FUENTE NO REGISTRADA"),"",INDEX(16_LISTAS!$A$4:$A$8,MAX(1,INDEX(16_LISTAS!$E$4:$E$9,MATCH(I169,16_LISTAS!$D$4:$D$9,0))-IF(F169="",0,IF(F169&lt;=IF(J169="S",18,12),0,IF(F169&lt;=IF(J169="S",30,24),1,2))))))</f>
        <v/>
      </c>
      <c r="S169" s="9"/>
      <c r="T169" s="9"/>
      <c r="U169" s="9"/>
    </row>
    <row r="170" customFormat="false" ht="15" hidden="false" customHeight="false" outlineLevel="0" collapsed="false">
      <c r="A170" s="9"/>
      <c r="B170" s="9"/>
      <c r="C170" s="21" t="str">
        <f aca="false">IF(A170="","",01_CONFIG!$B$4)</f>
        <v/>
      </c>
      <c r="D170" s="44" t="str">
        <f aca="false">IF(A170="","",01_CONFIG!$B$7)</f>
        <v/>
      </c>
      <c r="E170" s="11"/>
      <c r="F170" s="16" t="str">
        <f aca="false">IF(OR(E170="",D170=""),"",(YEAR(D170)-YEAR(E170))*12+MONTH(D170)-MONTH(E170))</f>
        <v/>
      </c>
      <c r="G170" s="16" t="str">
        <f aca="false">IF(OR(E170="",D170=""),"",IF(E170&gt;D170,"EXCLUIR","OK"))</f>
        <v/>
      </c>
      <c r="H170" s="9"/>
      <c r="I170" s="45" t="str">
        <f aca="false">IF(H170="","",IFERROR(INDEX(12_FUENTES!$B$2:$B$301,MATCH(H170,12_FUENTES!$A$2:$A$301,0)),"FUENTE NO REGISTRADA"))</f>
        <v/>
      </c>
      <c r="J170" s="9"/>
      <c r="K170" s="9"/>
      <c r="L170" s="9"/>
      <c r="M170" s="9"/>
      <c r="N170" s="9"/>
      <c r="O170" s="9"/>
      <c r="P170" s="9"/>
      <c r="Q170" s="9"/>
      <c r="R170" s="16" t="str">
        <f aca="false">IF(OR(I170="",I170="FUENTE NO REGISTRADA"),"",INDEX(16_LISTAS!$A$4:$A$8,MAX(1,INDEX(16_LISTAS!$E$4:$E$9,MATCH(I170,16_LISTAS!$D$4:$D$9,0))-IF(F170="",0,IF(F170&lt;=IF(J170="S",18,12),0,IF(F170&lt;=IF(J170="S",30,24),1,2))))))</f>
        <v/>
      </c>
      <c r="S170" s="9"/>
      <c r="T170" s="9"/>
      <c r="U170" s="9"/>
    </row>
    <row r="171" customFormat="false" ht="15" hidden="false" customHeight="false" outlineLevel="0" collapsed="false">
      <c r="A171" s="9"/>
      <c r="B171" s="9"/>
      <c r="C171" s="21" t="str">
        <f aca="false">IF(A171="","",01_CONFIG!$B$4)</f>
        <v/>
      </c>
      <c r="D171" s="44" t="str">
        <f aca="false">IF(A171="","",01_CONFIG!$B$7)</f>
        <v/>
      </c>
      <c r="E171" s="11"/>
      <c r="F171" s="16" t="str">
        <f aca="false">IF(OR(E171="",D171=""),"",(YEAR(D171)-YEAR(E171))*12+MONTH(D171)-MONTH(E171))</f>
        <v/>
      </c>
      <c r="G171" s="16" t="str">
        <f aca="false">IF(OR(E171="",D171=""),"",IF(E171&gt;D171,"EXCLUIR","OK"))</f>
        <v/>
      </c>
      <c r="H171" s="9"/>
      <c r="I171" s="45" t="str">
        <f aca="false">IF(H171="","",IFERROR(INDEX(12_FUENTES!$B$2:$B$301,MATCH(H171,12_FUENTES!$A$2:$A$301,0)),"FUENTE NO REGISTRADA"))</f>
        <v/>
      </c>
      <c r="J171" s="9"/>
      <c r="K171" s="9"/>
      <c r="L171" s="9"/>
      <c r="M171" s="9"/>
      <c r="N171" s="9"/>
      <c r="O171" s="9"/>
      <c r="P171" s="9"/>
      <c r="Q171" s="9"/>
      <c r="R171" s="16" t="str">
        <f aca="false">IF(OR(I171="",I171="FUENTE NO REGISTRADA"),"",INDEX(16_LISTAS!$A$4:$A$8,MAX(1,INDEX(16_LISTAS!$E$4:$E$9,MATCH(I171,16_LISTAS!$D$4:$D$9,0))-IF(F171="",0,IF(F171&lt;=IF(J171="S",18,12),0,IF(F171&lt;=IF(J171="S",30,24),1,2))))))</f>
        <v/>
      </c>
      <c r="S171" s="9"/>
      <c r="T171" s="9"/>
      <c r="U171" s="9"/>
    </row>
    <row r="172" customFormat="false" ht="15" hidden="false" customHeight="false" outlineLevel="0" collapsed="false">
      <c r="A172" s="9"/>
      <c r="B172" s="9"/>
      <c r="C172" s="21" t="str">
        <f aca="false">IF(A172="","",01_CONFIG!$B$4)</f>
        <v/>
      </c>
      <c r="D172" s="44" t="str">
        <f aca="false">IF(A172="","",01_CONFIG!$B$7)</f>
        <v/>
      </c>
      <c r="E172" s="11"/>
      <c r="F172" s="16" t="str">
        <f aca="false">IF(OR(E172="",D172=""),"",(YEAR(D172)-YEAR(E172))*12+MONTH(D172)-MONTH(E172))</f>
        <v/>
      </c>
      <c r="G172" s="16" t="str">
        <f aca="false">IF(OR(E172="",D172=""),"",IF(E172&gt;D172,"EXCLUIR","OK"))</f>
        <v/>
      </c>
      <c r="H172" s="9"/>
      <c r="I172" s="45" t="str">
        <f aca="false">IF(H172="","",IFERROR(INDEX(12_FUENTES!$B$2:$B$301,MATCH(H172,12_FUENTES!$A$2:$A$301,0)),"FUENTE NO REGISTRADA"))</f>
        <v/>
      </c>
      <c r="J172" s="9"/>
      <c r="K172" s="9"/>
      <c r="L172" s="9"/>
      <c r="M172" s="9"/>
      <c r="N172" s="9"/>
      <c r="O172" s="9"/>
      <c r="P172" s="9"/>
      <c r="Q172" s="9"/>
      <c r="R172" s="16" t="str">
        <f aca="false">IF(OR(I172="",I172="FUENTE NO REGISTRADA"),"",INDEX(16_LISTAS!$A$4:$A$8,MAX(1,INDEX(16_LISTAS!$E$4:$E$9,MATCH(I172,16_LISTAS!$D$4:$D$9,0))-IF(F172="",0,IF(F172&lt;=IF(J172="S",18,12),0,IF(F172&lt;=IF(J172="S",30,24),1,2))))))</f>
        <v/>
      </c>
      <c r="S172" s="9"/>
      <c r="T172" s="9"/>
      <c r="U172" s="9"/>
    </row>
    <row r="173" customFormat="false" ht="15" hidden="false" customHeight="false" outlineLevel="0" collapsed="false">
      <c r="A173" s="9"/>
      <c r="B173" s="9"/>
      <c r="C173" s="21" t="str">
        <f aca="false">IF(A173="","",01_CONFIG!$B$4)</f>
        <v/>
      </c>
      <c r="D173" s="44" t="str">
        <f aca="false">IF(A173="","",01_CONFIG!$B$7)</f>
        <v/>
      </c>
      <c r="E173" s="11"/>
      <c r="F173" s="16" t="str">
        <f aca="false">IF(OR(E173="",D173=""),"",(YEAR(D173)-YEAR(E173))*12+MONTH(D173)-MONTH(E173))</f>
        <v/>
      </c>
      <c r="G173" s="16" t="str">
        <f aca="false">IF(OR(E173="",D173=""),"",IF(E173&gt;D173,"EXCLUIR","OK"))</f>
        <v/>
      </c>
      <c r="H173" s="9"/>
      <c r="I173" s="45" t="str">
        <f aca="false">IF(H173="","",IFERROR(INDEX(12_FUENTES!$B$2:$B$301,MATCH(H173,12_FUENTES!$A$2:$A$301,0)),"FUENTE NO REGISTRADA"))</f>
        <v/>
      </c>
      <c r="J173" s="9"/>
      <c r="K173" s="9"/>
      <c r="L173" s="9"/>
      <c r="M173" s="9"/>
      <c r="N173" s="9"/>
      <c r="O173" s="9"/>
      <c r="P173" s="9"/>
      <c r="Q173" s="9"/>
      <c r="R173" s="16" t="str">
        <f aca="false">IF(OR(I173="",I173="FUENTE NO REGISTRADA"),"",INDEX(16_LISTAS!$A$4:$A$8,MAX(1,INDEX(16_LISTAS!$E$4:$E$9,MATCH(I173,16_LISTAS!$D$4:$D$9,0))-IF(F173="",0,IF(F173&lt;=IF(J173="S",18,12),0,IF(F173&lt;=IF(J173="S",30,24),1,2))))))</f>
        <v/>
      </c>
      <c r="S173" s="9"/>
      <c r="T173" s="9"/>
      <c r="U173" s="9"/>
    </row>
    <row r="174" customFormat="false" ht="15" hidden="false" customHeight="false" outlineLevel="0" collapsed="false">
      <c r="A174" s="9"/>
      <c r="B174" s="9"/>
      <c r="C174" s="21" t="str">
        <f aca="false">IF(A174="","",01_CONFIG!$B$4)</f>
        <v/>
      </c>
      <c r="D174" s="44" t="str">
        <f aca="false">IF(A174="","",01_CONFIG!$B$7)</f>
        <v/>
      </c>
      <c r="E174" s="11"/>
      <c r="F174" s="16" t="str">
        <f aca="false">IF(OR(E174="",D174=""),"",(YEAR(D174)-YEAR(E174))*12+MONTH(D174)-MONTH(E174))</f>
        <v/>
      </c>
      <c r="G174" s="16" t="str">
        <f aca="false">IF(OR(E174="",D174=""),"",IF(E174&gt;D174,"EXCLUIR","OK"))</f>
        <v/>
      </c>
      <c r="H174" s="9"/>
      <c r="I174" s="45" t="str">
        <f aca="false">IF(H174="","",IFERROR(INDEX(12_FUENTES!$B$2:$B$301,MATCH(H174,12_FUENTES!$A$2:$A$301,0)),"FUENTE NO REGISTRADA"))</f>
        <v/>
      </c>
      <c r="J174" s="9"/>
      <c r="K174" s="9"/>
      <c r="L174" s="9"/>
      <c r="M174" s="9"/>
      <c r="N174" s="9"/>
      <c r="O174" s="9"/>
      <c r="P174" s="9"/>
      <c r="Q174" s="9"/>
      <c r="R174" s="16" t="str">
        <f aca="false">IF(OR(I174="",I174="FUENTE NO REGISTRADA"),"",INDEX(16_LISTAS!$A$4:$A$8,MAX(1,INDEX(16_LISTAS!$E$4:$E$9,MATCH(I174,16_LISTAS!$D$4:$D$9,0))-IF(F174="",0,IF(F174&lt;=IF(J174="S",18,12),0,IF(F174&lt;=IF(J174="S",30,24),1,2))))))</f>
        <v/>
      </c>
      <c r="S174" s="9"/>
      <c r="T174" s="9"/>
      <c r="U174" s="9"/>
    </row>
    <row r="175" customFormat="false" ht="15" hidden="false" customHeight="false" outlineLevel="0" collapsed="false">
      <c r="A175" s="9"/>
      <c r="B175" s="9"/>
      <c r="C175" s="21" t="str">
        <f aca="false">IF(A175="","",01_CONFIG!$B$4)</f>
        <v/>
      </c>
      <c r="D175" s="44" t="str">
        <f aca="false">IF(A175="","",01_CONFIG!$B$7)</f>
        <v/>
      </c>
      <c r="E175" s="11"/>
      <c r="F175" s="16" t="str">
        <f aca="false">IF(OR(E175="",D175=""),"",(YEAR(D175)-YEAR(E175))*12+MONTH(D175)-MONTH(E175))</f>
        <v/>
      </c>
      <c r="G175" s="16" t="str">
        <f aca="false">IF(OR(E175="",D175=""),"",IF(E175&gt;D175,"EXCLUIR","OK"))</f>
        <v/>
      </c>
      <c r="H175" s="9"/>
      <c r="I175" s="45" t="str">
        <f aca="false">IF(H175="","",IFERROR(INDEX(12_FUENTES!$B$2:$B$301,MATCH(H175,12_FUENTES!$A$2:$A$301,0)),"FUENTE NO REGISTRADA"))</f>
        <v/>
      </c>
      <c r="J175" s="9"/>
      <c r="K175" s="9"/>
      <c r="L175" s="9"/>
      <c r="M175" s="9"/>
      <c r="N175" s="9"/>
      <c r="O175" s="9"/>
      <c r="P175" s="9"/>
      <c r="Q175" s="9"/>
      <c r="R175" s="16" t="str">
        <f aca="false">IF(OR(I175="",I175="FUENTE NO REGISTRADA"),"",INDEX(16_LISTAS!$A$4:$A$8,MAX(1,INDEX(16_LISTAS!$E$4:$E$9,MATCH(I175,16_LISTAS!$D$4:$D$9,0))-IF(F175="",0,IF(F175&lt;=IF(J175="S",18,12),0,IF(F175&lt;=IF(J175="S",30,24),1,2))))))</f>
        <v/>
      </c>
      <c r="S175" s="9"/>
      <c r="T175" s="9"/>
      <c r="U175" s="9"/>
    </row>
    <row r="176" customFormat="false" ht="15" hidden="false" customHeight="false" outlineLevel="0" collapsed="false">
      <c r="A176" s="9"/>
      <c r="B176" s="9"/>
      <c r="C176" s="21" t="str">
        <f aca="false">IF(A176="","",01_CONFIG!$B$4)</f>
        <v/>
      </c>
      <c r="D176" s="44" t="str">
        <f aca="false">IF(A176="","",01_CONFIG!$B$7)</f>
        <v/>
      </c>
      <c r="E176" s="11"/>
      <c r="F176" s="16" t="str">
        <f aca="false">IF(OR(E176="",D176=""),"",(YEAR(D176)-YEAR(E176))*12+MONTH(D176)-MONTH(E176))</f>
        <v/>
      </c>
      <c r="G176" s="16" t="str">
        <f aca="false">IF(OR(E176="",D176=""),"",IF(E176&gt;D176,"EXCLUIR","OK"))</f>
        <v/>
      </c>
      <c r="H176" s="9"/>
      <c r="I176" s="45" t="str">
        <f aca="false">IF(H176="","",IFERROR(INDEX(12_FUENTES!$B$2:$B$301,MATCH(H176,12_FUENTES!$A$2:$A$301,0)),"FUENTE NO REGISTRADA"))</f>
        <v/>
      </c>
      <c r="J176" s="9"/>
      <c r="K176" s="9"/>
      <c r="L176" s="9"/>
      <c r="M176" s="9"/>
      <c r="N176" s="9"/>
      <c r="O176" s="9"/>
      <c r="P176" s="9"/>
      <c r="Q176" s="9"/>
      <c r="R176" s="16" t="str">
        <f aca="false">IF(OR(I176="",I176="FUENTE NO REGISTRADA"),"",INDEX(16_LISTAS!$A$4:$A$8,MAX(1,INDEX(16_LISTAS!$E$4:$E$9,MATCH(I176,16_LISTAS!$D$4:$D$9,0))-IF(F176="",0,IF(F176&lt;=IF(J176="S",18,12),0,IF(F176&lt;=IF(J176="S",30,24),1,2))))))</f>
        <v/>
      </c>
      <c r="S176" s="9"/>
      <c r="T176" s="9"/>
      <c r="U176" s="9"/>
    </row>
    <row r="177" customFormat="false" ht="15" hidden="false" customHeight="false" outlineLevel="0" collapsed="false">
      <c r="A177" s="9"/>
      <c r="B177" s="9"/>
      <c r="C177" s="21" t="str">
        <f aca="false">IF(A177="","",01_CONFIG!$B$4)</f>
        <v/>
      </c>
      <c r="D177" s="44" t="str">
        <f aca="false">IF(A177="","",01_CONFIG!$B$7)</f>
        <v/>
      </c>
      <c r="E177" s="11"/>
      <c r="F177" s="16" t="str">
        <f aca="false">IF(OR(E177="",D177=""),"",(YEAR(D177)-YEAR(E177))*12+MONTH(D177)-MONTH(E177))</f>
        <v/>
      </c>
      <c r="G177" s="16" t="str">
        <f aca="false">IF(OR(E177="",D177=""),"",IF(E177&gt;D177,"EXCLUIR","OK"))</f>
        <v/>
      </c>
      <c r="H177" s="9"/>
      <c r="I177" s="45" t="str">
        <f aca="false">IF(H177="","",IFERROR(INDEX(12_FUENTES!$B$2:$B$301,MATCH(H177,12_FUENTES!$A$2:$A$301,0)),"FUENTE NO REGISTRADA"))</f>
        <v/>
      </c>
      <c r="J177" s="9"/>
      <c r="K177" s="9"/>
      <c r="L177" s="9"/>
      <c r="M177" s="9"/>
      <c r="N177" s="9"/>
      <c r="O177" s="9"/>
      <c r="P177" s="9"/>
      <c r="Q177" s="9"/>
      <c r="R177" s="16" t="str">
        <f aca="false">IF(OR(I177="",I177="FUENTE NO REGISTRADA"),"",INDEX(16_LISTAS!$A$4:$A$8,MAX(1,INDEX(16_LISTAS!$E$4:$E$9,MATCH(I177,16_LISTAS!$D$4:$D$9,0))-IF(F177="",0,IF(F177&lt;=IF(J177="S",18,12),0,IF(F177&lt;=IF(J177="S",30,24),1,2))))))</f>
        <v/>
      </c>
      <c r="S177" s="9"/>
      <c r="T177" s="9"/>
      <c r="U177" s="9"/>
    </row>
    <row r="178" customFormat="false" ht="15" hidden="false" customHeight="false" outlineLevel="0" collapsed="false">
      <c r="A178" s="9"/>
      <c r="B178" s="9"/>
      <c r="C178" s="21" t="str">
        <f aca="false">IF(A178="","",01_CONFIG!$B$4)</f>
        <v/>
      </c>
      <c r="D178" s="44" t="str">
        <f aca="false">IF(A178="","",01_CONFIG!$B$7)</f>
        <v/>
      </c>
      <c r="E178" s="11"/>
      <c r="F178" s="16" t="str">
        <f aca="false">IF(OR(E178="",D178=""),"",(YEAR(D178)-YEAR(E178))*12+MONTH(D178)-MONTH(E178))</f>
        <v/>
      </c>
      <c r="G178" s="16" t="str">
        <f aca="false">IF(OR(E178="",D178=""),"",IF(E178&gt;D178,"EXCLUIR","OK"))</f>
        <v/>
      </c>
      <c r="H178" s="9"/>
      <c r="I178" s="45" t="str">
        <f aca="false">IF(H178="","",IFERROR(INDEX(12_FUENTES!$B$2:$B$301,MATCH(H178,12_FUENTES!$A$2:$A$301,0)),"FUENTE NO REGISTRADA"))</f>
        <v/>
      </c>
      <c r="J178" s="9"/>
      <c r="K178" s="9"/>
      <c r="L178" s="9"/>
      <c r="M178" s="9"/>
      <c r="N178" s="9"/>
      <c r="O178" s="9"/>
      <c r="P178" s="9"/>
      <c r="Q178" s="9"/>
      <c r="R178" s="16" t="str">
        <f aca="false">IF(OR(I178="",I178="FUENTE NO REGISTRADA"),"",INDEX(16_LISTAS!$A$4:$A$8,MAX(1,INDEX(16_LISTAS!$E$4:$E$9,MATCH(I178,16_LISTAS!$D$4:$D$9,0))-IF(F178="",0,IF(F178&lt;=IF(J178="S",18,12),0,IF(F178&lt;=IF(J178="S",30,24),1,2))))))</f>
        <v/>
      </c>
      <c r="S178" s="9"/>
      <c r="T178" s="9"/>
      <c r="U178" s="9"/>
    </row>
    <row r="179" customFormat="false" ht="15" hidden="false" customHeight="false" outlineLevel="0" collapsed="false">
      <c r="A179" s="9"/>
      <c r="B179" s="9"/>
      <c r="C179" s="21" t="str">
        <f aca="false">IF(A179="","",01_CONFIG!$B$4)</f>
        <v/>
      </c>
      <c r="D179" s="44" t="str">
        <f aca="false">IF(A179="","",01_CONFIG!$B$7)</f>
        <v/>
      </c>
      <c r="E179" s="11"/>
      <c r="F179" s="16" t="str">
        <f aca="false">IF(OR(E179="",D179=""),"",(YEAR(D179)-YEAR(E179))*12+MONTH(D179)-MONTH(E179))</f>
        <v/>
      </c>
      <c r="G179" s="16" t="str">
        <f aca="false">IF(OR(E179="",D179=""),"",IF(E179&gt;D179,"EXCLUIR","OK"))</f>
        <v/>
      </c>
      <c r="H179" s="9"/>
      <c r="I179" s="45" t="str">
        <f aca="false">IF(H179="","",IFERROR(INDEX(12_FUENTES!$B$2:$B$301,MATCH(H179,12_FUENTES!$A$2:$A$301,0)),"FUENTE NO REGISTRADA"))</f>
        <v/>
      </c>
      <c r="J179" s="9"/>
      <c r="K179" s="9"/>
      <c r="L179" s="9"/>
      <c r="M179" s="9"/>
      <c r="N179" s="9"/>
      <c r="O179" s="9"/>
      <c r="P179" s="9"/>
      <c r="Q179" s="9"/>
      <c r="R179" s="16" t="str">
        <f aca="false">IF(OR(I179="",I179="FUENTE NO REGISTRADA"),"",INDEX(16_LISTAS!$A$4:$A$8,MAX(1,INDEX(16_LISTAS!$E$4:$E$9,MATCH(I179,16_LISTAS!$D$4:$D$9,0))-IF(F179="",0,IF(F179&lt;=IF(J179="S",18,12),0,IF(F179&lt;=IF(J179="S",30,24),1,2))))))</f>
        <v/>
      </c>
      <c r="S179" s="9"/>
      <c r="T179" s="9"/>
      <c r="U179" s="9"/>
    </row>
    <row r="180" customFormat="false" ht="15" hidden="false" customHeight="false" outlineLevel="0" collapsed="false">
      <c r="A180" s="9"/>
      <c r="B180" s="9"/>
      <c r="C180" s="21" t="str">
        <f aca="false">IF(A180="","",01_CONFIG!$B$4)</f>
        <v/>
      </c>
      <c r="D180" s="44" t="str">
        <f aca="false">IF(A180="","",01_CONFIG!$B$7)</f>
        <v/>
      </c>
      <c r="E180" s="11"/>
      <c r="F180" s="16" t="str">
        <f aca="false">IF(OR(E180="",D180=""),"",(YEAR(D180)-YEAR(E180))*12+MONTH(D180)-MONTH(E180))</f>
        <v/>
      </c>
      <c r="G180" s="16" t="str">
        <f aca="false">IF(OR(E180="",D180=""),"",IF(E180&gt;D180,"EXCLUIR","OK"))</f>
        <v/>
      </c>
      <c r="H180" s="9"/>
      <c r="I180" s="45" t="str">
        <f aca="false">IF(H180="","",IFERROR(INDEX(12_FUENTES!$B$2:$B$301,MATCH(H180,12_FUENTES!$A$2:$A$301,0)),"FUENTE NO REGISTRADA"))</f>
        <v/>
      </c>
      <c r="J180" s="9"/>
      <c r="K180" s="9"/>
      <c r="L180" s="9"/>
      <c r="M180" s="9"/>
      <c r="N180" s="9"/>
      <c r="O180" s="9"/>
      <c r="P180" s="9"/>
      <c r="Q180" s="9"/>
      <c r="R180" s="16" t="str">
        <f aca="false">IF(OR(I180="",I180="FUENTE NO REGISTRADA"),"",INDEX(16_LISTAS!$A$4:$A$8,MAX(1,INDEX(16_LISTAS!$E$4:$E$9,MATCH(I180,16_LISTAS!$D$4:$D$9,0))-IF(F180="",0,IF(F180&lt;=IF(J180="S",18,12),0,IF(F180&lt;=IF(J180="S",30,24),1,2))))))</f>
        <v/>
      </c>
      <c r="S180" s="9"/>
      <c r="T180" s="9"/>
      <c r="U180" s="9"/>
    </row>
    <row r="181" customFormat="false" ht="15" hidden="false" customHeight="false" outlineLevel="0" collapsed="false">
      <c r="A181" s="9"/>
      <c r="B181" s="9"/>
      <c r="C181" s="21" t="str">
        <f aca="false">IF(A181="","",01_CONFIG!$B$4)</f>
        <v/>
      </c>
      <c r="D181" s="44" t="str">
        <f aca="false">IF(A181="","",01_CONFIG!$B$7)</f>
        <v/>
      </c>
      <c r="E181" s="11"/>
      <c r="F181" s="16" t="str">
        <f aca="false">IF(OR(E181="",D181=""),"",(YEAR(D181)-YEAR(E181))*12+MONTH(D181)-MONTH(E181))</f>
        <v/>
      </c>
      <c r="G181" s="16" t="str">
        <f aca="false">IF(OR(E181="",D181=""),"",IF(E181&gt;D181,"EXCLUIR","OK"))</f>
        <v/>
      </c>
      <c r="H181" s="9"/>
      <c r="I181" s="45" t="str">
        <f aca="false">IF(H181="","",IFERROR(INDEX(12_FUENTES!$B$2:$B$301,MATCH(H181,12_FUENTES!$A$2:$A$301,0)),"FUENTE NO REGISTRADA"))</f>
        <v/>
      </c>
      <c r="J181" s="9"/>
      <c r="K181" s="9"/>
      <c r="L181" s="9"/>
      <c r="M181" s="9"/>
      <c r="N181" s="9"/>
      <c r="O181" s="9"/>
      <c r="P181" s="9"/>
      <c r="Q181" s="9"/>
      <c r="R181" s="16" t="str">
        <f aca="false">IF(OR(I181="",I181="FUENTE NO REGISTRADA"),"",INDEX(16_LISTAS!$A$4:$A$8,MAX(1,INDEX(16_LISTAS!$E$4:$E$9,MATCH(I181,16_LISTAS!$D$4:$D$9,0))-IF(F181="",0,IF(F181&lt;=IF(J181="S",18,12),0,IF(F181&lt;=IF(J181="S",30,24),1,2))))))</f>
        <v/>
      </c>
      <c r="S181" s="9"/>
      <c r="T181" s="9"/>
      <c r="U181" s="9"/>
    </row>
    <row r="182" customFormat="false" ht="15" hidden="false" customHeight="false" outlineLevel="0" collapsed="false">
      <c r="A182" s="9"/>
      <c r="B182" s="9"/>
      <c r="C182" s="21" t="str">
        <f aca="false">IF(A182="","",01_CONFIG!$B$4)</f>
        <v/>
      </c>
      <c r="D182" s="44" t="str">
        <f aca="false">IF(A182="","",01_CONFIG!$B$7)</f>
        <v/>
      </c>
      <c r="E182" s="11"/>
      <c r="F182" s="16" t="str">
        <f aca="false">IF(OR(E182="",D182=""),"",(YEAR(D182)-YEAR(E182))*12+MONTH(D182)-MONTH(E182))</f>
        <v/>
      </c>
      <c r="G182" s="16" t="str">
        <f aca="false">IF(OR(E182="",D182=""),"",IF(E182&gt;D182,"EXCLUIR","OK"))</f>
        <v/>
      </c>
      <c r="H182" s="9"/>
      <c r="I182" s="45" t="str">
        <f aca="false">IF(H182="","",IFERROR(INDEX(12_FUENTES!$B$2:$B$301,MATCH(H182,12_FUENTES!$A$2:$A$301,0)),"FUENTE NO REGISTRADA"))</f>
        <v/>
      </c>
      <c r="J182" s="9"/>
      <c r="K182" s="9"/>
      <c r="L182" s="9"/>
      <c r="M182" s="9"/>
      <c r="N182" s="9"/>
      <c r="O182" s="9"/>
      <c r="P182" s="9"/>
      <c r="Q182" s="9"/>
      <c r="R182" s="16" t="str">
        <f aca="false">IF(OR(I182="",I182="FUENTE NO REGISTRADA"),"",INDEX(16_LISTAS!$A$4:$A$8,MAX(1,INDEX(16_LISTAS!$E$4:$E$9,MATCH(I182,16_LISTAS!$D$4:$D$9,0))-IF(F182="",0,IF(F182&lt;=IF(J182="S",18,12),0,IF(F182&lt;=IF(J182="S",30,24),1,2))))))</f>
        <v/>
      </c>
      <c r="S182" s="9"/>
      <c r="T182" s="9"/>
      <c r="U182" s="9"/>
    </row>
    <row r="183" customFormat="false" ht="15" hidden="false" customHeight="false" outlineLevel="0" collapsed="false">
      <c r="A183" s="9"/>
      <c r="B183" s="9"/>
      <c r="C183" s="21" t="str">
        <f aca="false">IF(A183="","",01_CONFIG!$B$4)</f>
        <v/>
      </c>
      <c r="D183" s="44" t="str">
        <f aca="false">IF(A183="","",01_CONFIG!$B$7)</f>
        <v/>
      </c>
      <c r="E183" s="11"/>
      <c r="F183" s="16" t="str">
        <f aca="false">IF(OR(E183="",D183=""),"",(YEAR(D183)-YEAR(E183))*12+MONTH(D183)-MONTH(E183))</f>
        <v/>
      </c>
      <c r="G183" s="16" t="str">
        <f aca="false">IF(OR(E183="",D183=""),"",IF(E183&gt;D183,"EXCLUIR","OK"))</f>
        <v/>
      </c>
      <c r="H183" s="9"/>
      <c r="I183" s="45" t="str">
        <f aca="false">IF(H183="","",IFERROR(INDEX(12_FUENTES!$B$2:$B$301,MATCH(H183,12_FUENTES!$A$2:$A$301,0)),"FUENTE NO REGISTRADA"))</f>
        <v/>
      </c>
      <c r="J183" s="9"/>
      <c r="K183" s="9"/>
      <c r="L183" s="9"/>
      <c r="M183" s="9"/>
      <c r="N183" s="9"/>
      <c r="O183" s="9"/>
      <c r="P183" s="9"/>
      <c r="Q183" s="9"/>
      <c r="R183" s="16" t="str">
        <f aca="false">IF(OR(I183="",I183="FUENTE NO REGISTRADA"),"",INDEX(16_LISTAS!$A$4:$A$8,MAX(1,INDEX(16_LISTAS!$E$4:$E$9,MATCH(I183,16_LISTAS!$D$4:$D$9,0))-IF(F183="",0,IF(F183&lt;=IF(J183="S",18,12),0,IF(F183&lt;=IF(J183="S",30,24),1,2))))))</f>
        <v/>
      </c>
      <c r="S183" s="9"/>
      <c r="T183" s="9"/>
      <c r="U183" s="9"/>
    </row>
    <row r="184" customFormat="false" ht="15" hidden="false" customHeight="false" outlineLevel="0" collapsed="false">
      <c r="A184" s="9"/>
      <c r="B184" s="9"/>
      <c r="C184" s="21" t="str">
        <f aca="false">IF(A184="","",01_CONFIG!$B$4)</f>
        <v/>
      </c>
      <c r="D184" s="44" t="str">
        <f aca="false">IF(A184="","",01_CONFIG!$B$7)</f>
        <v/>
      </c>
      <c r="E184" s="11"/>
      <c r="F184" s="16" t="str">
        <f aca="false">IF(OR(E184="",D184=""),"",(YEAR(D184)-YEAR(E184))*12+MONTH(D184)-MONTH(E184))</f>
        <v/>
      </c>
      <c r="G184" s="16" t="str">
        <f aca="false">IF(OR(E184="",D184=""),"",IF(E184&gt;D184,"EXCLUIR","OK"))</f>
        <v/>
      </c>
      <c r="H184" s="9"/>
      <c r="I184" s="45" t="str">
        <f aca="false">IF(H184="","",IFERROR(INDEX(12_FUENTES!$B$2:$B$301,MATCH(H184,12_FUENTES!$A$2:$A$301,0)),"FUENTE NO REGISTRADA"))</f>
        <v/>
      </c>
      <c r="J184" s="9"/>
      <c r="K184" s="9"/>
      <c r="L184" s="9"/>
      <c r="M184" s="9"/>
      <c r="N184" s="9"/>
      <c r="O184" s="9"/>
      <c r="P184" s="9"/>
      <c r="Q184" s="9"/>
      <c r="R184" s="16" t="str">
        <f aca="false">IF(OR(I184="",I184="FUENTE NO REGISTRADA"),"",INDEX(16_LISTAS!$A$4:$A$8,MAX(1,INDEX(16_LISTAS!$E$4:$E$9,MATCH(I184,16_LISTAS!$D$4:$D$9,0))-IF(F184="",0,IF(F184&lt;=IF(J184="S",18,12),0,IF(F184&lt;=IF(J184="S",30,24),1,2))))))</f>
        <v/>
      </c>
      <c r="S184" s="9"/>
      <c r="T184" s="9"/>
      <c r="U184" s="9"/>
    </row>
    <row r="185" customFormat="false" ht="15" hidden="false" customHeight="false" outlineLevel="0" collapsed="false">
      <c r="A185" s="9"/>
      <c r="B185" s="9"/>
      <c r="C185" s="21" t="str">
        <f aca="false">IF(A185="","",01_CONFIG!$B$4)</f>
        <v/>
      </c>
      <c r="D185" s="44" t="str">
        <f aca="false">IF(A185="","",01_CONFIG!$B$7)</f>
        <v/>
      </c>
      <c r="E185" s="11"/>
      <c r="F185" s="16" t="str">
        <f aca="false">IF(OR(E185="",D185=""),"",(YEAR(D185)-YEAR(E185))*12+MONTH(D185)-MONTH(E185))</f>
        <v/>
      </c>
      <c r="G185" s="16" t="str">
        <f aca="false">IF(OR(E185="",D185=""),"",IF(E185&gt;D185,"EXCLUIR","OK"))</f>
        <v/>
      </c>
      <c r="H185" s="9"/>
      <c r="I185" s="45" t="str">
        <f aca="false">IF(H185="","",IFERROR(INDEX(12_FUENTES!$B$2:$B$301,MATCH(H185,12_FUENTES!$A$2:$A$301,0)),"FUENTE NO REGISTRADA"))</f>
        <v/>
      </c>
      <c r="J185" s="9"/>
      <c r="K185" s="9"/>
      <c r="L185" s="9"/>
      <c r="M185" s="9"/>
      <c r="N185" s="9"/>
      <c r="O185" s="9"/>
      <c r="P185" s="9"/>
      <c r="Q185" s="9"/>
      <c r="R185" s="16" t="str">
        <f aca="false">IF(OR(I185="",I185="FUENTE NO REGISTRADA"),"",INDEX(16_LISTAS!$A$4:$A$8,MAX(1,INDEX(16_LISTAS!$E$4:$E$9,MATCH(I185,16_LISTAS!$D$4:$D$9,0))-IF(F185="",0,IF(F185&lt;=IF(J185="S",18,12),0,IF(F185&lt;=IF(J185="S",30,24),1,2))))))</f>
        <v/>
      </c>
      <c r="S185" s="9"/>
      <c r="T185" s="9"/>
      <c r="U185" s="9"/>
    </row>
    <row r="186" customFormat="false" ht="15" hidden="false" customHeight="false" outlineLevel="0" collapsed="false">
      <c r="A186" s="9"/>
      <c r="B186" s="9"/>
      <c r="C186" s="21" t="str">
        <f aca="false">IF(A186="","",01_CONFIG!$B$4)</f>
        <v/>
      </c>
      <c r="D186" s="44" t="str">
        <f aca="false">IF(A186="","",01_CONFIG!$B$7)</f>
        <v/>
      </c>
      <c r="E186" s="11"/>
      <c r="F186" s="16" t="str">
        <f aca="false">IF(OR(E186="",D186=""),"",(YEAR(D186)-YEAR(E186))*12+MONTH(D186)-MONTH(E186))</f>
        <v/>
      </c>
      <c r="G186" s="16" t="str">
        <f aca="false">IF(OR(E186="",D186=""),"",IF(E186&gt;D186,"EXCLUIR","OK"))</f>
        <v/>
      </c>
      <c r="H186" s="9"/>
      <c r="I186" s="45" t="str">
        <f aca="false">IF(H186="","",IFERROR(INDEX(12_FUENTES!$B$2:$B$301,MATCH(H186,12_FUENTES!$A$2:$A$301,0)),"FUENTE NO REGISTRADA"))</f>
        <v/>
      </c>
      <c r="J186" s="9"/>
      <c r="K186" s="9"/>
      <c r="L186" s="9"/>
      <c r="M186" s="9"/>
      <c r="N186" s="9"/>
      <c r="O186" s="9"/>
      <c r="P186" s="9"/>
      <c r="Q186" s="9"/>
      <c r="R186" s="16" t="str">
        <f aca="false">IF(OR(I186="",I186="FUENTE NO REGISTRADA"),"",INDEX(16_LISTAS!$A$4:$A$8,MAX(1,INDEX(16_LISTAS!$E$4:$E$9,MATCH(I186,16_LISTAS!$D$4:$D$9,0))-IF(F186="",0,IF(F186&lt;=IF(J186="S",18,12),0,IF(F186&lt;=IF(J186="S",30,24),1,2))))))</f>
        <v/>
      </c>
      <c r="S186" s="9"/>
      <c r="T186" s="9"/>
      <c r="U186" s="9"/>
    </row>
    <row r="187" customFormat="false" ht="15" hidden="false" customHeight="false" outlineLevel="0" collapsed="false">
      <c r="A187" s="9"/>
      <c r="B187" s="9"/>
      <c r="C187" s="21" t="str">
        <f aca="false">IF(A187="","",01_CONFIG!$B$4)</f>
        <v/>
      </c>
      <c r="D187" s="44" t="str">
        <f aca="false">IF(A187="","",01_CONFIG!$B$7)</f>
        <v/>
      </c>
      <c r="E187" s="11"/>
      <c r="F187" s="16" t="str">
        <f aca="false">IF(OR(E187="",D187=""),"",(YEAR(D187)-YEAR(E187))*12+MONTH(D187)-MONTH(E187))</f>
        <v/>
      </c>
      <c r="G187" s="16" t="str">
        <f aca="false">IF(OR(E187="",D187=""),"",IF(E187&gt;D187,"EXCLUIR","OK"))</f>
        <v/>
      </c>
      <c r="H187" s="9"/>
      <c r="I187" s="45" t="str">
        <f aca="false">IF(H187="","",IFERROR(INDEX(12_FUENTES!$B$2:$B$301,MATCH(H187,12_FUENTES!$A$2:$A$301,0)),"FUENTE NO REGISTRADA"))</f>
        <v/>
      </c>
      <c r="J187" s="9"/>
      <c r="K187" s="9"/>
      <c r="L187" s="9"/>
      <c r="M187" s="9"/>
      <c r="N187" s="9"/>
      <c r="O187" s="9"/>
      <c r="P187" s="9"/>
      <c r="Q187" s="9"/>
      <c r="R187" s="16" t="str">
        <f aca="false">IF(OR(I187="",I187="FUENTE NO REGISTRADA"),"",INDEX(16_LISTAS!$A$4:$A$8,MAX(1,INDEX(16_LISTAS!$E$4:$E$9,MATCH(I187,16_LISTAS!$D$4:$D$9,0))-IF(F187="",0,IF(F187&lt;=IF(J187="S",18,12),0,IF(F187&lt;=IF(J187="S",30,24),1,2))))))</f>
        <v/>
      </c>
      <c r="S187" s="9"/>
      <c r="T187" s="9"/>
      <c r="U187" s="9"/>
    </row>
    <row r="188" customFormat="false" ht="15" hidden="false" customHeight="false" outlineLevel="0" collapsed="false">
      <c r="A188" s="9"/>
      <c r="B188" s="9"/>
      <c r="C188" s="21" t="str">
        <f aca="false">IF(A188="","",01_CONFIG!$B$4)</f>
        <v/>
      </c>
      <c r="D188" s="44" t="str">
        <f aca="false">IF(A188="","",01_CONFIG!$B$7)</f>
        <v/>
      </c>
      <c r="E188" s="11"/>
      <c r="F188" s="16" t="str">
        <f aca="false">IF(OR(E188="",D188=""),"",(YEAR(D188)-YEAR(E188))*12+MONTH(D188)-MONTH(E188))</f>
        <v/>
      </c>
      <c r="G188" s="16" t="str">
        <f aca="false">IF(OR(E188="",D188=""),"",IF(E188&gt;D188,"EXCLUIR","OK"))</f>
        <v/>
      </c>
      <c r="H188" s="9"/>
      <c r="I188" s="45" t="str">
        <f aca="false">IF(H188="","",IFERROR(INDEX(12_FUENTES!$B$2:$B$301,MATCH(H188,12_FUENTES!$A$2:$A$301,0)),"FUENTE NO REGISTRADA"))</f>
        <v/>
      </c>
      <c r="J188" s="9"/>
      <c r="K188" s="9"/>
      <c r="L188" s="9"/>
      <c r="M188" s="9"/>
      <c r="N188" s="9"/>
      <c r="O188" s="9"/>
      <c r="P188" s="9"/>
      <c r="Q188" s="9"/>
      <c r="R188" s="16" t="str">
        <f aca="false">IF(OR(I188="",I188="FUENTE NO REGISTRADA"),"",INDEX(16_LISTAS!$A$4:$A$8,MAX(1,INDEX(16_LISTAS!$E$4:$E$9,MATCH(I188,16_LISTAS!$D$4:$D$9,0))-IF(F188="",0,IF(F188&lt;=IF(J188="S",18,12),0,IF(F188&lt;=IF(J188="S",30,24),1,2))))))</f>
        <v/>
      </c>
      <c r="S188" s="9"/>
      <c r="T188" s="9"/>
      <c r="U188" s="9"/>
    </row>
    <row r="189" customFormat="false" ht="15" hidden="false" customHeight="false" outlineLevel="0" collapsed="false">
      <c r="A189" s="9"/>
      <c r="B189" s="9"/>
      <c r="C189" s="21" t="str">
        <f aca="false">IF(A189="","",01_CONFIG!$B$4)</f>
        <v/>
      </c>
      <c r="D189" s="44" t="str">
        <f aca="false">IF(A189="","",01_CONFIG!$B$7)</f>
        <v/>
      </c>
      <c r="E189" s="11"/>
      <c r="F189" s="16" t="str">
        <f aca="false">IF(OR(E189="",D189=""),"",(YEAR(D189)-YEAR(E189))*12+MONTH(D189)-MONTH(E189))</f>
        <v/>
      </c>
      <c r="G189" s="16" t="str">
        <f aca="false">IF(OR(E189="",D189=""),"",IF(E189&gt;D189,"EXCLUIR","OK"))</f>
        <v/>
      </c>
      <c r="H189" s="9"/>
      <c r="I189" s="45" t="str">
        <f aca="false">IF(H189="","",IFERROR(INDEX(12_FUENTES!$B$2:$B$301,MATCH(H189,12_FUENTES!$A$2:$A$301,0)),"FUENTE NO REGISTRADA"))</f>
        <v/>
      </c>
      <c r="J189" s="9"/>
      <c r="K189" s="9"/>
      <c r="L189" s="9"/>
      <c r="M189" s="9"/>
      <c r="N189" s="9"/>
      <c r="O189" s="9"/>
      <c r="P189" s="9"/>
      <c r="Q189" s="9"/>
      <c r="R189" s="16" t="str">
        <f aca="false">IF(OR(I189="",I189="FUENTE NO REGISTRADA"),"",INDEX(16_LISTAS!$A$4:$A$8,MAX(1,INDEX(16_LISTAS!$E$4:$E$9,MATCH(I189,16_LISTAS!$D$4:$D$9,0))-IF(F189="",0,IF(F189&lt;=IF(J189="S",18,12),0,IF(F189&lt;=IF(J189="S",30,24),1,2))))))</f>
        <v/>
      </c>
      <c r="S189" s="9"/>
      <c r="T189" s="9"/>
      <c r="U189" s="9"/>
    </row>
    <row r="190" customFormat="false" ht="15" hidden="false" customHeight="false" outlineLevel="0" collapsed="false">
      <c r="A190" s="9"/>
      <c r="B190" s="9"/>
      <c r="C190" s="21" t="str">
        <f aca="false">IF(A190="","",01_CONFIG!$B$4)</f>
        <v/>
      </c>
      <c r="D190" s="44" t="str">
        <f aca="false">IF(A190="","",01_CONFIG!$B$7)</f>
        <v/>
      </c>
      <c r="E190" s="11"/>
      <c r="F190" s="16" t="str">
        <f aca="false">IF(OR(E190="",D190=""),"",(YEAR(D190)-YEAR(E190))*12+MONTH(D190)-MONTH(E190))</f>
        <v/>
      </c>
      <c r="G190" s="16" t="str">
        <f aca="false">IF(OR(E190="",D190=""),"",IF(E190&gt;D190,"EXCLUIR","OK"))</f>
        <v/>
      </c>
      <c r="H190" s="9"/>
      <c r="I190" s="45" t="str">
        <f aca="false">IF(H190="","",IFERROR(INDEX(12_FUENTES!$B$2:$B$301,MATCH(H190,12_FUENTES!$A$2:$A$301,0)),"FUENTE NO REGISTRADA"))</f>
        <v/>
      </c>
      <c r="J190" s="9"/>
      <c r="K190" s="9"/>
      <c r="L190" s="9"/>
      <c r="M190" s="9"/>
      <c r="N190" s="9"/>
      <c r="O190" s="9"/>
      <c r="P190" s="9"/>
      <c r="Q190" s="9"/>
      <c r="R190" s="16" t="str">
        <f aca="false">IF(OR(I190="",I190="FUENTE NO REGISTRADA"),"",INDEX(16_LISTAS!$A$4:$A$8,MAX(1,INDEX(16_LISTAS!$E$4:$E$9,MATCH(I190,16_LISTAS!$D$4:$D$9,0))-IF(F190="",0,IF(F190&lt;=IF(J190="S",18,12),0,IF(F190&lt;=IF(J190="S",30,24),1,2))))))</f>
        <v/>
      </c>
      <c r="S190" s="9"/>
      <c r="T190" s="9"/>
      <c r="U190" s="9"/>
    </row>
    <row r="191" customFormat="false" ht="15" hidden="false" customHeight="false" outlineLevel="0" collapsed="false">
      <c r="A191" s="9"/>
      <c r="B191" s="9"/>
      <c r="C191" s="21" t="str">
        <f aca="false">IF(A191="","",01_CONFIG!$B$4)</f>
        <v/>
      </c>
      <c r="D191" s="44" t="str">
        <f aca="false">IF(A191="","",01_CONFIG!$B$7)</f>
        <v/>
      </c>
      <c r="E191" s="11"/>
      <c r="F191" s="16" t="str">
        <f aca="false">IF(OR(E191="",D191=""),"",(YEAR(D191)-YEAR(E191))*12+MONTH(D191)-MONTH(E191))</f>
        <v/>
      </c>
      <c r="G191" s="16" t="str">
        <f aca="false">IF(OR(E191="",D191=""),"",IF(E191&gt;D191,"EXCLUIR","OK"))</f>
        <v/>
      </c>
      <c r="H191" s="9"/>
      <c r="I191" s="45" t="str">
        <f aca="false">IF(H191="","",IFERROR(INDEX(12_FUENTES!$B$2:$B$301,MATCH(H191,12_FUENTES!$A$2:$A$301,0)),"FUENTE NO REGISTRADA"))</f>
        <v/>
      </c>
      <c r="J191" s="9"/>
      <c r="K191" s="9"/>
      <c r="L191" s="9"/>
      <c r="M191" s="9"/>
      <c r="N191" s="9"/>
      <c r="O191" s="9"/>
      <c r="P191" s="9"/>
      <c r="Q191" s="9"/>
      <c r="R191" s="16" t="str">
        <f aca="false">IF(OR(I191="",I191="FUENTE NO REGISTRADA"),"",INDEX(16_LISTAS!$A$4:$A$8,MAX(1,INDEX(16_LISTAS!$E$4:$E$9,MATCH(I191,16_LISTAS!$D$4:$D$9,0))-IF(F191="",0,IF(F191&lt;=IF(J191="S",18,12),0,IF(F191&lt;=IF(J191="S",30,24),1,2))))))</f>
        <v/>
      </c>
      <c r="S191" s="9"/>
      <c r="T191" s="9"/>
      <c r="U191" s="9"/>
    </row>
    <row r="192" customFormat="false" ht="15" hidden="false" customHeight="false" outlineLevel="0" collapsed="false">
      <c r="A192" s="9"/>
      <c r="B192" s="9"/>
      <c r="C192" s="21" t="str">
        <f aca="false">IF(A192="","",01_CONFIG!$B$4)</f>
        <v/>
      </c>
      <c r="D192" s="44" t="str">
        <f aca="false">IF(A192="","",01_CONFIG!$B$7)</f>
        <v/>
      </c>
      <c r="E192" s="11"/>
      <c r="F192" s="16" t="str">
        <f aca="false">IF(OR(E192="",D192=""),"",(YEAR(D192)-YEAR(E192))*12+MONTH(D192)-MONTH(E192))</f>
        <v/>
      </c>
      <c r="G192" s="16" t="str">
        <f aca="false">IF(OR(E192="",D192=""),"",IF(E192&gt;D192,"EXCLUIR","OK"))</f>
        <v/>
      </c>
      <c r="H192" s="9"/>
      <c r="I192" s="45" t="str">
        <f aca="false">IF(H192="","",IFERROR(INDEX(12_FUENTES!$B$2:$B$301,MATCH(H192,12_FUENTES!$A$2:$A$301,0)),"FUENTE NO REGISTRADA"))</f>
        <v/>
      </c>
      <c r="J192" s="9"/>
      <c r="K192" s="9"/>
      <c r="L192" s="9"/>
      <c r="M192" s="9"/>
      <c r="N192" s="9"/>
      <c r="O192" s="9"/>
      <c r="P192" s="9"/>
      <c r="Q192" s="9"/>
      <c r="R192" s="16" t="str">
        <f aca="false">IF(OR(I192="",I192="FUENTE NO REGISTRADA"),"",INDEX(16_LISTAS!$A$4:$A$8,MAX(1,INDEX(16_LISTAS!$E$4:$E$9,MATCH(I192,16_LISTAS!$D$4:$D$9,0))-IF(F192="",0,IF(F192&lt;=IF(J192="S",18,12),0,IF(F192&lt;=IF(J192="S",30,24),1,2))))))</f>
        <v/>
      </c>
      <c r="S192" s="9"/>
      <c r="T192" s="9"/>
      <c r="U192" s="9"/>
    </row>
    <row r="193" customFormat="false" ht="15" hidden="false" customHeight="false" outlineLevel="0" collapsed="false">
      <c r="A193" s="9"/>
      <c r="B193" s="9"/>
      <c r="C193" s="21" t="str">
        <f aca="false">IF(A193="","",01_CONFIG!$B$4)</f>
        <v/>
      </c>
      <c r="D193" s="44" t="str">
        <f aca="false">IF(A193="","",01_CONFIG!$B$7)</f>
        <v/>
      </c>
      <c r="E193" s="11"/>
      <c r="F193" s="16" t="str">
        <f aca="false">IF(OR(E193="",D193=""),"",(YEAR(D193)-YEAR(E193))*12+MONTH(D193)-MONTH(E193))</f>
        <v/>
      </c>
      <c r="G193" s="16" t="str">
        <f aca="false">IF(OR(E193="",D193=""),"",IF(E193&gt;D193,"EXCLUIR","OK"))</f>
        <v/>
      </c>
      <c r="H193" s="9"/>
      <c r="I193" s="45" t="str">
        <f aca="false">IF(H193="","",IFERROR(INDEX(12_FUENTES!$B$2:$B$301,MATCH(H193,12_FUENTES!$A$2:$A$301,0)),"FUENTE NO REGISTRADA"))</f>
        <v/>
      </c>
      <c r="J193" s="9"/>
      <c r="K193" s="9"/>
      <c r="L193" s="9"/>
      <c r="M193" s="9"/>
      <c r="N193" s="9"/>
      <c r="O193" s="9"/>
      <c r="P193" s="9"/>
      <c r="Q193" s="9"/>
      <c r="R193" s="16" t="str">
        <f aca="false">IF(OR(I193="",I193="FUENTE NO REGISTRADA"),"",INDEX(16_LISTAS!$A$4:$A$8,MAX(1,INDEX(16_LISTAS!$E$4:$E$9,MATCH(I193,16_LISTAS!$D$4:$D$9,0))-IF(F193="",0,IF(F193&lt;=IF(J193="S",18,12),0,IF(F193&lt;=IF(J193="S",30,24),1,2))))))</f>
        <v/>
      </c>
      <c r="S193" s="9"/>
      <c r="T193" s="9"/>
      <c r="U193" s="9"/>
    </row>
    <row r="194" customFormat="false" ht="15" hidden="false" customHeight="false" outlineLevel="0" collapsed="false">
      <c r="A194" s="9"/>
      <c r="B194" s="9"/>
      <c r="C194" s="21" t="str">
        <f aca="false">IF(A194="","",01_CONFIG!$B$4)</f>
        <v/>
      </c>
      <c r="D194" s="44" t="str">
        <f aca="false">IF(A194="","",01_CONFIG!$B$7)</f>
        <v/>
      </c>
      <c r="E194" s="11"/>
      <c r="F194" s="16" t="str">
        <f aca="false">IF(OR(E194="",D194=""),"",(YEAR(D194)-YEAR(E194))*12+MONTH(D194)-MONTH(E194))</f>
        <v/>
      </c>
      <c r="G194" s="16" t="str">
        <f aca="false">IF(OR(E194="",D194=""),"",IF(E194&gt;D194,"EXCLUIR","OK"))</f>
        <v/>
      </c>
      <c r="H194" s="9"/>
      <c r="I194" s="45" t="str">
        <f aca="false">IF(H194="","",IFERROR(INDEX(12_FUENTES!$B$2:$B$301,MATCH(H194,12_FUENTES!$A$2:$A$301,0)),"FUENTE NO REGISTRADA"))</f>
        <v/>
      </c>
      <c r="J194" s="9"/>
      <c r="K194" s="9"/>
      <c r="L194" s="9"/>
      <c r="M194" s="9"/>
      <c r="N194" s="9"/>
      <c r="O194" s="9"/>
      <c r="P194" s="9"/>
      <c r="Q194" s="9"/>
      <c r="R194" s="16" t="str">
        <f aca="false">IF(OR(I194="",I194="FUENTE NO REGISTRADA"),"",INDEX(16_LISTAS!$A$4:$A$8,MAX(1,INDEX(16_LISTAS!$E$4:$E$9,MATCH(I194,16_LISTAS!$D$4:$D$9,0))-IF(F194="",0,IF(F194&lt;=IF(J194="S",18,12),0,IF(F194&lt;=IF(J194="S",30,24),1,2))))))</f>
        <v/>
      </c>
      <c r="S194" s="9"/>
      <c r="T194" s="9"/>
      <c r="U194" s="9"/>
    </row>
    <row r="195" customFormat="false" ht="15" hidden="false" customHeight="false" outlineLevel="0" collapsed="false">
      <c r="A195" s="9"/>
      <c r="B195" s="9"/>
      <c r="C195" s="21" t="str">
        <f aca="false">IF(A195="","",01_CONFIG!$B$4)</f>
        <v/>
      </c>
      <c r="D195" s="44" t="str">
        <f aca="false">IF(A195="","",01_CONFIG!$B$7)</f>
        <v/>
      </c>
      <c r="E195" s="11"/>
      <c r="F195" s="16" t="str">
        <f aca="false">IF(OR(E195="",D195=""),"",(YEAR(D195)-YEAR(E195))*12+MONTH(D195)-MONTH(E195))</f>
        <v/>
      </c>
      <c r="G195" s="16" t="str">
        <f aca="false">IF(OR(E195="",D195=""),"",IF(E195&gt;D195,"EXCLUIR","OK"))</f>
        <v/>
      </c>
      <c r="H195" s="9"/>
      <c r="I195" s="45" t="str">
        <f aca="false">IF(H195="","",IFERROR(INDEX(12_FUENTES!$B$2:$B$301,MATCH(H195,12_FUENTES!$A$2:$A$301,0)),"FUENTE NO REGISTRADA"))</f>
        <v/>
      </c>
      <c r="J195" s="9"/>
      <c r="K195" s="9"/>
      <c r="L195" s="9"/>
      <c r="M195" s="9"/>
      <c r="N195" s="9"/>
      <c r="O195" s="9"/>
      <c r="P195" s="9"/>
      <c r="Q195" s="9"/>
      <c r="R195" s="16" t="str">
        <f aca="false">IF(OR(I195="",I195="FUENTE NO REGISTRADA"),"",INDEX(16_LISTAS!$A$4:$A$8,MAX(1,INDEX(16_LISTAS!$E$4:$E$9,MATCH(I195,16_LISTAS!$D$4:$D$9,0))-IF(F195="",0,IF(F195&lt;=IF(J195="S",18,12),0,IF(F195&lt;=IF(J195="S",30,24),1,2))))))</f>
        <v/>
      </c>
      <c r="S195" s="9"/>
      <c r="T195" s="9"/>
      <c r="U195" s="9"/>
    </row>
    <row r="196" customFormat="false" ht="15" hidden="false" customHeight="false" outlineLevel="0" collapsed="false">
      <c r="A196" s="9"/>
      <c r="B196" s="9"/>
      <c r="C196" s="21" t="str">
        <f aca="false">IF(A196="","",01_CONFIG!$B$4)</f>
        <v/>
      </c>
      <c r="D196" s="44" t="str">
        <f aca="false">IF(A196="","",01_CONFIG!$B$7)</f>
        <v/>
      </c>
      <c r="E196" s="11"/>
      <c r="F196" s="16" t="str">
        <f aca="false">IF(OR(E196="",D196=""),"",(YEAR(D196)-YEAR(E196))*12+MONTH(D196)-MONTH(E196))</f>
        <v/>
      </c>
      <c r="G196" s="16" t="str">
        <f aca="false">IF(OR(E196="",D196=""),"",IF(E196&gt;D196,"EXCLUIR","OK"))</f>
        <v/>
      </c>
      <c r="H196" s="9"/>
      <c r="I196" s="45" t="str">
        <f aca="false">IF(H196="","",IFERROR(INDEX(12_FUENTES!$B$2:$B$301,MATCH(H196,12_FUENTES!$A$2:$A$301,0)),"FUENTE NO REGISTRADA"))</f>
        <v/>
      </c>
      <c r="J196" s="9"/>
      <c r="K196" s="9"/>
      <c r="L196" s="9"/>
      <c r="M196" s="9"/>
      <c r="N196" s="9"/>
      <c r="O196" s="9"/>
      <c r="P196" s="9"/>
      <c r="Q196" s="9"/>
      <c r="R196" s="16" t="str">
        <f aca="false">IF(OR(I196="",I196="FUENTE NO REGISTRADA"),"",INDEX(16_LISTAS!$A$4:$A$8,MAX(1,INDEX(16_LISTAS!$E$4:$E$9,MATCH(I196,16_LISTAS!$D$4:$D$9,0))-IF(F196="",0,IF(F196&lt;=IF(J196="S",18,12),0,IF(F196&lt;=IF(J196="S",30,24),1,2))))))</f>
        <v/>
      </c>
      <c r="S196" s="9"/>
      <c r="T196" s="9"/>
      <c r="U196" s="9"/>
    </row>
    <row r="197" customFormat="false" ht="15" hidden="false" customHeight="false" outlineLevel="0" collapsed="false">
      <c r="A197" s="9"/>
      <c r="B197" s="9"/>
      <c r="C197" s="21" t="str">
        <f aca="false">IF(A197="","",01_CONFIG!$B$4)</f>
        <v/>
      </c>
      <c r="D197" s="44" t="str">
        <f aca="false">IF(A197="","",01_CONFIG!$B$7)</f>
        <v/>
      </c>
      <c r="E197" s="11"/>
      <c r="F197" s="16" t="str">
        <f aca="false">IF(OR(E197="",D197=""),"",(YEAR(D197)-YEAR(E197))*12+MONTH(D197)-MONTH(E197))</f>
        <v/>
      </c>
      <c r="G197" s="16" t="str">
        <f aca="false">IF(OR(E197="",D197=""),"",IF(E197&gt;D197,"EXCLUIR","OK"))</f>
        <v/>
      </c>
      <c r="H197" s="9"/>
      <c r="I197" s="45" t="str">
        <f aca="false">IF(H197="","",IFERROR(INDEX(12_FUENTES!$B$2:$B$301,MATCH(H197,12_FUENTES!$A$2:$A$301,0)),"FUENTE NO REGISTRADA"))</f>
        <v/>
      </c>
      <c r="J197" s="9"/>
      <c r="K197" s="9"/>
      <c r="L197" s="9"/>
      <c r="M197" s="9"/>
      <c r="N197" s="9"/>
      <c r="O197" s="9"/>
      <c r="P197" s="9"/>
      <c r="Q197" s="9"/>
      <c r="R197" s="16" t="str">
        <f aca="false">IF(OR(I197="",I197="FUENTE NO REGISTRADA"),"",INDEX(16_LISTAS!$A$4:$A$8,MAX(1,INDEX(16_LISTAS!$E$4:$E$9,MATCH(I197,16_LISTAS!$D$4:$D$9,0))-IF(F197="",0,IF(F197&lt;=IF(J197="S",18,12),0,IF(F197&lt;=IF(J197="S",30,24),1,2))))))</f>
        <v/>
      </c>
      <c r="S197" s="9"/>
      <c r="T197" s="9"/>
      <c r="U197" s="9"/>
    </row>
    <row r="198" customFormat="false" ht="15" hidden="false" customHeight="false" outlineLevel="0" collapsed="false">
      <c r="A198" s="9"/>
      <c r="B198" s="9"/>
      <c r="C198" s="21" t="str">
        <f aca="false">IF(A198="","",01_CONFIG!$B$4)</f>
        <v/>
      </c>
      <c r="D198" s="44" t="str">
        <f aca="false">IF(A198="","",01_CONFIG!$B$7)</f>
        <v/>
      </c>
      <c r="E198" s="11"/>
      <c r="F198" s="16" t="str">
        <f aca="false">IF(OR(E198="",D198=""),"",(YEAR(D198)-YEAR(E198))*12+MONTH(D198)-MONTH(E198))</f>
        <v/>
      </c>
      <c r="G198" s="16" t="str">
        <f aca="false">IF(OR(E198="",D198=""),"",IF(E198&gt;D198,"EXCLUIR","OK"))</f>
        <v/>
      </c>
      <c r="H198" s="9"/>
      <c r="I198" s="45" t="str">
        <f aca="false">IF(H198="","",IFERROR(INDEX(12_FUENTES!$B$2:$B$301,MATCH(H198,12_FUENTES!$A$2:$A$301,0)),"FUENTE NO REGISTRADA"))</f>
        <v/>
      </c>
      <c r="J198" s="9"/>
      <c r="K198" s="9"/>
      <c r="L198" s="9"/>
      <c r="M198" s="9"/>
      <c r="N198" s="9"/>
      <c r="O198" s="9"/>
      <c r="P198" s="9"/>
      <c r="Q198" s="9"/>
      <c r="R198" s="16" t="str">
        <f aca="false">IF(OR(I198="",I198="FUENTE NO REGISTRADA"),"",INDEX(16_LISTAS!$A$4:$A$8,MAX(1,INDEX(16_LISTAS!$E$4:$E$9,MATCH(I198,16_LISTAS!$D$4:$D$9,0))-IF(F198="",0,IF(F198&lt;=IF(J198="S",18,12),0,IF(F198&lt;=IF(J198="S",30,24),1,2))))))</f>
        <v/>
      </c>
      <c r="S198" s="9"/>
      <c r="T198" s="9"/>
      <c r="U198" s="9"/>
    </row>
    <row r="199" customFormat="false" ht="15" hidden="false" customHeight="false" outlineLevel="0" collapsed="false">
      <c r="A199" s="9"/>
      <c r="B199" s="9"/>
      <c r="C199" s="21" t="str">
        <f aca="false">IF(A199="","",01_CONFIG!$B$4)</f>
        <v/>
      </c>
      <c r="D199" s="44" t="str">
        <f aca="false">IF(A199="","",01_CONFIG!$B$7)</f>
        <v/>
      </c>
      <c r="E199" s="11"/>
      <c r="F199" s="16" t="str">
        <f aca="false">IF(OR(E199="",D199=""),"",(YEAR(D199)-YEAR(E199))*12+MONTH(D199)-MONTH(E199))</f>
        <v/>
      </c>
      <c r="G199" s="16" t="str">
        <f aca="false">IF(OR(E199="",D199=""),"",IF(E199&gt;D199,"EXCLUIR","OK"))</f>
        <v/>
      </c>
      <c r="H199" s="9"/>
      <c r="I199" s="45" t="str">
        <f aca="false">IF(H199="","",IFERROR(INDEX(12_FUENTES!$B$2:$B$301,MATCH(H199,12_FUENTES!$A$2:$A$301,0)),"FUENTE NO REGISTRADA"))</f>
        <v/>
      </c>
      <c r="J199" s="9"/>
      <c r="K199" s="9"/>
      <c r="L199" s="9"/>
      <c r="M199" s="9"/>
      <c r="N199" s="9"/>
      <c r="O199" s="9"/>
      <c r="P199" s="9"/>
      <c r="Q199" s="9"/>
      <c r="R199" s="16" t="str">
        <f aca="false">IF(OR(I199="",I199="FUENTE NO REGISTRADA"),"",INDEX(16_LISTAS!$A$4:$A$8,MAX(1,INDEX(16_LISTAS!$E$4:$E$9,MATCH(I199,16_LISTAS!$D$4:$D$9,0))-IF(F199="",0,IF(F199&lt;=IF(J199="S",18,12),0,IF(F199&lt;=IF(J199="S",30,24),1,2))))))</f>
        <v/>
      </c>
      <c r="S199" s="9"/>
      <c r="T199" s="9"/>
      <c r="U199" s="9"/>
    </row>
    <row r="200" customFormat="false" ht="15" hidden="false" customHeight="false" outlineLevel="0" collapsed="false">
      <c r="A200" s="9"/>
      <c r="B200" s="9"/>
      <c r="C200" s="21" t="str">
        <f aca="false">IF(A200="","",01_CONFIG!$B$4)</f>
        <v/>
      </c>
      <c r="D200" s="44" t="str">
        <f aca="false">IF(A200="","",01_CONFIG!$B$7)</f>
        <v/>
      </c>
      <c r="E200" s="11"/>
      <c r="F200" s="16" t="str">
        <f aca="false">IF(OR(E200="",D200=""),"",(YEAR(D200)-YEAR(E200))*12+MONTH(D200)-MONTH(E200))</f>
        <v/>
      </c>
      <c r="G200" s="16" t="str">
        <f aca="false">IF(OR(E200="",D200=""),"",IF(E200&gt;D200,"EXCLUIR","OK"))</f>
        <v/>
      </c>
      <c r="H200" s="9"/>
      <c r="I200" s="45" t="str">
        <f aca="false">IF(H200="","",IFERROR(INDEX(12_FUENTES!$B$2:$B$301,MATCH(H200,12_FUENTES!$A$2:$A$301,0)),"FUENTE NO REGISTRADA"))</f>
        <v/>
      </c>
      <c r="J200" s="9"/>
      <c r="K200" s="9"/>
      <c r="L200" s="9"/>
      <c r="M200" s="9"/>
      <c r="N200" s="9"/>
      <c r="O200" s="9"/>
      <c r="P200" s="9"/>
      <c r="Q200" s="9"/>
      <c r="R200" s="16" t="str">
        <f aca="false">IF(OR(I200="",I200="FUENTE NO REGISTRADA"),"",INDEX(16_LISTAS!$A$4:$A$8,MAX(1,INDEX(16_LISTAS!$E$4:$E$9,MATCH(I200,16_LISTAS!$D$4:$D$9,0))-IF(F200="",0,IF(F200&lt;=IF(J200="S",18,12),0,IF(F200&lt;=IF(J200="S",30,24),1,2))))))</f>
        <v/>
      </c>
      <c r="S200" s="9"/>
      <c r="T200" s="9"/>
      <c r="U200" s="9"/>
    </row>
    <row r="201" customFormat="false" ht="15" hidden="false" customHeight="false" outlineLevel="0" collapsed="false">
      <c r="A201" s="9"/>
      <c r="B201" s="9"/>
      <c r="C201" s="21" t="str">
        <f aca="false">IF(A201="","",01_CONFIG!$B$4)</f>
        <v/>
      </c>
      <c r="D201" s="44" t="str">
        <f aca="false">IF(A201="","",01_CONFIG!$B$7)</f>
        <v/>
      </c>
      <c r="E201" s="11"/>
      <c r="F201" s="16" t="str">
        <f aca="false">IF(OR(E201="",D201=""),"",(YEAR(D201)-YEAR(E201))*12+MONTH(D201)-MONTH(E201))</f>
        <v/>
      </c>
      <c r="G201" s="16" t="str">
        <f aca="false">IF(OR(E201="",D201=""),"",IF(E201&gt;D201,"EXCLUIR","OK"))</f>
        <v/>
      </c>
      <c r="H201" s="9"/>
      <c r="I201" s="45" t="str">
        <f aca="false">IF(H201="","",IFERROR(INDEX(12_FUENTES!$B$2:$B$301,MATCH(H201,12_FUENTES!$A$2:$A$301,0)),"FUENTE NO REGISTRADA"))</f>
        <v/>
      </c>
      <c r="J201" s="9"/>
      <c r="K201" s="9"/>
      <c r="L201" s="9"/>
      <c r="M201" s="9"/>
      <c r="N201" s="9"/>
      <c r="O201" s="9"/>
      <c r="P201" s="9"/>
      <c r="Q201" s="9"/>
      <c r="R201" s="16" t="str">
        <f aca="false">IF(OR(I201="",I201="FUENTE NO REGISTRADA"),"",INDEX(16_LISTAS!$A$4:$A$8,MAX(1,INDEX(16_LISTAS!$E$4:$E$9,MATCH(I201,16_LISTAS!$D$4:$D$9,0))-IF(F201="",0,IF(F201&lt;=IF(J201="S",18,12),0,IF(F201&lt;=IF(J201="S",30,24),1,2))))))</f>
        <v/>
      </c>
      <c r="S201" s="9"/>
      <c r="T201" s="9"/>
      <c r="U201" s="9"/>
    </row>
    <row r="202" customFormat="false" ht="15" hidden="false" customHeight="false" outlineLevel="0" collapsed="false">
      <c r="A202" s="9"/>
      <c r="B202" s="9"/>
      <c r="C202" s="21" t="str">
        <f aca="false">IF(A202="","",01_CONFIG!$B$4)</f>
        <v/>
      </c>
      <c r="D202" s="44" t="str">
        <f aca="false">IF(A202="","",01_CONFIG!$B$7)</f>
        <v/>
      </c>
      <c r="E202" s="11"/>
      <c r="F202" s="16" t="str">
        <f aca="false">IF(OR(E202="",D202=""),"",(YEAR(D202)-YEAR(E202))*12+MONTH(D202)-MONTH(E202))</f>
        <v/>
      </c>
      <c r="G202" s="16" t="str">
        <f aca="false">IF(OR(E202="",D202=""),"",IF(E202&gt;D202,"EXCLUIR","OK"))</f>
        <v/>
      </c>
      <c r="H202" s="9"/>
      <c r="I202" s="45" t="str">
        <f aca="false">IF(H202="","",IFERROR(INDEX(12_FUENTES!$B$2:$B$301,MATCH(H202,12_FUENTES!$A$2:$A$301,0)),"FUENTE NO REGISTRADA"))</f>
        <v/>
      </c>
      <c r="J202" s="9"/>
      <c r="K202" s="9"/>
      <c r="L202" s="9"/>
      <c r="M202" s="9"/>
      <c r="N202" s="9"/>
      <c r="O202" s="9"/>
      <c r="P202" s="9"/>
      <c r="Q202" s="9"/>
      <c r="R202" s="16" t="str">
        <f aca="false">IF(OR(I202="",I202="FUENTE NO REGISTRADA"),"",INDEX(16_LISTAS!$A$4:$A$8,MAX(1,INDEX(16_LISTAS!$E$4:$E$9,MATCH(I202,16_LISTAS!$D$4:$D$9,0))-IF(F202="",0,IF(F202&lt;=IF(J202="S",18,12),0,IF(F202&lt;=IF(J202="S",30,24),1,2))))))</f>
        <v/>
      </c>
      <c r="S202" s="9"/>
      <c r="T202" s="9"/>
      <c r="U202" s="9"/>
    </row>
    <row r="203" customFormat="false" ht="15" hidden="false" customHeight="false" outlineLevel="0" collapsed="false">
      <c r="A203" s="9"/>
      <c r="B203" s="9"/>
      <c r="C203" s="21" t="str">
        <f aca="false">IF(A203="","",01_CONFIG!$B$4)</f>
        <v/>
      </c>
      <c r="D203" s="44" t="str">
        <f aca="false">IF(A203="","",01_CONFIG!$B$7)</f>
        <v/>
      </c>
      <c r="E203" s="11"/>
      <c r="F203" s="16" t="str">
        <f aca="false">IF(OR(E203="",D203=""),"",(YEAR(D203)-YEAR(E203))*12+MONTH(D203)-MONTH(E203))</f>
        <v/>
      </c>
      <c r="G203" s="16" t="str">
        <f aca="false">IF(OR(E203="",D203=""),"",IF(E203&gt;D203,"EXCLUIR","OK"))</f>
        <v/>
      </c>
      <c r="H203" s="9"/>
      <c r="I203" s="45" t="str">
        <f aca="false">IF(H203="","",IFERROR(INDEX(12_FUENTES!$B$2:$B$301,MATCH(H203,12_FUENTES!$A$2:$A$301,0)),"FUENTE NO REGISTRADA"))</f>
        <v/>
      </c>
      <c r="J203" s="9"/>
      <c r="K203" s="9"/>
      <c r="L203" s="9"/>
      <c r="M203" s="9"/>
      <c r="N203" s="9"/>
      <c r="O203" s="9"/>
      <c r="P203" s="9"/>
      <c r="Q203" s="9"/>
      <c r="R203" s="16" t="str">
        <f aca="false">IF(OR(I203="",I203="FUENTE NO REGISTRADA"),"",INDEX(16_LISTAS!$A$4:$A$8,MAX(1,INDEX(16_LISTAS!$E$4:$E$9,MATCH(I203,16_LISTAS!$D$4:$D$9,0))-IF(F203="",0,IF(F203&lt;=IF(J203="S",18,12),0,IF(F203&lt;=IF(J203="S",30,24),1,2))))))</f>
        <v/>
      </c>
      <c r="S203" s="9"/>
      <c r="T203" s="9"/>
      <c r="U203" s="9"/>
    </row>
    <row r="204" customFormat="false" ht="15" hidden="false" customHeight="false" outlineLevel="0" collapsed="false">
      <c r="A204" s="9"/>
      <c r="B204" s="9"/>
      <c r="C204" s="21" t="str">
        <f aca="false">IF(A204="","",01_CONFIG!$B$4)</f>
        <v/>
      </c>
      <c r="D204" s="44" t="str">
        <f aca="false">IF(A204="","",01_CONFIG!$B$7)</f>
        <v/>
      </c>
      <c r="E204" s="11"/>
      <c r="F204" s="16" t="str">
        <f aca="false">IF(OR(E204="",D204=""),"",(YEAR(D204)-YEAR(E204))*12+MONTH(D204)-MONTH(E204))</f>
        <v/>
      </c>
      <c r="G204" s="16" t="str">
        <f aca="false">IF(OR(E204="",D204=""),"",IF(E204&gt;D204,"EXCLUIR","OK"))</f>
        <v/>
      </c>
      <c r="H204" s="9"/>
      <c r="I204" s="45" t="str">
        <f aca="false">IF(H204="","",IFERROR(INDEX(12_FUENTES!$B$2:$B$301,MATCH(H204,12_FUENTES!$A$2:$A$301,0)),"FUENTE NO REGISTRADA"))</f>
        <v/>
      </c>
      <c r="J204" s="9"/>
      <c r="K204" s="9"/>
      <c r="L204" s="9"/>
      <c r="M204" s="9"/>
      <c r="N204" s="9"/>
      <c r="O204" s="9"/>
      <c r="P204" s="9"/>
      <c r="Q204" s="9"/>
      <c r="R204" s="16" t="str">
        <f aca="false">IF(OR(I204="",I204="FUENTE NO REGISTRADA"),"",INDEX(16_LISTAS!$A$4:$A$8,MAX(1,INDEX(16_LISTAS!$E$4:$E$9,MATCH(I204,16_LISTAS!$D$4:$D$9,0))-IF(F204="",0,IF(F204&lt;=IF(J204="S",18,12),0,IF(F204&lt;=IF(J204="S",30,24),1,2))))))</f>
        <v/>
      </c>
      <c r="S204" s="9"/>
      <c r="T204" s="9"/>
      <c r="U204" s="9"/>
    </row>
    <row r="205" customFormat="false" ht="15" hidden="false" customHeight="false" outlineLevel="0" collapsed="false">
      <c r="A205" s="9"/>
      <c r="B205" s="9"/>
      <c r="C205" s="21" t="str">
        <f aca="false">IF(A205="","",01_CONFIG!$B$4)</f>
        <v/>
      </c>
      <c r="D205" s="44" t="str">
        <f aca="false">IF(A205="","",01_CONFIG!$B$7)</f>
        <v/>
      </c>
      <c r="E205" s="11"/>
      <c r="F205" s="16" t="str">
        <f aca="false">IF(OR(E205="",D205=""),"",(YEAR(D205)-YEAR(E205))*12+MONTH(D205)-MONTH(E205))</f>
        <v/>
      </c>
      <c r="G205" s="16" t="str">
        <f aca="false">IF(OR(E205="",D205=""),"",IF(E205&gt;D205,"EXCLUIR","OK"))</f>
        <v/>
      </c>
      <c r="H205" s="9"/>
      <c r="I205" s="45" t="str">
        <f aca="false">IF(H205="","",IFERROR(INDEX(12_FUENTES!$B$2:$B$301,MATCH(H205,12_FUENTES!$A$2:$A$301,0)),"FUENTE NO REGISTRADA"))</f>
        <v/>
      </c>
      <c r="J205" s="9"/>
      <c r="K205" s="9"/>
      <c r="L205" s="9"/>
      <c r="M205" s="9"/>
      <c r="N205" s="9"/>
      <c r="O205" s="9"/>
      <c r="P205" s="9"/>
      <c r="Q205" s="9"/>
      <c r="R205" s="16" t="str">
        <f aca="false">IF(OR(I205="",I205="FUENTE NO REGISTRADA"),"",INDEX(16_LISTAS!$A$4:$A$8,MAX(1,INDEX(16_LISTAS!$E$4:$E$9,MATCH(I205,16_LISTAS!$D$4:$D$9,0))-IF(F205="",0,IF(F205&lt;=IF(J205="S",18,12),0,IF(F205&lt;=IF(J205="S",30,24),1,2))))))</f>
        <v/>
      </c>
      <c r="S205" s="9"/>
      <c r="T205" s="9"/>
      <c r="U205" s="9"/>
    </row>
    <row r="206" customFormat="false" ht="15" hidden="false" customHeight="false" outlineLevel="0" collapsed="false">
      <c r="A206" s="9"/>
      <c r="B206" s="9"/>
      <c r="C206" s="21" t="str">
        <f aca="false">IF(A206="","",01_CONFIG!$B$4)</f>
        <v/>
      </c>
      <c r="D206" s="44" t="str">
        <f aca="false">IF(A206="","",01_CONFIG!$B$7)</f>
        <v/>
      </c>
      <c r="E206" s="11"/>
      <c r="F206" s="16" t="str">
        <f aca="false">IF(OR(E206="",D206=""),"",(YEAR(D206)-YEAR(E206))*12+MONTH(D206)-MONTH(E206))</f>
        <v/>
      </c>
      <c r="G206" s="16" t="str">
        <f aca="false">IF(OR(E206="",D206=""),"",IF(E206&gt;D206,"EXCLUIR","OK"))</f>
        <v/>
      </c>
      <c r="H206" s="9"/>
      <c r="I206" s="45" t="str">
        <f aca="false">IF(H206="","",IFERROR(INDEX(12_FUENTES!$B$2:$B$301,MATCH(H206,12_FUENTES!$A$2:$A$301,0)),"FUENTE NO REGISTRADA"))</f>
        <v/>
      </c>
      <c r="J206" s="9"/>
      <c r="K206" s="9"/>
      <c r="L206" s="9"/>
      <c r="M206" s="9"/>
      <c r="N206" s="9"/>
      <c r="O206" s="9"/>
      <c r="P206" s="9"/>
      <c r="Q206" s="9"/>
      <c r="R206" s="16" t="str">
        <f aca="false">IF(OR(I206="",I206="FUENTE NO REGISTRADA"),"",INDEX(16_LISTAS!$A$4:$A$8,MAX(1,INDEX(16_LISTAS!$E$4:$E$9,MATCH(I206,16_LISTAS!$D$4:$D$9,0))-IF(F206="",0,IF(F206&lt;=IF(J206="S",18,12),0,IF(F206&lt;=IF(J206="S",30,24),1,2))))))</f>
        <v/>
      </c>
      <c r="S206" s="9"/>
      <c r="T206" s="9"/>
      <c r="U206" s="9"/>
    </row>
    <row r="207" customFormat="false" ht="15" hidden="false" customHeight="false" outlineLevel="0" collapsed="false">
      <c r="A207" s="9"/>
      <c r="B207" s="9"/>
      <c r="C207" s="21" t="str">
        <f aca="false">IF(A207="","",01_CONFIG!$B$4)</f>
        <v/>
      </c>
      <c r="D207" s="44" t="str">
        <f aca="false">IF(A207="","",01_CONFIG!$B$7)</f>
        <v/>
      </c>
      <c r="E207" s="11"/>
      <c r="F207" s="16" t="str">
        <f aca="false">IF(OR(E207="",D207=""),"",(YEAR(D207)-YEAR(E207))*12+MONTH(D207)-MONTH(E207))</f>
        <v/>
      </c>
      <c r="G207" s="16" t="str">
        <f aca="false">IF(OR(E207="",D207=""),"",IF(E207&gt;D207,"EXCLUIR","OK"))</f>
        <v/>
      </c>
      <c r="H207" s="9"/>
      <c r="I207" s="45" t="str">
        <f aca="false">IF(H207="","",IFERROR(INDEX(12_FUENTES!$B$2:$B$301,MATCH(H207,12_FUENTES!$A$2:$A$301,0)),"FUENTE NO REGISTRADA"))</f>
        <v/>
      </c>
      <c r="J207" s="9"/>
      <c r="K207" s="9"/>
      <c r="L207" s="9"/>
      <c r="M207" s="9"/>
      <c r="N207" s="9"/>
      <c r="O207" s="9"/>
      <c r="P207" s="9"/>
      <c r="Q207" s="9"/>
      <c r="R207" s="16" t="str">
        <f aca="false">IF(OR(I207="",I207="FUENTE NO REGISTRADA"),"",INDEX(16_LISTAS!$A$4:$A$8,MAX(1,INDEX(16_LISTAS!$E$4:$E$9,MATCH(I207,16_LISTAS!$D$4:$D$9,0))-IF(F207="",0,IF(F207&lt;=IF(J207="S",18,12),0,IF(F207&lt;=IF(J207="S",30,24),1,2))))))</f>
        <v/>
      </c>
      <c r="S207" s="9"/>
      <c r="T207" s="9"/>
      <c r="U207" s="9"/>
    </row>
    <row r="208" customFormat="false" ht="15" hidden="false" customHeight="false" outlineLevel="0" collapsed="false">
      <c r="A208" s="9"/>
      <c r="B208" s="9"/>
      <c r="C208" s="21" t="str">
        <f aca="false">IF(A208="","",01_CONFIG!$B$4)</f>
        <v/>
      </c>
      <c r="D208" s="44" t="str">
        <f aca="false">IF(A208="","",01_CONFIG!$B$7)</f>
        <v/>
      </c>
      <c r="E208" s="11"/>
      <c r="F208" s="16" t="str">
        <f aca="false">IF(OR(E208="",D208=""),"",(YEAR(D208)-YEAR(E208))*12+MONTH(D208)-MONTH(E208))</f>
        <v/>
      </c>
      <c r="G208" s="16" t="str">
        <f aca="false">IF(OR(E208="",D208=""),"",IF(E208&gt;D208,"EXCLUIR","OK"))</f>
        <v/>
      </c>
      <c r="H208" s="9"/>
      <c r="I208" s="45" t="str">
        <f aca="false">IF(H208="","",IFERROR(INDEX(12_FUENTES!$B$2:$B$301,MATCH(H208,12_FUENTES!$A$2:$A$301,0)),"FUENTE NO REGISTRADA"))</f>
        <v/>
      </c>
      <c r="J208" s="9"/>
      <c r="K208" s="9"/>
      <c r="L208" s="9"/>
      <c r="M208" s="9"/>
      <c r="N208" s="9"/>
      <c r="O208" s="9"/>
      <c r="P208" s="9"/>
      <c r="Q208" s="9"/>
      <c r="R208" s="16" t="str">
        <f aca="false">IF(OR(I208="",I208="FUENTE NO REGISTRADA"),"",INDEX(16_LISTAS!$A$4:$A$8,MAX(1,INDEX(16_LISTAS!$E$4:$E$9,MATCH(I208,16_LISTAS!$D$4:$D$9,0))-IF(F208="",0,IF(F208&lt;=IF(J208="S",18,12),0,IF(F208&lt;=IF(J208="S",30,24),1,2))))))</f>
        <v/>
      </c>
      <c r="S208" s="9"/>
      <c r="T208" s="9"/>
      <c r="U208" s="9"/>
    </row>
    <row r="209" customFormat="false" ht="15" hidden="false" customHeight="false" outlineLevel="0" collapsed="false">
      <c r="A209" s="9"/>
      <c r="B209" s="9"/>
      <c r="C209" s="21" t="str">
        <f aca="false">IF(A209="","",01_CONFIG!$B$4)</f>
        <v/>
      </c>
      <c r="D209" s="44" t="str">
        <f aca="false">IF(A209="","",01_CONFIG!$B$7)</f>
        <v/>
      </c>
      <c r="E209" s="11"/>
      <c r="F209" s="16" t="str">
        <f aca="false">IF(OR(E209="",D209=""),"",(YEAR(D209)-YEAR(E209))*12+MONTH(D209)-MONTH(E209))</f>
        <v/>
      </c>
      <c r="G209" s="16" t="str">
        <f aca="false">IF(OR(E209="",D209=""),"",IF(E209&gt;D209,"EXCLUIR","OK"))</f>
        <v/>
      </c>
      <c r="H209" s="9"/>
      <c r="I209" s="45" t="str">
        <f aca="false">IF(H209="","",IFERROR(INDEX(12_FUENTES!$B$2:$B$301,MATCH(H209,12_FUENTES!$A$2:$A$301,0)),"FUENTE NO REGISTRADA"))</f>
        <v/>
      </c>
      <c r="J209" s="9"/>
      <c r="K209" s="9"/>
      <c r="L209" s="9"/>
      <c r="M209" s="9"/>
      <c r="N209" s="9"/>
      <c r="O209" s="9"/>
      <c r="P209" s="9"/>
      <c r="Q209" s="9"/>
      <c r="R209" s="16" t="str">
        <f aca="false">IF(OR(I209="",I209="FUENTE NO REGISTRADA"),"",INDEX(16_LISTAS!$A$4:$A$8,MAX(1,INDEX(16_LISTAS!$E$4:$E$9,MATCH(I209,16_LISTAS!$D$4:$D$9,0))-IF(F209="",0,IF(F209&lt;=IF(J209="S",18,12),0,IF(F209&lt;=IF(J209="S",30,24),1,2))))))</f>
        <v/>
      </c>
      <c r="S209" s="9"/>
      <c r="T209" s="9"/>
      <c r="U209" s="9"/>
    </row>
    <row r="210" customFormat="false" ht="15" hidden="false" customHeight="false" outlineLevel="0" collapsed="false">
      <c r="A210" s="9"/>
      <c r="B210" s="9"/>
      <c r="C210" s="21" t="str">
        <f aca="false">IF(A210="","",01_CONFIG!$B$4)</f>
        <v/>
      </c>
      <c r="D210" s="44" t="str">
        <f aca="false">IF(A210="","",01_CONFIG!$B$7)</f>
        <v/>
      </c>
      <c r="E210" s="11"/>
      <c r="F210" s="16" t="str">
        <f aca="false">IF(OR(E210="",D210=""),"",(YEAR(D210)-YEAR(E210))*12+MONTH(D210)-MONTH(E210))</f>
        <v/>
      </c>
      <c r="G210" s="16" t="str">
        <f aca="false">IF(OR(E210="",D210=""),"",IF(E210&gt;D210,"EXCLUIR","OK"))</f>
        <v/>
      </c>
      <c r="H210" s="9"/>
      <c r="I210" s="45" t="str">
        <f aca="false">IF(H210="","",IFERROR(INDEX(12_FUENTES!$B$2:$B$301,MATCH(H210,12_FUENTES!$A$2:$A$301,0)),"FUENTE NO REGISTRADA"))</f>
        <v/>
      </c>
      <c r="J210" s="9"/>
      <c r="K210" s="9"/>
      <c r="L210" s="9"/>
      <c r="M210" s="9"/>
      <c r="N210" s="9"/>
      <c r="O210" s="9"/>
      <c r="P210" s="9"/>
      <c r="Q210" s="9"/>
      <c r="R210" s="16" t="str">
        <f aca="false">IF(OR(I210="",I210="FUENTE NO REGISTRADA"),"",INDEX(16_LISTAS!$A$4:$A$8,MAX(1,INDEX(16_LISTAS!$E$4:$E$9,MATCH(I210,16_LISTAS!$D$4:$D$9,0))-IF(F210="",0,IF(F210&lt;=IF(J210="S",18,12),0,IF(F210&lt;=IF(J210="S",30,24),1,2))))))</f>
        <v/>
      </c>
      <c r="S210" s="9"/>
      <c r="T210" s="9"/>
      <c r="U210" s="9"/>
    </row>
    <row r="211" customFormat="false" ht="15" hidden="false" customHeight="false" outlineLevel="0" collapsed="false">
      <c r="A211" s="9"/>
      <c r="B211" s="9"/>
      <c r="C211" s="21" t="str">
        <f aca="false">IF(A211="","",01_CONFIG!$B$4)</f>
        <v/>
      </c>
      <c r="D211" s="44" t="str">
        <f aca="false">IF(A211="","",01_CONFIG!$B$7)</f>
        <v/>
      </c>
      <c r="E211" s="11"/>
      <c r="F211" s="16" t="str">
        <f aca="false">IF(OR(E211="",D211=""),"",(YEAR(D211)-YEAR(E211))*12+MONTH(D211)-MONTH(E211))</f>
        <v/>
      </c>
      <c r="G211" s="16" t="str">
        <f aca="false">IF(OR(E211="",D211=""),"",IF(E211&gt;D211,"EXCLUIR","OK"))</f>
        <v/>
      </c>
      <c r="H211" s="9"/>
      <c r="I211" s="45" t="str">
        <f aca="false">IF(H211="","",IFERROR(INDEX(12_FUENTES!$B$2:$B$301,MATCH(H211,12_FUENTES!$A$2:$A$301,0)),"FUENTE NO REGISTRADA"))</f>
        <v/>
      </c>
      <c r="J211" s="9"/>
      <c r="K211" s="9"/>
      <c r="L211" s="9"/>
      <c r="M211" s="9"/>
      <c r="N211" s="9"/>
      <c r="O211" s="9"/>
      <c r="P211" s="9"/>
      <c r="Q211" s="9"/>
      <c r="R211" s="16" t="str">
        <f aca="false">IF(OR(I211="",I211="FUENTE NO REGISTRADA"),"",INDEX(16_LISTAS!$A$4:$A$8,MAX(1,INDEX(16_LISTAS!$E$4:$E$9,MATCH(I211,16_LISTAS!$D$4:$D$9,0))-IF(F211="",0,IF(F211&lt;=IF(J211="S",18,12),0,IF(F211&lt;=IF(J211="S",30,24),1,2))))))</f>
        <v/>
      </c>
      <c r="S211" s="9"/>
      <c r="T211" s="9"/>
      <c r="U211" s="9"/>
    </row>
    <row r="212" customFormat="false" ht="15" hidden="false" customHeight="false" outlineLevel="0" collapsed="false">
      <c r="A212" s="9"/>
      <c r="B212" s="9"/>
      <c r="C212" s="21" t="str">
        <f aca="false">IF(A212="","",01_CONFIG!$B$4)</f>
        <v/>
      </c>
      <c r="D212" s="44" t="str">
        <f aca="false">IF(A212="","",01_CONFIG!$B$7)</f>
        <v/>
      </c>
      <c r="E212" s="11"/>
      <c r="F212" s="16" t="str">
        <f aca="false">IF(OR(E212="",D212=""),"",(YEAR(D212)-YEAR(E212))*12+MONTH(D212)-MONTH(E212))</f>
        <v/>
      </c>
      <c r="G212" s="16" t="str">
        <f aca="false">IF(OR(E212="",D212=""),"",IF(E212&gt;D212,"EXCLUIR","OK"))</f>
        <v/>
      </c>
      <c r="H212" s="9"/>
      <c r="I212" s="45" t="str">
        <f aca="false">IF(H212="","",IFERROR(INDEX(12_FUENTES!$B$2:$B$301,MATCH(H212,12_FUENTES!$A$2:$A$301,0)),"FUENTE NO REGISTRADA"))</f>
        <v/>
      </c>
      <c r="J212" s="9"/>
      <c r="K212" s="9"/>
      <c r="L212" s="9"/>
      <c r="M212" s="9"/>
      <c r="N212" s="9"/>
      <c r="O212" s="9"/>
      <c r="P212" s="9"/>
      <c r="Q212" s="9"/>
      <c r="R212" s="16" t="str">
        <f aca="false">IF(OR(I212="",I212="FUENTE NO REGISTRADA"),"",INDEX(16_LISTAS!$A$4:$A$8,MAX(1,INDEX(16_LISTAS!$E$4:$E$9,MATCH(I212,16_LISTAS!$D$4:$D$9,0))-IF(F212="",0,IF(F212&lt;=IF(J212="S",18,12),0,IF(F212&lt;=IF(J212="S",30,24),1,2))))))</f>
        <v/>
      </c>
      <c r="S212" s="9"/>
      <c r="T212" s="9"/>
      <c r="U212" s="9"/>
    </row>
    <row r="213" customFormat="false" ht="15" hidden="false" customHeight="false" outlineLevel="0" collapsed="false">
      <c r="A213" s="9"/>
      <c r="B213" s="9"/>
      <c r="C213" s="21" t="str">
        <f aca="false">IF(A213="","",01_CONFIG!$B$4)</f>
        <v/>
      </c>
      <c r="D213" s="44" t="str">
        <f aca="false">IF(A213="","",01_CONFIG!$B$7)</f>
        <v/>
      </c>
      <c r="E213" s="11"/>
      <c r="F213" s="16" t="str">
        <f aca="false">IF(OR(E213="",D213=""),"",(YEAR(D213)-YEAR(E213))*12+MONTH(D213)-MONTH(E213))</f>
        <v/>
      </c>
      <c r="G213" s="16" t="str">
        <f aca="false">IF(OR(E213="",D213=""),"",IF(E213&gt;D213,"EXCLUIR","OK"))</f>
        <v/>
      </c>
      <c r="H213" s="9"/>
      <c r="I213" s="45" t="str">
        <f aca="false">IF(H213="","",IFERROR(INDEX(12_FUENTES!$B$2:$B$301,MATCH(H213,12_FUENTES!$A$2:$A$301,0)),"FUENTE NO REGISTRADA"))</f>
        <v/>
      </c>
      <c r="J213" s="9"/>
      <c r="K213" s="9"/>
      <c r="L213" s="9"/>
      <c r="M213" s="9"/>
      <c r="N213" s="9"/>
      <c r="O213" s="9"/>
      <c r="P213" s="9"/>
      <c r="Q213" s="9"/>
      <c r="R213" s="16" t="str">
        <f aca="false">IF(OR(I213="",I213="FUENTE NO REGISTRADA"),"",INDEX(16_LISTAS!$A$4:$A$8,MAX(1,INDEX(16_LISTAS!$E$4:$E$9,MATCH(I213,16_LISTAS!$D$4:$D$9,0))-IF(F213="",0,IF(F213&lt;=IF(J213="S",18,12),0,IF(F213&lt;=IF(J213="S",30,24),1,2))))))</f>
        <v/>
      </c>
      <c r="S213" s="9"/>
      <c r="T213" s="9"/>
      <c r="U213" s="9"/>
    </row>
    <row r="214" customFormat="false" ht="15" hidden="false" customHeight="false" outlineLevel="0" collapsed="false">
      <c r="A214" s="9"/>
      <c r="B214" s="9"/>
      <c r="C214" s="21" t="str">
        <f aca="false">IF(A214="","",01_CONFIG!$B$4)</f>
        <v/>
      </c>
      <c r="D214" s="44" t="str">
        <f aca="false">IF(A214="","",01_CONFIG!$B$7)</f>
        <v/>
      </c>
      <c r="E214" s="11"/>
      <c r="F214" s="16" t="str">
        <f aca="false">IF(OR(E214="",D214=""),"",(YEAR(D214)-YEAR(E214))*12+MONTH(D214)-MONTH(E214))</f>
        <v/>
      </c>
      <c r="G214" s="16" t="str">
        <f aca="false">IF(OR(E214="",D214=""),"",IF(E214&gt;D214,"EXCLUIR","OK"))</f>
        <v/>
      </c>
      <c r="H214" s="9"/>
      <c r="I214" s="45" t="str">
        <f aca="false">IF(H214="","",IFERROR(INDEX(12_FUENTES!$B$2:$B$301,MATCH(H214,12_FUENTES!$A$2:$A$301,0)),"FUENTE NO REGISTRADA"))</f>
        <v/>
      </c>
      <c r="J214" s="9"/>
      <c r="K214" s="9"/>
      <c r="L214" s="9"/>
      <c r="M214" s="9"/>
      <c r="N214" s="9"/>
      <c r="O214" s="9"/>
      <c r="P214" s="9"/>
      <c r="Q214" s="9"/>
      <c r="R214" s="16" t="str">
        <f aca="false">IF(OR(I214="",I214="FUENTE NO REGISTRADA"),"",INDEX(16_LISTAS!$A$4:$A$8,MAX(1,INDEX(16_LISTAS!$E$4:$E$9,MATCH(I214,16_LISTAS!$D$4:$D$9,0))-IF(F214="",0,IF(F214&lt;=IF(J214="S",18,12),0,IF(F214&lt;=IF(J214="S",30,24),1,2))))))</f>
        <v/>
      </c>
      <c r="S214" s="9"/>
      <c r="T214" s="9"/>
      <c r="U214" s="9"/>
    </row>
    <row r="215" customFormat="false" ht="15" hidden="false" customHeight="false" outlineLevel="0" collapsed="false">
      <c r="A215" s="9"/>
      <c r="B215" s="9"/>
      <c r="C215" s="21" t="str">
        <f aca="false">IF(A215="","",01_CONFIG!$B$4)</f>
        <v/>
      </c>
      <c r="D215" s="44" t="str">
        <f aca="false">IF(A215="","",01_CONFIG!$B$7)</f>
        <v/>
      </c>
      <c r="E215" s="11"/>
      <c r="F215" s="16" t="str">
        <f aca="false">IF(OR(E215="",D215=""),"",(YEAR(D215)-YEAR(E215))*12+MONTH(D215)-MONTH(E215))</f>
        <v/>
      </c>
      <c r="G215" s="16" t="str">
        <f aca="false">IF(OR(E215="",D215=""),"",IF(E215&gt;D215,"EXCLUIR","OK"))</f>
        <v/>
      </c>
      <c r="H215" s="9"/>
      <c r="I215" s="45" t="str">
        <f aca="false">IF(H215="","",IFERROR(INDEX(12_FUENTES!$B$2:$B$301,MATCH(H215,12_FUENTES!$A$2:$A$301,0)),"FUENTE NO REGISTRADA"))</f>
        <v/>
      </c>
      <c r="J215" s="9"/>
      <c r="K215" s="9"/>
      <c r="L215" s="9"/>
      <c r="M215" s="9"/>
      <c r="N215" s="9"/>
      <c r="O215" s="9"/>
      <c r="P215" s="9"/>
      <c r="Q215" s="9"/>
      <c r="R215" s="16" t="str">
        <f aca="false">IF(OR(I215="",I215="FUENTE NO REGISTRADA"),"",INDEX(16_LISTAS!$A$4:$A$8,MAX(1,INDEX(16_LISTAS!$E$4:$E$9,MATCH(I215,16_LISTAS!$D$4:$D$9,0))-IF(F215="",0,IF(F215&lt;=IF(J215="S",18,12),0,IF(F215&lt;=IF(J215="S",30,24),1,2))))))</f>
        <v/>
      </c>
      <c r="S215" s="9"/>
      <c r="T215" s="9"/>
      <c r="U215" s="9"/>
    </row>
    <row r="216" customFormat="false" ht="15" hidden="false" customHeight="false" outlineLevel="0" collapsed="false">
      <c r="A216" s="9"/>
      <c r="B216" s="9"/>
      <c r="C216" s="21" t="str">
        <f aca="false">IF(A216="","",01_CONFIG!$B$4)</f>
        <v/>
      </c>
      <c r="D216" s="44" t="str">
        <f aca="false">IF(A216="","",01_CONFIG!$B$7)</f>
        <v/>
      </c>
      <c r="E216" s="11"/>
      <c r="F216" s="16" t="str">
        <f aca="false">IF(OR(E216="",D216=""),"",(YEAR(D216)-YEAR(E216))*12+MONTH(D216)-MONTH(E216))</f>
        <v/>
      </c>
      <c r="G216" s="16" t="str">
        <f aca="false">IF(OR(E216="",D216=""),"",IF(E216&gt;D216,"EXCLUIR","OK"))</f>
        <v/>
      </c>
      <c r="H216" s="9"/>
      <c r="I216" s="45" t="str">
        <f aca="false">IF(H216="","",IFERROR(INDEX(12_FUENTES!$B$2:$B$301,MATCH(H216,12_FUENTES!$A$2:$A$301,0)),"FUENTE NO REGISTRADA"))</f>
        <v/>
      </c>
      <c r="J216" s="9"/>
      <c r="K216" s="9"/>
      <c r="L216" s="9"/>
      <c r="M216" s="9"/>
      <c r="N216" s="9"/>
      <c r="O216" s="9"/>
      <c r="P216" s="9"/>
      <c r="Q216" s="9"/>
      <c r="R216" s="16" t="str">
        <f aca="false">IF(OR(I216="",I216="FUENTE NO REGISTRADA"),"",INDEX(16_LISTAS!$A$4:$A$8,MAX(1,INDEX(16_LISTAS!$E$4:$E$9,MATCH(I216,16_LISTAS!$D$4:$D$9,0))-IF(F216="",0,IF(F216&lt;=IF(J216="S",18,12),0,IF(F216&lt;=IF(J216="S",30,24),1,2))))))</f>
        <v/>
      </c>
      <c r="S216" s="9"/>
      <c r="T216" s="9"/>
      <c r="U216" s="9"/>
    </row>
    <row r="217" customFormat="false" ht="15" hidden="false" customHeight="false" outlineLevel="0" collapsed="false">
      <c r="A217" s="9"/>
      <c r="B217" s="9"/>
      <c r="C217" s="21" t="str">
        <f aca="false">IF(A217="","",01_CONFIG!$B$4)</f>
        <v/>
      </c>
      <c r="D217" s="44" t="str">
        <f aca="false">IF(A217="","",01_CONFIG!$B$7)</f>
        <v/>
      </c>
      <c r="E217" s="11"/>
      <c r="F217" s="16" t="str">
        <f aca="false">IF(OR(E217="",D217=""),"",(YEAR(D217)-YEAR(E217))*12+MONTH(D217)-MONTH(E217))</f>
        <v/>
      </c>
      <c r="G217" s="16" t="str">
        <f aca="false">IF(OR(E217="",D217=""),"",IF(E217&gt;D217,"EXCLUIR","OK"))</f>
        <v/>
      </c>
      <c r="H217" s="9"/>
      <c r="I217" s="45" t="str">
        <f aca="false">IF(H217="","",IFERROR(INDEX(12_FUENTES!$B$2:$B$301,MATCH(H217,12_FUENTES!$A$2:$A$301,0)),"FUENTE NO REGISTRADA"))</f>
        <v/>
      </c>
      <c r="J217" s="9"/>
      <c r="K217" s="9"/>
      <c r="L217" s="9"/>
      <c r="M217" s="9"/>
      <c r="N217" s="9"/>
      <c r="O217" s="9"/>
      <c r="P217" s="9"/>
      <c r="Q217" s="9"/>
      <c r="R217" s="16" t="str">
        <f aca="false">IF(OR(I217="",I217="FUENTE NO REGISTRADA"),"",INDEX(16_LISTAS!$A$4:$A$8,MAX(1,INDEX(16_LISTAS!$E$4:$E$9,MATCH(I217,16_LISTAS!$D$4:$D$9,0))-IF(F217="",0,IF(F217&lt;=IF(J217="S",18,12),0,IF(F217&lt;=IF(J217="S",30,24),1,2))))))</f>
        <v/>
      </c>
      <c r="S217" s="9"/>
      <c r="T217" s="9"/>
      <c r="U217" s="9"/>
    </row>
    <row r="218" customFormat="false" ht="15" hidden="false" customHeight="false" outlineLevel="0" collapsed="false">
      <c r="A218" s="9"/>
      <c r="B218" s="9"/>
      <c r="C218" s="21" t="str">
        <f aca="false">IF(A218="","",01_CONFIG!$B$4)</f>
        <v/>
      </c>
      <c r="D218" s="44" t="str">
        <f aca="false">IF(A218="","",01_CONFIG!$B$7)</f>
        <v/>
      </c>
      <c r="E218" s="11"/>
      <c r="F218" s="16" t="str">
        <f aca="false">IF(OR(E218="",D218=""),"",(YEAR(D218)-YEAR(E218))*12+MONTH(D218)-MONTH(E218))</f>
        <v/>
      </c>
      <c r="G218" s="16" t="str">
        <f aca="false">IF(OR(E218="",D218=""),"",IF(E218&gt;D218,"EXCLUIR","OK"))</f>
        <v/>
      </c>
      <c r="H218" s="9"/>
      <c r="I218" s="45" t="str">
        <f aca="false">IF(H218="","",IFERROR(INDEX(12_FUENTES!$B$2:$B$301,MATCH(H218,12_FUENTES!$A$2:$A$301,0)),"FUENTE NO REGISTRADA"))</f>
        <v/>
      </c>
      <c r="J218" s="9"/>
      <c r="K218" s="9"/>
      <c r="L218" s="9"/>
      <c r="M218" s="9"/>
      <c r="N218" s="9"/>
      <c r="O218" s="9"/>
      <c r="P218" s="9"/>
      <c r="Q218" s="9"/>
      <c r="R218" s="16" t="str">
        <f aca="false">IF(OR(I218="",I218="FUENTE NO REGISTRADA"),"",INDEX(16_LISTAS!$A$4:$A$8,MAX(1,INDEX(16_LISTAS!$E$4:$E$9,MATCH(I218,16_LISTAS!$D$4:$D$9,0))-IF(F218="",0,IF(F218&lt;=IF(J218="S",18,12),0,IF(F218&lt;=IF(J218="S",30,24),1,2))))))</f>
        <v/>
      </c>
      <c r="S218" s="9"/>
      <c r="T218" s="9"/>
      <c r="U218" s="9"/>
    </row>
    <row r="219" customFormat="false" ht="15" hidden="false" customHeight="false" outlineLevel="0" collapsed="false">
      <c r="A219" s="9"/>
      <c r="B219" s="9"/>
      <c r="C219" s="21" t="str">
        <f aca="false">IF(A219="","",01_CONFIG!$B$4)</f>
        <v/>
      </c>
      <c r="D219" s="44" t="str">
        <f aca="false">IF(A219="","",01_CONFIG!$B$7)</f>
        <v/>
      </c>
      <c r="E219" s="11"/>
      <c r="F219" s="16" t="str">
        <f aca="false">IF(OR(E219="",D219=""),"",(YEAR(D219)-YEAR(E219))*12+MONTH(D219)-MONTH(E219))</f>
        <v/>
      </c>
      <c r="G219" s="16" t="str">
        <f aca="false">IF(OR(E219="",D219=""),"",IF(E219&gt;D219,"EXCLUIR","OK"))</f>
        <v/>
      </c>
      <c r="H219" s="9"/>
      <c r="I219" s="45" t="str">
        <f aca="false">IF(H219="","",IFERROR(INDEX(12_FUENTES!$B$2:$B$301,MATCH(H219,12_FUENTES!$A$2:$A$301,0)),"FUENTE NO REGISTRADA"))</f>
        <v/>
      </c>
      <c r="J219" s="9"/>
      <c r="K219" s="9"/>
      <c r="L219" s="9"/>
      <c r="M219" s="9"/>
      <c r="N219" s="9"/>
      <c r="O219" s="9"/>
      <c r="P219" s="9"/>
      <c r="Q219" s="9"/>
      <c r="R219" s="16" t="str">
        <f aca="false">IF(OR(I219="",I219="FUENTE NO REGISTRADA"),"",INDEX(16_LISTAS!$A$4:$A$8,MAX(1,INDEX(16_LISTAS!$E$4:$E$9,MATCH(I219,16_LISTAS!$D$4:$D$9,0))-IF(F219="",0,IF(F219&lt;=IF(J219="S",18,12),0,IF(F219&lt;=IF(J219="S",30,24),1,2))))))</f>
        <v/>
      </c>
      <c r="S219" s="9"/>
      <c r="T219" s="9"/>
      <c r="U219" s="9"/>
    </row>
    <row r="220" customFormat="false" ht="15" hidden="false" customHeight="false" outlineLevel="0" collapsed="false">
      <c r="A220" s="9"/>
      <c r="B220" s="9"/>
      <c r="C220" s="21" t="str">
        <f aca="false">IF(A220="","",01_CONFIG!$B$4)</f>
        <v/>
      </c>
      <c r="D220" s="44" t="str">
        <f aca="false">IF(A220="","",01_CONFIG!$B$7)</f>
        <v/>
      </c>
      <c r="E220" s="11"/>
      <c r="F220" s="16" t="str">
        <f aca="false">IF(OR(E220="",D220=""),"",(YEAR(D220)-YEAR(E220))*12+MONTH(D220)-MONTH(E220))</f>
        <v/>
      </c>
      <c r="G220" s="16" t="str">
        <f aca="false">IF(OR(E220="",D220=""),"",IF(E220&gt;D220,"EXCLUIR","OK"))</f>
        <v/>
      </c>
      <c r="H220" s="9"/>
      <c r="I220" s="45" t="str">
        <f aca="false">IF(H220="","",IFERROR(INDEX(12_FUENTES!$B$2:$B$301,MATCH(H220,12_FUENTES!$A$2:$A$301,0)),"FUENTE NO REGISTRADA"))</f>
        <v/>
      </c>
      <c r="J220" s="9"/>
      <c r="K220" s="9"/>
      <c r="L220" s="9"/>
      <c r="M220" s="9"/>
      <c r="N220" s="9"/>
      <c r="O220" s="9"/>
      <c r="P220" s="9"/>
      <c r="Q220" s="9"/>
      <c r="R220" s="16" t="str">
        <f aca="false">IF(OR(I220="",I220="FUENTE NO REGISTRADA"),"",INDEX(16_LISTAS!$A$4:$A$8,MAX(1,INDEX(16_LISTAS!$E$4:$E$9,MATCH(I220,16_LISTAS!$D$4:$D$9,0))-IF(F220="",0,IF(F220&lt;=IF(J220="S",18,12),0,IF(F220&lt;=IF(J220="S",30,24),1,2))))))</f>
        <v/>
      </c>
      <c r="S220" s="9"/>
      <c r="T220" s="9"/>
      <c r="U220" s="9"/>
    </row>
    <row r="221" customFormat="false" ht="15" hidden="false" customHeight="false" outlineLevel="0" collapsed="false">
      <c r="A221" s="9"/>
      <c r="B221" s="9"/>
      <c r="C221" s="21" t="str">
        <f aca="false">IF(A221="","",01_CONFIG!$B$4)</f>
        <v/>
      </c>
      <c r="D221" s="44" t="str">
        <f aca="false">IF(A221="","",01_CONFIG!$B$7)</f>
        <v/>
      </c>
      <c r="E221" s="11"/>
      <c r="F221" s="16" t="str">
        <f aca="false">IF(OR(E221="",D221=""),"",(YEAR(D221)-YEAR(E221))*12+MONTH(D221)-MONTH(E221))</f>
        <v/>
      </c>
      <c r="G221" s="16" t="str">
        <f aca="false">IF(OR(E221="",D221=""),"",IF(E221&gt;D221,"EXCLUIR","OK"))</f>
        <v/>
      </c>
      <c r="H221" s="9"/>
      <c r="I221" s="45" t="str">
        <f aca="false">IF(H221="","",IFERROR(INDEX(12_FUENTES!$B$2:$B$301,MATCH(H221,12_FUENTES!$A$2:$A$301,0)),"FUENTE NO REGISTRADA"))</f>
        <v/>
      </c>
      <c r="J221" s="9"/>
      <c r="K221" s="9"/>
      <c r="L221" s="9"/>
      <c r="M221" s="9"/>
      <c r="N221" s="9"/>
      <c r="O221" s="9"/>
      <c r="P221" s="9"/>
      <c r="Q221" s="9"/>
      <c r="R221" s="16" t="str">
        <f aca="false">IF(OR(I221="",I221="FUENTE NO REGISTRADA"),"",INDEX(16_LISTAS!$A$4:$A$8,MAX(1,INDEX(16_LISTAS!$E$4:$E$9,MATCH(I221,16_LISTAS!$D$4:$D$9,0))-IF(F221="",0,IF(F221&lt;=IF(J221="S",18,12),0,IF(F221&lt;=IF(J221="S",30,24),1,2))))))</f>
        <v/>
      </c>
      <c r="S221" s="9"/>
      <c r="T221" s="9"/>
      <c r="U221" s="9"/>
    </row>
    <row r="222" customFormat="false" ht="15" hidden="false" customHeight="false" outlineLevel="0" collapsed="false">
      <c r="A222" s="9"/>
      <c r="B222" s="9"/>
      <c r="C222" s="21" t="str">
        <f aca="false">IF(A222="","",01_CONFIG!$B$4)</f>
        <v/>
      </c>
      <c r="D222" s="44" t="str">
        <f aca="false">IF(A222="","",01_CONFIG!$B$7)</f>
        <v/>
      </c>
      <c r="E222" s="11"/>
      <c r="F222" s="16" t="str">
        <f aca="false">IF(OR(E222="",D222=""),"",(YEAR(D222)-YEAR(E222))*12+MONTH(D222)-MONTH(E222))</f>
        <v/>
      </c>
      <c r="G222" s="16" t="str">
        <f aca="false">IF(OR(E222="",D222=""),"",IF(E222&gt;D222,"EXCLUIR","OK"))</f>
        <v/>
      </c>
      <c r="H222" s="9"/>
      <c r="I222" s="45" t="str">
        <f aca="false">IF(H222="","",IFERROR(INDEX(12_FUENTES!$B$2:$B$301,MATCH(H222,12_FUENTES!$A$2:$A$301,0)),"FUENTE NO REGISTRADA"))</f>
        <v/>
      </c>
      <c r="J222" s="9"/>
      <c r="K222" s="9"/>
      <c r="L222" s="9"/>
      <c r="M222" s="9"/>
      <c r="N222" s="9"/>
      <c r="O222" s="9"/>
      <c r="P222" s="9"/>
      <c r="Q222" s="9"/>
      <c r="R222" s="16" t="str">
        <f aca="false">IF(OR(I222="",I222="FUENTE NO REGISTRADA"),"",INDEX(16_LISTAS!$A$4:$A$8,MAX(1,INDEX(16_LISTAS!$E$4:$E$9,MATCH(I222,16_LISTAS!$D$4:$D$9,0))-IF(F222="",0,IF(F222&lt;=IF(J222="S",18,12),0,IF(F222&lt;=IF(J222="S",30,24),1,2))))))</f>
        <v/>
      </c>
      <c r="S222" s="9"/>
      <c r="T222" s="9"/>
      <c r="U222" s="9"/>
    </row>
    <row r="223" customFormat="false" ht="15" hidden="false" customHeight="false" outlineLevel="0" collapsed="false">
      <c r="A223" s="9"/>
      <c r="B223" s="9"/>
      <c r="C223" s="21" t="str">
        <f aca="false">IF(A223="","",01_CONFIG!$B$4)</f>
        <v/>
      </c>
      <c r="D223" s="44" t="str">
        <f aca="false">IF(A223="","",01_CONFIG!$B$7)</f>
        <v/>
      </c>
      <c r="E223" s="11"/>
      <c r="F223" s="16" t="str">
        <f aca="false">IF(OR(E223="",D223=""),"",(YEAR(D223)-YEAR(E223))*12+MONTH(D223)-MONTH(E223))</f>
        <v/>
      </c>
      <c r="G223" s="16" t="str">
        <f aca="false">IF(OR(E223="",D223=""),"",IF(E223&gt;D223,"EXCLUIR","OK"))</f>
        <v/>
      </c>
      <c r="H223" s="9"/>
      <c r="I223" s="45" t="str">
        <f aca="false">IF(H223="","",IFERROR(INDEX(12_FUENTES!$B$2:$B$301,MATCH(H223,12_FUENTES!$A$2:$A$301,0)),"FUENTE NO REGISTRADA"))</f>
        <v/>
      </c>
      <c r="J223" s="9"/>
      <c r="K223" s="9"/>
      <c r="L223" s="9"/>
      <c r="M223" s="9"/>
      <c r="N223" s="9"/>
      <c r="O223" s="9"/>
      <c r="P223" s="9"/>
      <c r="Q223" s="9"/>
      <c r="R223" s="16" t="str">
        <f aca="false">IF(OR(I223="",I223="FUENTE NO REGISTRADA"),"",INDEX(16_LISTAS!$A$4:$A$8,MAX(1,INDEX(16_LISTAS!$E$4:$E$9,MATCH(I223,16_LISTAS!$D$4:$D$9,0))-IF(F223="",0,IF(F223&lt;=IF(J223="S",18,12),0,IF(F223&lt;=IF(J223="S",30,24),1,2))))))</f>
        <v/>
      </c>
      <c r="S223" s="9"/>
      <c r="T223" s="9"/>
      <c r="U223" s="9"/>
    </row>
    <row r="224" customFormat="false" ht="15" hidden="false" customHeight="false" outlineLevel="0" collapsed="false">
      <c r="A224" s="9"/>
      <c r="B224" s="9"/>
      <c r="C224" s="21" t="str">
        <f aca="false">IF(A224="","",01_CONFIG!$B$4)</f>
        <v/>
      </c>
      <c r="D224" s="44" t="str">
        <f aca="false">IF(A224="","",01_CONFIG!$B$7)</f>
        <v/>
      </c>
      <c r="E224" s="11"/>
      <c r="F224" s="16" t="str">
        <f aca="false">IF(OR(E224="",D224=""),"",(YEAR(D224)-YEAR(E224))*12+MONTH(D224)-MONTH(E224))</f>
        <v/>
      </c>
      <c r="G224" s="16" t="str">
        <f aca="false">IF(OR(E224="",D224=""),"",IF(E224&gt;D224,"EXCLUIR","OK"))</f>
        <v/>
      </c>
      <c r="H224" s="9"/>
      <c r="I224" s="45" t="str">
        <f aca="false">IF(H224="","",IFERROR(INDEX(12_FUENTES!$B$2:$B$301,MATCH(H224,12_FUENTES!$A$2:$A$301,0)),"FUENTE NO REGISTRADA"))</f>
        <v/>
      </c>
      <c r="J224" s="9"/>
      <c r="K224" s="9"/>
      <c r="L224" s="9"/>
      <c r="M224" s="9"/>
      <c r="N224" s="9"/>
      <c r="O224" s="9"/>
      <c r="P224" s="9"/>
      <c r="Q224" s="9"/>
      <c r="R224" s="16" t="str">
        <f aca="false">IF(OR(I224="",I224="FUENTE NO REGISTRADA"),"",INDEX(16_LISTAS!$A$4:$A$8,MAX(1,INDEX(16_LISTAS!$E$4:$E$9,MATCH(I224,16_LISTAS!$D$4:$D$9,0))-IF(F224="",0,IF(F224&lt;=IF(J224="S",18,12),0,IF(F224&lt;=IF(J224="S",30,24),1,2))))))</f>
        <v/>
      </c>
      <c r="S224" s="9"/>
      <c r="T224" s="9"/>
      <c r="U224" s="9"/>
    </row>
    <row r="225" customFormat="false" ht="15" hidden="false" customHeight="false" outlineLevel="0" collapsed="false">
      <c r="A225" s="9"/>
      <c r="B225" s="9"/>
      <c r="C225" s="21" t="str">
        <f aca="false">IF(A225="","",01_CONFIG!$B$4)</f>
        <v/>
      </c>
      <c r="D225" s="44" t="str">
        <f aca="false">IF(A225="","",01_CONFIG!$B$7)</f>
        <v/>
      </c>
      <c r="E225" s="11"/>
      <c r="F225" s="16" t="str">
        <f aca="false">IF(OR(E225="",D225=""),"",(YEAR(D225)-YEAR(E225))*12+MONTH(D225)-MONTH(E225))</f>
        <v/>
      </c>
      <c r="G225" s="16" t="str">
        <f aca="false">IF(OR(E225="",D225=""),"",IF(E225&gt;D225,"EXCLUIR","OK"))</f>
        <v/>
      </c>
      <c r="H225" s="9"/>
      <c r="I225" s="45" t="str">
        <f aca="false">IF(H225="","",IFERROR(INDEX(12_FUENTES!$B$2:$B$301,MATCH(H225,12_FUENTES!$A$2:$A$301,0)),"FUENTE NO REGISTRADA"))</f>
        <v/>
      </c>
      <c r="J225" s="9"/>
      <c r="K225" s="9"/>
      <c r="L225" s="9"/>
      <c r="M225" s="9"/>
      <c r="N225" s="9"/>
      <c r="O225" s="9"/>
      <c r="P225" s="9"/>
      <c r="Q225" s="9"/>
      <c r="R225" s="16" t="str">
        <f aca="false">IF(OR(I225="",I225="FUENTE NO REGISTRADA"),"",INDEX(16_LISTAS!$A$4:$A$8,MAX(1,INDEX(16_LISTAS!$E$4:$E$9,MATCH(I225,16_LISTAS!$D$4:$D$9,0))-IF(F225="",0,IF(F225&lt;=IF(J225="S",18,12),0,IF(F225&lt;=IF(J225="S",30,24),1,2))))))</f>
        <v/>
      </c>
      <c r="S225" s="9"/>
      <c r="T225" s="9"/>
      <c r="U225" s="9"/>
    </row>
    <row r="226" customFormat="false" ht="15" hidden="false" customHeight="false" outlineLevel="0" collapsed="false">
      <c r="A226" s="9"/>
      <c r="B226" s="9"/>
      <c r="C226" s="21" t="str">
        <f aca="false">IF(A226="","",01_CONFIG!$B$4)</f>
        <v/>
      </c>
      <c r="D226" s="44" t="str">
        <f aca="false">IF(A226="","",01_CONFIG!$B$7)</f>
        <v/>
      </c>
      <c r="E226" s="11"/>
      <c r="F226" s="16" t="str">
        <f aca="false">IF(OR(E226="",D226=""),"",(YEAR(D226)-YEAR(E226))*12+MONTH(D226)-MONTH(E226))</f>
        <v/>
      </c>
      <c r="G226" s="16" t="str">
        <f aca="false">IF(OR(E226="",D226=""),"",IF(E226&gt;D226,"EXCLUIR","OK"))</f>
        <v/>
      </c>
      <c r="H226" s="9"/>
      <c r="I226" s="45" t="str">
        <f aca="false">IF(H226="","",IFERROR(INDEX(12_FUENTES!$B$2:$B$301,MATCH(H226,12_FUENTES!$A$2:$A$301,0)),"FUENTE NO REGISTRADA"))</f>
        <v/>
      </c>
      <c r="J226" s="9"/>
      <c r="K226" s="9"/>
      <c r="L226" s="9"/>
      <c r="M226" s="9"/>
      <c r="N226" s="9"/>
      <c r="O226" s="9"/>
      <c r="P226" s="9"/>
      <c r="Q226" s="9"/>
      <c r="R226" s="16" t="str">
        <f aca="false">IF(OR(I226="",I226="FUENTE NO REGISTRADA"),"",INDEX(16_LISTAS!$A$4:$A$8,MAX(1,INDEX(16_LISTAS!$E$4:$E$9,MATCH(I226,16_LISTAS!$D$4:$D$9,0))-IF(F226="",0,IF(F226&lt;=IF(J226="S",18,12),0,IF(F226&lt;=IF(J226="S",30,24),1,2))))))</f>
        <v/>
      </c>
      <c r="S226" s="9"/>
      <c r="T226" s="9"/>
      <c r="U226" s="9"/>
    </row>
    <row r="227" customFormat="false" ht="15" hidden="false" customHeight="false" outlineLevel="0" collapsed="false">
      <c r="A227" s="9"/>
      <c r="B227" s="9"/>
      <c r="C227" s="21" t="str">
        <f aca="false">IF(A227="","",01_CONFIG!$B$4)</f>
        <v/>
      </c>
      <c r="D227" s="44" t="str">
        <f aca="false">IF(A227="","",01_CONFIG!$B$7)</f>
        <v/>
      </c>
      <c r="E227" s="11"/>
      <c r="F227" s="16" t="str">
        <f aca="false">IF(OR(E227="",D227=""),"",(YEAR(D227)-YEAR(E227))*12+MONTH(D227)-MONTH(E227))</f>
        <v/>
      </c>
      <c r="G227" s="16" t="str">
        <f aca="false">IF(OR(E227="",D227=""),"",IF(E227&gt;D227,"EXCLUIR","OK"))</f>
        <v/>
      </c>
      <c r="H227" s="9"/>
      <c r="I227" s="45" t="str">
        <f aca="false">IF(H227="","",IFERROR(INDEX(12_FUENTES!$B$2:$B$301,MATCH(H227,12_FUENTES!$A$2:$A$301,0)),"FUENTE NO REGISTRADA"))</f>
        <v/>
      </c>
      <c r="J227" s="9"/>
      <c r="K227" s="9"/>
      <c r="L227" s="9"/>
      <c r="M227" s="9"/>
      <c r="N227" s="9"/>
      <c r="O227" s="9"/>
      <c r="P227" s="9"/>
      <c r="Q227" s="9"/>
      <c r="R227" s="16" t="str">
        <f aca="false">IF(OR(I227="",I227="FUENTE NO REGISTRADA"),"",INDEX(16_LISTAS!$A$4:$A$8,MAX(1,INDEX(16_LISTAS!$E$4:$E$9,MATCH(I227,16_LISTAS!$D$4:$D$9,0))-IF(F227="",0,IF(F227&lt;=IF(J227="S",18,12),0,IF(F227&lt;=IF(J227="S",30,24),1,2))))))</f>
        <v/>
      </c>
      <c r="S227" s="9"/>
      <c r="T227" s="9"/>
      <c r="U227" s="9"/>
    </row>
    <row r="228" customFormat="false" ht="15" hidden="false" customHeight="false" outlineLevel="0" collapsed="false">
      <c r="A228" s="9"/>
      <c r="B228" s="9"/>
      <c r="C228" s="21" t="str">
        <f aca="false">IF(A228="","",01_CONFIG!$B$4)</f>
        <v/>
      </c>
      <c r="D228" s="44" t="str">
        <f aca="false">IF(A228="","",01_CONFIG!$B$7)</f>
        <v/>
      </c>
      <c r="E228" s="11"/>
      <c r="F228" s="16" t="str">
        <f aca="false">IF(OR(E228="",D228=""),"",(YEAR(D228)-YEAR(E228))*12+MONTH(D228)-MONTH(E228))</f>
        <v/>
      </c>
      <c r="G228" s="16" t="str">
        <f aca="false">IF(OR(E228="",D228=""),"",IF(E228&gt;D228,"EXCLUIR","OK"))</f>
        <v/>
      </c>
      <c r="H228" s="9"/>
      <c r="I228" s="45" t="str">
        <f aca="false">IF(H228="","",IFERROR(INDEX(12_FUENTES!$B$2:$B$301,MATCH(H228,12_FUENTES!$A$2:$A$301,0)),"FUENTE NO REGISTRADA"))</f>
        <v/>
      </c>
      <c r="J228" s="9"/>
      <c r="K228" s="9"/>
      <c r="L228" s="9"/>
      <c r="M228" s="9"/>
      <c r="N228" s="9"/>
      <c r="O228" s="9"/>
      <c r="P228" s="9"/>
      <c r="Q228" s="9"/>
      <c r="R228" s="16" t="str">
        <f aca="false">IF(OR(I228="",I228="FUENTE NO REGISTRADA"),"",INDEX(16_LISTAS!$A$4:$A$8,MAX(1,INDEX(16_LISTAS!$E$4:$E$9,MATCH(I228,16_LISTAS!$D$4:$D$9,0))-IF(F228="",0,IF(F228&lt;=IF(J228="S",18,12),0,IF(F228&lt;=IF(J228="S",30,24),1,2))))))</f>
        <v/>
      </c>
      <c r="S228" s="9"/>
      <c r="T228" s="9"/>
      <c r="U228" s="9"/>
    </row>
    <row r="229" customFormat="false" ht="15" hidden="false" customHeight="false" outlineLevel="0" collapsed="false">
      <c r="A229" s="9"/>
      <c r="B229" s="9"/>
      <c r="C229" s="21" t="str">
        <f aca="false">IF(A229="","",01_CONFIG!$B$4)</f>
        <v/>
      </c>
      <c r="D229" s="44" t="str">
        <f aca="false">IF(A229="","",01_CONFIG!$B$7)</f>
        <v/>
      </c>
      <c r="E229" s="11"/>
      <c r="F229" s="16" t="str">
        <f aca="false">IF(OR(E229="",D229=""),"",(YEAR(D229)-YEAR(E229))*12+MONTH(D229)-MONTH(E229))</f>
        <v/>
      </c>
      <c r="G229" s="16" t="str">
        <f aca="false">IF(OR(E229="",D229=""),"",IF(E229&gt;D229,"EXCLUIR","OK"))</f>
        <v/>
      </c>
      <c r="H229" s="9"/>
      <c r="I229" s="45" t="str">
        <f aca="false">IF(H229="","",IFERROR(INDEX(12_FUENTES!$B$2:$B$301,MATCH(H229,12_FUENTES!$A$2:$A$301,0)),"FUENTE NO REGISTRADA"))</f>
        <v/>
      </c>
      <c r="J229" s="9"/>
      <c r="K229" s="9"/>
      <c r="L229" s="9"/>
      <c r="M229" s="9"/>
      <c r="N229" s="9"/>
      <c r="O229" s="9"/>
      <c r="P229" s="9"/>
      <c r="Q229" s="9"/>
      <c r="R229" s="16" t="str">
        <f aca="false">IF(OR(I229="",I229="FUENTE NO REGISTRADA"),"",INDEX(16_LISTAS!$A$4:$A$8,MAX(1,INDEX(16_LISTAS!$E$4:$E$9,MATCH(I229,16_LISTAS!$D$4:$D$9,0))-IF(F229="",0,IF(F229&lt;=IF(J229="S",18,12),0,IF(F229&lt;=IF(J229="S",30,24),1,2))))))</f>
        <v/>
      </c>
      <c r="S229" s="9"/>
      <c r="T229" s="9"/>
      <c r="U229" s="9"/>
    </row>
    <row r="230" customFormat="false" ht="15" hidden="false" customHeight="false" outlineLevel="0" collapsed="false">
      <c r="A230" s="9"/>
      <c r="B230" s="9"/>
      <c r="C230" s="21" t="str">
        <f aca="false">IF(A230="","",01_CONFIG!$B$4)</f>
        <v/>
      </c>
      <c r="D230" s="44" t="str">
        <f aca="false">IF(A230="","",01_CONFIG!$B$7)</f>
        <v/>
      </c>
      <c r="E230" s="11"/>
      <c r="F230" s="16" t="str">
        <f aca="false">IF(OR(E230="",D230=""),"",(YEAR(D230)-YEAR(E230))*12+MONTH(D230)-MONTH(E230))</f>
        <v/>
      </c>
      <c r="G230" s="16" t="str">
        <f aca="false">IF(OR(E230="",D230=""),"",IF(E230&gt;D230,"EXCLUIR","OK"))</f>
        <v/>
      </c>
      <c r="H230" s="9"/>
      <c r="I230" s="45" t="str">
        <f aca="false">IF(H230="","",IFERROR(INDEX(12_FUENTES!$B$2:$B$301,MATCH(H230,12_FUENTES!$A$2:$A$301,0)),"FUENTE NO REGISTRADA"))</f>
        <v/>
      </c>
      <c r="J230" s="9"/>
      <c r="K230" s="9"/>
      <c r="L230" s="9"/>
      <c r="M230" s="9"/>
      <c r="N230" s="9"/>
      <c r="O230" s="9"/>
      <c r="P230" s="9"/>
      <c r="Q230" s="9"/>
      <c r="R230" s="16" t="str">
        <f aca="false">IF(OR(I230="",I230="FUENTE NO REGISTRADA"),"",INDEX(16_LISTAS!$A$4:$A$8,MAX(1,INDEX(16_LISTAS!$E$4:$E$9,MATCH(I230,16_LISTAS!$D$4:$D$9,0))-IF(F230="",0,IF(F230&lt;=IF(J230="S",18,12),0,IF(F230&lt;=IF(J230="S",30,24),1,2))))))</f>
        <v/>
      </c>
      <c r="S230" s="9"/>
      <c r="T230" s="9"/>
      <c r="U230" s="9"/>
    </row>
    <row r="231" customFormat="false" ht="15" hidden="false" customHeight="false" outlineLevel="0" collapsed="false">
      <c r="A231" s="9"/>
      <c r="B231" s="9"/>
      <c r="C231" s="21" t="str">
        <f aca="false">IF(A231="","",01_CONFIG!$B$4)</f>
        <v/>
      </c>
      <c r="D231" s="44" t="str">
        <f aca="false">IF(A231="","",01_CONFIG!$B$7)</f>
        <v/>
      </c>
      <c r="E231" s="11"/>
      <c r="F231" s="16" t="str">
        <f aca="false">IF(OR(E231="",D231=""),"",(YEAR(D231)-YEAR(E231))*12+MONTH(D231)-MONTH(E231))</f>
        <v/>
      </c>
      <c r="G231" s="16" t="str">
        <f aca="false">IF(OR(E231="",D231=""),"",IF(E231&gt;D231,"EXCLUIR","OK"))</f>
        <v/>
      </c>
      <c r="H231" s="9"/>
      <c r="I231" s="45" t="str">
        <f aca="false">IF(H231="","",IFERROR(INDEX(12_FUENTES!$B$2:$B$301,MATCH(H231,12_FUENTES!$A$2:$A$301,0)),"FUENTE NO REGISTRADA"))</f>
        <v/>
      </c>
      <c r="J231" s="9"/>
      <c r="K231" s="9"/>
      <c r="L231" s="9"/>
      <c r="M231" s="9"/>
      <c r="N231" s="9"/>
      <c r="O231" s="9"/>
      <c r="P231" s="9"/>
      <c r="Q231" s="9"/>
      <c r="R231" s="16" t="str">
        <f aca="false">IF(OR(I231="",I231="FUENTE NO REGISTRADA"),"",INDEX(16_LISTAS!$A$4:$A$8,MAX(1,INDEX(16_LISTAS!$E$4:$E$9,MATCH(I231,16_LISTAS!$D$4:$D$9,0))-IF(F231="",0,IF(F231&lt;=IF(J231="S",18,12),0,IF(F231&lt;=IF(J231="S",30,24),1,2))))))</f>
        <v/>
      </c>
      <c r="S231" s="9"/>
      <c r="T231" s="9"/>
      <c r="U231" s="9"/>
    </row>
    <row r="232" customFormat="false" ht="15" hidden="false" customHeight="false" outlineLevel="0" collapsed="false">
      <c r="A232" s="9"/>
      <c r="B232" s="9"/>
      <c r="C232" s="21" t="str">
        <f aca="false">IF(A232="","",01_CONFIG!$B$4)</f>
        <v/>
      </c>
      <c r="D232" s="44" t="str">
        <f aca="false">IF(A232="","",01_CONFIG!$B$7)</f>
        <v/>
      </c>
      <c r="E232" s="11"/>
      <c r="F232" s="16" t="str">
        <f aca="false">IF(OR(E232="",D232=""),"",(YEAR(D232)-YEAR(E232))*12+MONTH(D232)-MONTH(E232))</f>
        <v/>
      </c>
      <c r="G232" s="16" t="str">
        <f aca="false">IF(OR(E232="",D232=""),"",IF(E232&gt;D232,"EXCLUIR","OK"))</f>
        <v/>
      </c>
      <c r="H232" s="9"/>
      <c r="I232" s="45" t="str">
        <f aca="false">IF(H232="","",IFERROR(INDEX(12_FUENTES!$B$2:$B$301,MATCH(H232,12_FUENTES!$A$2:$A$301,0)),"FUENTE NO REGISTRADA"))</f>
        <v/>
      </c>
      <c r="J232" s="9"/>
      <c r="K232" s="9"/>
      <c r="L232" s="9"/>
      <c r="M232" s="9"/>
      <c r="N232" s="9"/>
      <c r="O232" s="9"/>
      <c r="P232" s="9"/>
      <c r="Q232" s="9"/>
      <c r="R232" s="16" t="str">
        <f aca="false">IF(OR(I232="",I232="FUENTE NO REGISTRADA"),"",INDEX(16_LISTAS!$A$4:$A$8,MAX(1,INDEX(16_LISTAS!$E$4:$E$9,MATCH(I232,16_LISTAS!$D$4:$D$9,0))-IF(F232="",0,IF(F232&lt;=IF(J232="S",18,12),0,IF(F232&lt;=IF(J232="S",30,24),1,2))))))</f>
        <v/>
      </c>
      <c r="S232" s="9"/>
      <c r="T232" s="9"/>
      <c r="U232" s="9"/>
    </row>
    <row r="233" customFormat="false" ht="15" hidden="false" customHeight="false" outlineLevel="0" collapsed="false">
      <c r="A233" s="9"/>
      <c r="B233" s="9"/>
      <c r="C233" s="21" t="str">
        <f aca="false">IF(A233="","",01_CONFIG!$B$4)</f>
        <v/>
      </c>
      <c r="D233" s="44" t="str">
        <f aca="false">IF(A233="","",01_CONFIG!$B$7)</f>
        <v/>
      </c>
      <c r="E233" s="11"/>
      <c r="F233" s="16" t="str">
        <f aca="false">IF(OR(E233="",D233=""),"",(YEAR(D233)-YEAR(E233))*12+MONTH(D233)-MONTH(E233))</f>
        <v/>
      </c>
      <c r="G233" s="16" t="str">
        <f aca="false">IF(OR(E233="",D233=""),"",IF(E233&gt;D233,"EXCLUIR","OK"))</f>
        <v/>
      </c>
      <c r="H233" s="9"/>
      <c r="I233" s="45" t="str">
        <f aca="false">IF(H233="","",IFERROR(INDEX(12_FUENTES!$B$2:$B$301,MATCH(H233,12_FUENTES!$A$2:$A$301,0)),"FUENTE NO REGISTRADA"))</f>
        <v/>
      </c>
      <c r="J233" s="9"/>
      <c r="K233" s="9"/>
      <c r="L233" s="9"/>
      <c r="M233" s="9"/>
      <c r="N233" s="9"/>
      <c r="O233" s="9"/>
      <c r="P233" s="9"/>
      <c r="Q233" s="9"/>
      <c r="R233" s="16" t="str">
        <f aca="false">IF(OR(I233="",I233="FUENTE NO REGISTRADA"),"",INDEX(16_LISTAS!$A$4:$A$8,MAX(1,INDEX(16_LISTAS!$E$4:$E$9,MATCH(I233,16_LISTAS!$D$4:$D$9,0))-IF(F233="",0,IF(F233&lt;=IF(J233="S",18,12),0,IF(F233&lt;=IF(J233="S",30,24),1,2))))))</f>
        <v/>
      </c>
      <c r="S233" s="9"/>
      <c r="T233" s="9"/>
      <c r="U233" s="9"/>
    </row>
    <row r="234" customFormat="false" ht="15" hidden="false" customHeight="false" outlineLevel="0" collapsed="false">
      <c r="A234" s="9"/>
      <c r="B234" s="9"/>
      <c r="C234" s="21" t="str">
        <f aca="false">IF(A234="","",01_CONFIG!$B$4)</f>
        <v/>
      </c>
      <c r="D234" s="44" t="str">
        <f aca="false">IF(A234="","",01_CONFIG!$B$7)</f>
        <v/>
      </c>
      <c r="E234" s="11"/>
      <c r="F234" s="16" t="str">
        <f aca="false">IF(OR(E234="",D234=""),"",(YEAR(D234)-YEAR(E234))*12+MONTH(D234)-MONTH(E234))</f>
        <v/>
      </c>
      <c r="G234" s="16" t="str">
        <f aca="false">IF(OR(E234="",D234=""),"",IF(E234&gt;D234,"EXCLUIR","OK"))</f>
        <v/>
      </c>
      <c r="H234" s="9"/>
      <c r="I234" s="45" t="str">
        <f aca="false">IF(H234="","",IFERROR(INDEX(12_FUENTES!$B$2:$B$301,MATCH(H234,12_FUENTES!$A$2:$A$301,0)),"FUENTE NO REGISTRADA"))</f>
        <v/>
      </c>
      <c r="J234" s="9"/>
      <c r="K234" s="9"/>
      <c r="L234" s="9"/>
      <c r="M234" s="9"/>
      <c r="N234" s="9"/>
      <c r="O234" s="9"/>
      <c r="P234" s="9"/>
      <c r="Q234" s="9"/>
      <c r="R234" s="16" t="str">
        <f aca="false">IF(OR(I234="",I234="FUENTE NO REGISTRADA"),"",INDEX(16_LISTAS!$A$4:$A$8,MAX(1,INDEX(16_LISTAS!$E$4:$E$9,MATCH(I234,16_LISTAS!$D$4:$D$9,0))-IF(F234="",0,IF(F234&lt;=IF(J234="S",18,12),0,IF(F234&lt;=IF(J234="S",30,24),1,2))))))</f>
        <v/>
      </c>
      <c r="S234" s="9"/>
      <c r="T234" s="9"/>
      <c r="U234" s="9"/>
    </row>
    <row r="235" customFormat="false" ht="15" hidden="false" customHeight="false" outlineLevel="0" collapsed="false">
      <c r="A235" s="9"/>
      <c r="B235" s="9"/>
      <c r="C235" s="21" t="str">
        <f aca="false">IF(A235="","",01_CONFIG!$B$4)</f>
        <v/>
      </c>
      <c r="D235" s="44" t="str">
        <f aca="false">IF(A235="","",01_CONFIG!$B$7)</f>
        <v/>
      </c>
      <c r="E235" s="11"/>
      <c r="F235" s="16" t="str">
        <f aca="false">IF(OR(E235="",D235=""),"",(YEAR(D235)-YEAR(E235))*12+MONTH(D235)-MONTH(E235))</f>
        <v/>
      </c>
      <c r="G235" s="16" t="str">
        <f aca="false">IF(OR(E235="",D235=""),"",IF(E235&gt;D235,"EXCLUIR","OK"))</f>
        <v/>
      </c>
      <c r="H235" s="9"/>
      <c r="I235" s="45" t="str">
        <f aca="false">IF(H235="","",IFERROR(INDEX(12_FUENTES!$B$2:$B$301,MATCH(H235,12_FUENTES!$A$2:$A$301,0)),"FUENTE NO REGISTRADA"))</f>
        <v/>
      </c>
      <c r="J235" s="9"/>
      <c r="K235" s="9"/>
      <c r="L235" s="9"/>
      <c r="M235" s="9"/>
      <c r="N235" s="9"/>
      <c r="O235" s="9"/>
      <c r="P235" s="9"/>
      <c r="Q235" s="9"/>
      <c r="R235" s="16" t="str">
        <f aca="false">IF(OR(I235="",I235="FUENTE NO REGISTRADA"),"",INDEX(16_LISTAS!$A$4:$A$8,MAX(1,INDEX(16_LISTAS!$E$4:$E$9,MATCH(I235,16_LISTAS!$D$4:$D$9,0))-IF(F235="",0,IF(F235&lt;=IF(J235="S",18,12),0,IF(F235&lt;=IF(J235="S",30,24),1,2))))))</f>
        <v/>
      </c>
      <c r="S235" s="9"/>
      <c r="T235" s="9"/>
      <c r="U235" s="9"/>
    </row>
    <row r="236" customFormat="false" ht="15" hidden="false" customHeight="false" outlineLevel="0" collapsed="false">
      <c r="A236" s="9"/>
      <c r="B236" s="9"/>
      <c r="C236" s="21" t="str">
        <f aca="false">IF(A236="","",01_CONFIG!$B$4)</f>
        <v/>
      </c>
      <c r="D236" s="44" t="str">
        <f aca="false">IF(A236="","",01_CONFIG!$B$7)</f>
        <v/>
      </c>
      <c r="E236" s="11"/>
      <c r="F236" s="16" t="str">
        <f aca="false">IF(OR(E236="",D236=""),"",(YEAR(D236)-YEAR(E236))*12+MONTH(D236)-MONTH(E236))</f>
        <v/>
      </c>
      <c r="G236" s="16" t="str">
        <f aca="false">IF(OR(E236="",D236=""),"",IF(E236&gt;D236,"EXCLUIR","OK"))</f>
        <v/>
      </c>
      <c r="H236" s="9"/>
      <c r="I236" s="45" t="str">
        <f aca="false">IF(H236="","",IFERROR(INDEX(12_FUENTES!$B$2:$B$301,MATCH(H236,12_FUENTES!$A$2:$A$301,0)),"FUENTE NO REGISTRADA"))</f>
        <v/>
      </c>
      <c r="J236" s="9"/>
      <c r="K236" s="9"/>
      <c r="L236" s="9"/>
      <c r="M236" s="9"/>
      <c r="N236" s="9"/>
      <c r="O236" s="9"/>
      <c r="P236" s="9"/>
      <c r="Q236" s="9"/>
      <c r="R236" s="16" t="str">
        <f aca="false">IF(OR(I236="",I236="FUENTE NO REGISTRADA"),"",INDEX(16_LISTAS!$A$4:$A$8,MAX(1,INDEX(16_LISTAS!$E$4:$E$9,MATCH(I236,16_LISTAS!$D$4:$D$9,0))-IF(F236="",0,IF(F236&lt;=IF(J236="S",18,12),0,IF(F236&lt;=IF(J236="S",30,24),1,2))))))</f>
        <v/>
      </c>
      <c r="S236" s="9"/>
      <c r="T236" s="9"/>
      <c r="U236" s="9"/>
    </row>
    <row r="237" customFormat="false" ht="15" hidden="false" customHeight="false" outlineLevel="0" collapsed="false">
      <c r="A237" s="9"/>
      <c r="B237" s="9"/>
      <c r="C237" s="21" t="str">
        <f aca="false">IF(A237="","",01_CONFIG!$B$4)</f>
        <v/>
      </c>
      <c r="D237" s="44" t="str">
        <f aca="false">IF(A237="","",01_CONFIG!$B$7)</f>
        <v/>
      </c>
      <c r="E237" s="11"/>
      <c r="F237" s="16" t="str">
        <f aca="false">IF(OR(E237="",D237=""),"",(YEAR(D237)-YEAR(E237))*12+MONTH(D237)-MONTH(E237))</f>
        <v/>
      </c>
      <c r="G237" s="16" t="str">
        <f aca="false">IF(OR(E237="",D237=""),"",IF(E237&gt;D237,"EXCLUIR","OK"))</f>
        <v/>
      </c>
      <c r="H237" s="9"/>
      <c r="I237" s="45" t="str">
        <f aca="false">IF(H237="","",IFERROR(INDEX(12_FUENTES!$B$2:$B$301,MATCH(H237,12_FUENTES!$A$2:$A$301,0)),"FUENTE NO REGISTRADA"))</f>
        <v/>
      </c>
      <c r="J237" s="9"/>
      <c r="K237" s="9"/>
      <c r="L237" s="9"/>
      <c r="M237" s="9"/>
      <c r="N237" s="9"/>
      <c r="O237" s="9"/>
      <c r="P237" s="9"/>
      <c r="Q237" s="9"/>
      <c r="R237" s="16" t="str">
        <f aca="false">IF(OR(I237="",I237="FUENTE NO REGISTRADA"),"",INDEX(16_LISTAS!$A$4:$A$8,MAX(1,INDEX(16_LISTAS!$E$4:$E$9,MATCH(I237,16_LISTAS!$D$4:$D$9,0))-IF(F237="",0,IF(F237&lt;=IF(J237="S",18,12),0,IF(F237&lt;=IF(J237="S",30,24),1,2))))))</f>
        <v/>
      </c>
      <c r="S237" s="9"/>
      <c r="T237" s="9"/>
      <c r="U237" s="9"/>
    </row>
    <row r="238" customFormat="false" ht="15" hidden="false" customHeight="false" outlineLevel="0" collapsed="false">
      <c r="A238" s="9"/>
      <c r="B238" s="9"/>
      <c r="C238" s="21" t="str">
        <f aca="false">IF(A238="","",01_CONFIG!$B$4)</f>
        <v/>
      </c>
      <c r="D238" s="44" t="str">
        <f aca="false">IF(A238="","",01_CONFIG!$B$7)</f>
        <v/>
      </c>
      <c r="E238" s="11"/>
      <c r="F238" s="16" t="str">
        <f aca="false">IF(OR(E238="",D238=""),"",(YEAR(D238)-YEAR(E238))*12+MONTH(D238)-MONTH(E238))</f>
        <v/>
      </c>
      <c r="G238" s="16" t="str">
        <f aca="false">IF(OR(E238="",D238=""),"",IF(E238&gt;D238,"EXCLUIR","OK"))</f>
        <v/>
      </c>
      <c r="H238" s="9"/>
      <c r="I238" s="45" t="str">
        <f aca="false">IF(H238="","",IFERROR(INDEX(12_FUENTES!$B$2:$B$301,MATCH(H238,12_FUENTES!$A$2:$A$301,0)),"FUENTE NO REGISTRADA"))</f>
        <v/>
      </c>
      <c r="J238" s="9"/>
      <c r="K238" s="9"/>
      <c r="L238" s="9"/>
      <c r="M238" s="9"/>
      <c r="N238" s="9"/>
      <c r="O238" s="9"/>
      <c r="P238" s="9"/>
      <c r="Q238" s="9"/>
      <c r="R238" s="16" t="str">
        <f aca="false">IF(OR(I238="",I238="FUENTE NO REGISTRADA"),"",INDEX(16_LISTAS!$A$4:$A$8,MAX(1,INDEX(16_LISTAS!$E$4:$E$9,MATCH(I238,16_LISTAS!$D$4:$D$9,0))-IF(F238="",0,IF(F238&lt;=IF(J238="S",18,12),0,IF(F238&lt;=IF(J238="S",30,24),1,2))))))</f>
        <v/>
      </c>
      <c r="S238" s="9"/>
      <c r="T238" s="9"/>
      <c r="U238" s="9"/>
    </row>
    <row r="239" customFormat="false" ht="15" hidden="false" customHeight="false" outlineLevel="0" collapsed="false">
      <c r="A239" s="9"/>
      <c r="B239" s="9"/>
      <c r="C239" s="21" t="str">
        <f aca="false">IF(A239="","",01_CONFIG!$B$4)</f>
        <v/>
      </c>
      <c r="D239" s="44" t="str">
        <f aca="false">IF(A239="","",01_CONFIG!$B$7)</f>
        <v/>
      </c>
      <c r="E239" s="11"/>
      <c r="F239" s="16" t="str">
        <f aca="false">IF(OR(E239="",D239=""),"",(YEAR(D239)-YEAR(E239))*12+MONTH(D239)-MONTH(E239))</f>
        <v/>
      </c>
      <c r="G239" s="16" t="str">
        <f aca="false">IF(OR(E239="",D239=""),"",IF(E239&gt;D239,"EXCLUIR","OK"))</f>
        <v/>
      </c>
      <c r="H239" s="9"/>
      <c r="I239" s="45" t="str">
        <f aca="false">IF(H239="","",IFERROR(INDEX(12_FUENTES!$B$2:$B$301,MATCH(H239,12_FUENTES!$A$2:$A$301,0)),"FUENTE NO REGISTRADA"))</f>
        <v/>
      </c>
      <c r="J239" s="9"/>
      <c r="K239" s="9"/>
      <c r="L239" s="9"/>
      <c r="M239" s="9"/>
      <c r="N239" s="9"/>
      <c r="O239" s="9"/>
      <c r="P239" s="9"/>
      <c r="Q239" s="9"/>
      <c r="R239" s="16" t="str">
        <f aca="false">IF(OR(I239="",I239="FUENTE NO REGISTRADA"),"",INDEX(16_LISTAS!$A$4:$A$8,MAX(1,INDEX(16_LISTAS!$E$4:$E$9,MATCH(I239,16_LISTAS!$D$4:$D$9,0))-IF(F239="",0,IF(F239&lt;=IF(J239="S",18,12),0,IF(F239&lt;=IF(J239="S",30,24),1,2))))))</f>
        <v/>
      </c>
      <c r="S239" s="9"/>
      <c r="T239" s="9"/>
      <c r="U239" s="9"/>
    </row>
    <row r="240" customFormat="false" ht="15" hidden="false" customHeight="false" outlineLevel="0" collapsed="false">
      <c r="A240" s="9"/>
      <c r="B240" s="9"/>
      <c r="C240" s="21" t="str">
        <f aca="false">IF(A240="","",01_CONFIG!$B$4)</f>
        <v/>
      </c>
      <c r="D240" s="44" t="str">
        <f aca="false">IF(A240="","",01_CONFIG!$B$7)</f>
        <v/>
      </c>
      <c r="E240" s="11"/>
      <c r="F240" s="16" t="str">
        <f aca="false">IF(OR(E240="",D240=""),"",(YEAR(D240)-YEAR(E240))*12+MONTH(D240)-MONTH(E240))</f>
        <v/>
      </c>
      <c r="G240" s="16" t="str">
        <f aca="false">IF(OR(E240="",D240=""),"",IF(E240&gt;D240,"EXCLUIR","OK"))</f>
        <v/>
      </c>
      <c r="H240" s="9"/>
      <c r="I240" s="45" t="str">
        <f aca="false">IF(H240="","",IFERROR(INDEX(12_FUENTES!$B$2:$B$301,MATCH(H240,12_FUENTES!$A$2:$A$301,0)),"FUENTE NO REGISTRADA"))</f>
        <v/>
      </c>
      <c r="J240" s="9"/>
      <c r="K240" s="9"/>
      <c r="L240" s="9"/>
      <c r="M240" s="9"/>
      <c r="N240" s="9"/>
      <c r="O240" s="9"/>
      <c r="P240" s="9"/>
      <c r="Q240" s="9"/>
      <c r="R240" s="16" t="str">
        <f aca="false">IF(OR(I240="",I240="FUENTE NO REGISTRADA"),"",INDEX(16_LISTAS!$A$4:$A$8,MAX(1,INDEX(16_LISTAS!$E$4:$E$9,MATCH(I240,16_LISTAS!$D$4:$D$9,0))-IF(F240="",0,IF(F240&lt;=IF(J240="S",18,12),0,IF(F240&lt;=IF(J240="S",30,24),1,2))))))</f>
        <v/>
      </c>
      <c r="S240" s="9"/>
      <c r="T240" s="9"/>
      <c r="U240" s="9"/>
    </row>
    <row r="241" customFormat="false" ht="15" hidden="false" customHeight="false" outlineLevel="0" collapsed="false">
      <c r="A241" s="9"/>
      <c r="B241" s="9"/>
      <c r="C241" s="21" t="str">
        <f aca="false">IF(A241="","",01_CONFIG!$B$4)</f>
        <v/>
      </c>
      <c r="D241" s="44" t="str">
        <f aca="false">IF(A241="","",01_CONFIG!$B$7)</f>
        <v/>
      </c>
      <c r="E241" s="11"/>
      <c r="F241" s="16" t="str">
        <f aca="false">IF(OR(E241="",D241=""),"",(YEAR(D241)-YEAR(E241))*12+MONTH(D241)-MONTH(E241))</f>
        <v/>
      </c>
      <c r="G241" s="16" t="str">
        <f aca="false">IF(OR(E241="",D241=""),"",IF(E241&gt;D241,"EXCLUIR","OK"))</f>
        <v/>
      </c>
      <c r="H241" s="9"/>
      <c r="I241" s="45" t="str">
        <f aca="false">IF(H241="","",IFERROR(INDEX(12_FUENTES!$B$2:$B$301,MATCH(H241,12_FUENTES!$A$2:$A$301,0)),"FUENTE NO REGISTRADA"))</f>
        <v/>
      </c>
      <c r="J241" s="9"/>
      <c r="K241" s="9"/>
      <c r="L241" s="9"/>
      <c r="M241" s="9"/>
      <c r="N241" s="9"/>
      <c r="O241" s="9"/>
      <c r="P241" s="9"/>
      <c r="Q241" s="9"/>
      <c r="R241" s="16" t="str">
        <f aca="false">IF(OR(I241="",I241="FUENTE NO REGISTRADA"),"",INDEX(16_LISTAS!$A$4:$A$8,MAX(1,INDEX(16_LISTAS!$E$4:$E$9,MATCH(I241,16_LISTAS!$D$4:$D$9,0))-IF(F241="",0,IF(F241&lt;=IF(J241="S",18,12),0,IF(F241&lt;=IF(J241="S",30,24),1,2))))))</f>
        <v/>
      </c>
      <c r="S241" s="9"/>
      <c r="T241" s="9"/>
      <c r="U241" s="9"/>
    </row>
    <row r="242" customFormat="false" ht="15" hidden="false" customHeight="false" outlineLevel="0" collapsed="false">
      <c r="A242" s="9"/>
      <c r="B242" s="9"/>
      <c r="C242" s="21" t="str">
        <f aca="false">IF(A242="","",01_CONFIG!$B$4)</f>
        <v/>
      </c>
      <c r="D242" s="44" t="str">
        <f aca="false">IF(A242="","",01_CONFIG!$B$7)</f>
        <v/>
      </c>
      <c r="E242" s="11"/>
      <c r="F242" s="16" t="str">
        <f aca="false">IF(OR(E242="",D242=""),"",(YEAR(D242)-YEAR(E242))*12+MONTH(D242)-MONTH(E242))</f>
        <v/>
      </c>
      <c r="G242" s="16" t="str">
        <f aca="false">IF(OR(E242="",D242=""),"",IF(E242&gt;D242,"EXCLUIR","OK"))</f>
        <v/>
      </c>
      <c r="H242" s="9"/>
      <c r="I242" s="45" t="str">
        <f aca="false">IF(H242="","",IFERROR(INDEX(12_FUENTES!$B$2:$B$301,MATCH(H242,12_FUENTES!$A$2:$A$301,0)),"FUENTE NO REGISTRADA"))</f>
        <v/>
      </c>
      <c r="J242" s="9"/>
      <c r="K242" s="9"/>
      <c r="L242" s="9"/>
      <c r="M242" s="9"/>
      <c r="N242" s="9"/>
      <c r="O242" s="9"/>
      <c r="P242" s="9"/>
      <c r="Q242" s="9"/>
      <c r="R242" s="16" t="str">
        <f aca="false">IF(OR(I242="",I242="FUENTE NO REGISTRADA"),"",INDEX(16_LISTAS!$A$4:$A$8,MAX(1,INDEX(16_LISTAS!$E$4:$E$9,MATCH(I242,16_LISTAS!$D$4:$D$9,0))-IF(F242="",0,IF(F242&lt;=IF(J242="S",18,12),0,IF(F242&lt;=IF(J242="S",30,24),1,2))))))</f>
        <v/>
      </c>
      <c r="S242" s="9"/>
      <c r="T242" s="9"/>
      <c r="U242" s="9"/>
    </row>
    <row r="243" customFormat="false" ht="15" hidden="false" customHeight="false" outlineLevel="0" collapsed="false">
      <c r="A243" s="9"/>
      <c r="B243" s="9"/>
      <c r="C243" s="21" t="str">
        <f aca="false">IF(A243="","",01_CONFIG!$B$4)</f>
        <v/>
      </c>
      <c r="D243" s="44" t="str">
        <f aca="false">IF(A243="","",01_CONFIG!$B$7)</f>
        <v/>
      </c>
      <c r="E243" s="11"/>
      <c r="F243" s="16" t="str">
        <f aca="false">IF(OR(E243="",D243=""),"",(YEAR(D243)-YEAR(E243))*12+MONTH(D243)-MONTH(E243))</f>
        <v/>
      </c>
      <c r="G243" s="16" t="str">
        <f aca="false">IF(OR(E243="",D243=""),"",IF(E243&gt;D243,"EXCLUIR","OK"))</f>
        <v/>
      </c>
      <c r="H243" s="9"/>
      <c r="I243" s="45" t="str">
        <f aca="false">IF(H243="","",IFERROR(INDEX(12_FUENTES!$B$2:$B$301,MATCH(H243,12_FUENTES!$A$2:$A$301,0)),"FUENTE NO REGISTRADA"))</f>
        <v/>
      </c>
      <c r="J243" s="9"/>
      <c r="K243" s="9"/>
      <c r="L243" s="9"/>
      <c r="M243" s="9"/>
      <c r="N243" s="9"/>
      <c r="O243" s="9"/>
      <c r="P243" s="9"/>
      <c r="Q243" s="9"/>
      <c r="R243" s="16" t="str">
        <f aca="false">IF(OR(I243="",I243="FUENTE NO REGISTRADA"),"",INDEX(16_LISTAS!$A$4:$A$8,MAX(1,INDEX(16_LISTAS!$E$4:$E$9,MATCH(I243,16_LISTAS!$D$4:$D$9,0))-IF(F243="",0,IF(F243&lt;=IF(J243="S",18,12),0,IF(F243&lt;=IF(J243="S",30,24),1,2))))))</f>
        <v/>
      </c>
      <c r="S243" s="9"/>
      <c r="T243" s="9"/>
      <c r="U243" s="9"/>
    </row>
    <row r="244" customFormat="false" ht="15" hidden="false" customHeight="false" outlineLevel="0" collapsed="false">
      <c r="A244" s="9"/>
      <c r="B244" s="9"/>
      <c r="C244" s="21" t="str">
        <f aca="false">IF(A244="","",01_CONFIG!$B$4)</f>
        <v/>
      </c>
      <c r="D244" s="44" t="str">
        <f aca="false">IF(A244="","",01_CONFIG!$B$7)</f>
        <v/>
      </c>
      <c r="E244" s="11"/>
      <c r="F244" s="16" t="str">
        <f aca="false">IF(OR(E244="",D244=""),"",(YEAR(D244)-YEAR(E244))*12+MONTH(D244)-MONTH(E244))</f>
        <v/>
      </c>
      <c r="G244" s="16" t="str">
        <f aca="false">IF(OR(E244="",D244=""),"",IF(E244&gt;D244,"EXCLUIR","OK"))</f>
        <v/>
      </c>
      <c r="H244" s="9"/>
      <c r="I244" s="45" t="str">
        <f aca="false">IF(H244="","",IFERROR(INDEX(12_FUENTES!$B$2:$B$301,MATCH(H244,12_FUENTES!$A$2:$A$301,0)),"FUENTE NO REGISTRADA"))</f>
        <v/>
      </c>
      <c r="J244" s="9"/>
      <c r="K244" s="9"/>
      <c r="L244" s="9"/>
      <c r="M244" s="9"/>
      <c r="N244" s="9"/>
      <c r="O244" s="9"/>
      <c r="P244" s="9"/>
      <c r="Q244" s="9"/>
      <c r="R244" s="16" t="str">
        <f aca="false">IF(OR(I244="",I244="FUENTE NO REGISTRADA"),"",INDEX(16_LISTAS!$A$4:$A$8,MAX(1,INDEX(16_LISTAS!$E$4:$E$9,MATCH(I244,16_LISTAS!$D$4:$D$9,0))-IF(F244="",0,IF(F244&lt;=IF(J244="S",18,12),0,IF(F244&lt;=IF(J244="S",30,24),1,2))))))</f>
        <v/>
      </c>
      <c r="S244" s="9"/>
      <c r="T244" s="9"/>
      <c r="U244" s="9"/>
    </row>
    <row r="245" customFormat="false" ht="15" hidden="false" customHeight="false" outlineLevel="0" collapsed="false">
      <c r="A245" s="9"/>
      <c r="B245" s="9"/>
      <c r="C245" s="21" t="str">
        <f aca="false">IF(A245="","",01_CONFIG!$B$4)</f>
        <v/>
      </c>
      <c r="D245" s="44" t="str">
        <f aca="false">IF(A245="","",01_CONFIG!$B$7)</f>
        <v/>
      </c>
      <c r="E245" s="11"/>
      <c r="F245" s="16" t="str">
        <f aca="false">IF(OR(E245="",D245=""),"",(YEAR(D245)-YEAR(E245))*12+MONTH(D245)-MONTH(E245))</f>
        <v/>
      </c>
      <c r="G245" s="16" t="str">
        <f aca="false">IF(OR(E245="",D245=""),"",IF(E245&gt;D245,"EXCLUIR","OK"))</f>
        <v/>
      </c>
      <c r="H245" s="9"/>
      <c r="I245" s="45" t="str">
        <f aca="false">IF(H245="","",IFERROR(INDEX(12_FUENTES!$B$2:$B$301,MATCH(H245,12_FUENTES!$A$2:$A$301,0)),"FUENTE NO REGISTRADA"))</f>
        <v/>
      </c>
      <c r="J245" s="9"/>
      <c r="K245" s="9"/>
      <c r="L245" s="9"/>
      <c r="M245" s="9"/>
      <c r="N245" s="9"/>
      <c r="O245" s="9"/>
      <c r="P245" s="9"/>
      <c r="Q245" s="9"/>
      <c r="R245" s="16" t="str">
        <f aca="false">IF(OR(I245="",I245="FUENTE NO REGISTRADA"),"",INDEX(16_LISTAS!$A$4:$A$8,MAX(1,INDEX(16_LISTAS!$E$4:$E$9,MATCH(I245,16_LISTAS!$D$4:$D$9,0))-IF(F245="",0,IF(F245&lt;=IF(J245="S",18,12),0,IF(F245&lt;=IF(J245="S",30,24),1,2))))))</f>
        <v/>
      </c>
      <c r="S245" s="9"/>
      <c r="T245" s="9"/>
      <c r="U245" s="9"/>
    </row>
    <row r="246" customFormat="false" ht="15" hidden="false" customHeight="false" outlineLevel="0" collapsed="false">
      <c r="A246" s="9"/>
      <c r="B246" s="9"/>
      <c r="C246" s="21" t="str">
        <f aca="false">IF(A246="","",01_CONFIG!$B$4)</f>
        <v/>
      </c>
      <c r="D246" s="44" t="str">
        <f aca="false">IF(A246="","",01_CONFIG!$B$7)</f>
        <v/>
      </c>
      <c r="E246" s="11"/>
      <c r="F246" s="16" t="str">
        <f aca="false">IF(OR(E246="",D246=""),"",(YEAR(D246)-YEAR(E246))*12+MONTH(D246)-MONTH(E246))</f>
        <v/>
      </c>
      <c r="G246" s="16" t="str">
        <f aca="false">IF(OR(E246="",D246=""),"",IF(E246&gt;D246,"EXCLUIR","OK"))</f>
        <v/>
      </c>
      <c r="H246" s="9"/>
      <c r="I246" s="45" t="str">
        <f aca="false">IF(H246="","",IFERROR(INDEX(12_FUENTES!$B$2:$B$301,MATCH(H246,12_FUENTES!$A$2:$A$301,0)),"FUENTE NO REGISTRADA"))</f>
        <v/>
      </c>
      <c r="J246" s="9"/>
      <c r="K246" s="9"/>
      <c r="L246" s="9"/>
      <c r="M246" s="9"/>
      <c r="N246" s="9"/>
      <c r="O246" s="9"/>
      <c r="P246" s="9"/>
      <c r="Q246" s="9"/>
      <c r="R246" s="16" t="str">
        <f aca="false">IF(OR(I246="",I246="FUENTE NO REGISTRADA"),"",INDEX(16_LISTAS!$A$4:$A$8,MAX(1,INDEX(16_LISTAS!$E$4:$E$9,MATCH(I246,16_LISTAS!$D$4:$D$9,0))-IF(F246="",0,IF(F246&lt;=IF(J246="S",18,12),0,IF(F246&lt;=IF(J246="S",30,24),1,2))))))</f>
        <v/>
      </c>
      <c r="S246" s="9"/>
      <c r="T246" s="9"/>
      <c r="U246" s="9"/>
    </row>
    <row r="247" customFormat="false" ht="15" hidden="false" customHeight="false" outlineLevel="0" collapsed="false">
      <c r="A247" s="9"/>
      <c r="B247" s="9"/>
      <c r="C247" s="21" t="str">
        <f aca="false">IF(A247="","",01_CONFIG!$B$4)</f>
        <v/>
      </c>
      <c r="D247" s="44" t="str">
        <f aca="false">IF(A247="","",01_CONFIG!$B$7)</f>
        <v/>
      </c>
      <c r="E247" s="11"/>
      <c r="F247" s="16" t="str">
        <f aca="false">IF(OR(E247="",D247=""),"",(YEAR(D247)-YEAR(E247))*12+MONTH(D247)-MONTH(E247))</f>
        <v/>
      </c>
      <c r="G247" s="16" t="str">
        <f aca="false">IF(OR(E247="",D247=""),"",IF(E247&gt;D247,"EXCLUIR","OK"))</f>
        <v/>
      </c>
      <c r="H247" s="9"/>
      <c r="I247" s="45" t="str">
        <f aca="false">IF(H247="","",IFERROR(INDEX(12_FUENTES!$B$2:$B$301,MATCH(H247,12_FUENTES!$A$2:$A$301,0)),"FUENTE NO REGISTRADA"))</f>
        <v/>
      </c>
      <c r="J247" s="9"/>
      <c r="K247" s="9"/>
      <c r="L247" s="9"/>
      <c r="M247" s="9"/>
      <c r="N247" s="9"/>
      <c r="O247" s="9"/>
      <c r="P247" s="9"/>
      <c r="Q247" s="9"/>
      <c r="R247" s="16" t="str">
        <f aca="false">IF(OR(I247="",I247="FUENTE NO REGISTRADA"),"",INDEX(16_LISTAS!$A$4:$A$8,MAX(1,INDEX(16_LISTAS!$E$4:$E$9,MATCH(I247,16_LISTAS!$D$4:$D$9,0))-IF(F247="",0,IF(F247&lt;=IF(J247="S",18,12),0,IF(F247&lt;=IF(J247="S",30,24),1,2))))))</f>
        <v/>
      </c>
      <c r="S247" s="9"/>
      <c r="T247" s="9"/>
      <c r="U247" s="9"/>
    </row>
    <row r="248" customFormat="false" ht="15" hidden="false" customHeight="false" outlineLevel="0" collapsed="false">
      <c r="A248" s="9"/>
      <c r="B248" s="9"/>
      <c r="C248" s="21" t="str">
        <f aca="false">IF(A248="","",01_CONFIG!$B$4)</f>
        <v/>
      </c>
      <c r="D248" s="44" t="str">
        <f aca="false">IF(A248="","",01_CONFIG!$B$7)</f>
        <v/>
      </c>
      <c r="E248" s="11"/>
      <c r="F248" s="16" t="str">
        <f aca="false">IF(OR(E248="",D248=""),"",(YEAR(D248)-YEAR(E248))*12+MONTH(D248)-MONTH(E248))</f>
        <v/>
      </c>
      <c r="G248" s="16" t="str">
        <f aca="false">IF(OR(E248="",D248=""),"",IF(E248&gt;D248,"EXCLUIR","OK"))</f>
        <v/>
      </c>
      <c r="H248" s="9"/>
      <c r="I248" s="45" t="str">
        <f aca="false">IF(H248="","",IFERROR(INDEX(12_FUENTES!$B$2:$B$301,MATCH(H248,12_FUENTES!$A$2:$A$301,0)),"FUENTE NO REGISTRADA"))</f>
        <v/>
      </c>
      <c r="J248" s="9"/>
      <c r="K248" s="9"/>
      <c r="L248" s="9"/>
      <c r="M248" s="9"/>
      <c r="N248" s="9"/>
      <c r="O248" s="9"/>
      <c r="P248" s="9"/>
      <c r="Q248" s="9"/>
      <c r="R248" s="16" t="str">
        <f aca="false">IF(OR(I248="",I248="FUENTE NO REGISTRADA"),"",INDEX(16_LISTAS!$A$4:$A$8,MAX(1,INDEX(16_LISTAS!$E$4:$E$9,MATCH(I248,16_LISTAS!$D$4:$D$9,0))-IF(F248="",0,IF(F248&lt;=IF(J248="S",18,12),0,IF(F248&lt;=IF(J248="S",30,24),1,2))))))</f>
        <v/>
      </c>
      <c r="S248" s="9"/>
      <c r="T248" s="9"/>
      <c r="U248" s="9"/>
    </row>
    <row r="249" customFormat="false" ht="15" hidden="false" customHeight="false" outlineLevel="0" collapsed="false">
      <c r="A249" s="9"/>
      <c r="B249" s="9"/>
      <c r="C249" s="21" t="str">
        <f aca="false">IF(A249="","",01_CONFIG!$B$4)</f>
        <v/>
      </c>
      <c r="D249" s="44" t="str">
        <f aca="false">IF(A249="","",01_CONFIG!$B$7)</f>
        <v/>
      </c>
      <c r="E249" s="11"/>
      <c r="F249" s="16" t="str">
        <f aca="false">IF(OR(E249="",D249=""),"",(YEAR(D249)-YEAR(E249))*12+MONTH(D249)-MONTH(E249))</f>
        <v/>
      </c>
      <c r="G249" s="16" t="str">
        <f aca="false">IF(OR(E249="",D249=""),"",IF(E249&gt;D249,"EXCLUIR","OK"))</f>
        <v/>
      </c>
      <c r="H249" s="9"/>
      <c r="I249" s="45" t="str">
        <f aca="false">IF(H249="","",IFERROR(INDEX(12_FUENTES!$B$2:$B$301,MATCH(H249,12_FUENTES!$A$2:$A$301,0)),"FUENTE NO REGISTRADA"))</f>
        <v/>
      </c>
      <c r="J249" s="9"/>
      <c r="K249" s="9"/>
      <c r="L249" s="9"/>
      <c r="M249" s="9"/>
      <c r="N249" s="9"/>
      <c r="O249" s="9"/>
      <c r="P249" s="9"/>
      <c r="Q249" s="9"/>
      <c r="R249" s="16" t="str">
        <f aca="false">IF(OR(I249="",I249="FUENTE NO REGISTRADA"),"",INDEX(16_LISTAS!$A$4:$A$8,MAX(1,INDEX(16_LISTAS!$E$4:$E$9,MATCH(I249,16_LISTAS!$D$4:$D$9,0))-IF(F249="",0,IF(F249&lt;=IF(J249="S",18,12),0,IF(F249&lt;=IF(J249="S",30,24),1,2))))))</f>
        <v/>
      </c>
      <c r="S249" s="9"/>
      <c r="T249" s="9"/>
      <c r="U249" s="9"/>
    </row>
    <row r="250" customFormat="false" ht="15" hidden="false" customHeight="false" outlineLevel="0" collapsed="false">
      <c r="A250" s="9"/>
      <c r="B250" s="9"/>
      <c r="C250" s="21" t="str">
        <f aca="false">IF(A250="","",01_CONFIG!$B$4)</f>
        <v/>
      </c>
      <c r="D250" s="44" t="str">
        <f aca="false">IF(A250="","",01_CONFIG!$B$7)</f>
        <v/>
      </c>
      <c r="E250" s="11"/>
      <c r="F250" s="16" t="str">
        <f aca="false">IF(OR(E250="",D250=""),"",(YEAR(D250)-YEAR(E250))*12+MONTH(D250)-MONTH(E250))</f>
        <v/>
      </c>
      <c r="G250" s="16" t="str">
        <f aca="false">IF(OR(E250="",D250=""),"",IF(E250&gt;D250,"EXCLUIR","OK"))</f>
        <v/>
      </c>
      <c r="H250" s="9"/>
      <c r="I250" s="45" t="str">
        <f aca="false">IF(H250="","",IFERROR(INDEX(12_FUENTES!$B$2:$B$301,MATCH(H250,12_FUENTES!$A$2:$A$301,0)),"FUENTE NO REGISTRADA"))</f>
        <v/>
      </c>
      <c r="J250" s="9"/>
      <c r="K250" s="9"/>
      <c r="L250" s="9"/>
      <c r="M250" s="9"/>
      <c r="N250" s="9"/>
      <c r="O250" s="9"/>
      <c r="P250" s="9"/>
      <c r="Q250" s="9"/>
      <c r="R250" s="16" t="str">
        <f aca="false">IF(OR(I250="",I250="FUENTE NO REGISTRADA"),"",INDEX(16_LISTAS!$A$4:$A$8,MAX(1,INDEX(16_LISTAS!$E$4:$E$9,MATCH(I250,16_LISTAS!$D$4:$D$9,0))-IF(F250="",0,IF(F250&lt;=IF(J250="S",18,12),0,IF(F250&lt;=IF(J250="S",30,24),1,2))))))</f>
        <v/>
      </c>
      <c r="S250" s="9"/>
      <c r="T250" s="9"/>
      <c r="U250" s="9"/>
    </row>
    <row r="251" customFormat="false" ht="15" hidden="false" customHeight="false" outlineLevel="0" collapsed="false">
      <c r="A251" s="9"/>
      <c r="B251" s="9"/>
      <c r="C251" s="21" t="str">
        <f aca="false">IF(A251="","",01_CONFIG!$B$4)</f>
        <v/>
      </c>
      <c r="D251" s="44" t="str">
        <f aca="false">IF(A251="","",01_CONFIG!$B$7)</f>
        <v/>
      </c>
      <c r="E251" s="11"/>
      <c r="F251" s="16" t="str">
        <f aca="false">IF(OR(E251="",D251=""),"",(YEAR(D251)-YEAR(E251))*12+MONTH(D251)-MONTH(E251))</f>
        <v/>
      </c>
      <c r="G251" s="16" t="str">
        <f aca="false">IF(OR(E251="",D251=""),"",IF(E251&gt;D251,"EXCLUIR","OK"))</f>
        <v/>
      </c>
      <c r="H251" s="9"/>
      <c r="I251" s="45" t="str">
        <f aca="false">IF(H251="","",IFERROR(INDEX(12_FUENTES!$B$2:$B$301,MATCH(H251,12_FUENTES!$A$2:$A$301,0)),"FUENTE NO REGISTRADA"))</f>
        <v/>
      </c>
      <c r="J251" s="9"/>
      <c r="K251" s="9"/>
      <c r="L251" s="9"/>
      <c r="M251" s="9"/>
      <c r="N251" s="9"/>
      <c r="O251" s="9"/>
      <c r="P251" s="9"/>
      <c r="Q251" s="9"/>
      <c r="R251" s="16" t="str">
        <f aca="false">IF(OR(I251="",I251="FUENTE NO REGISTRADA"),"",INDEX(16_LISTAS!$A$4:$A$8,MAX(1,INDEX(16_LISTAS!$E$4:$E$9,MATCH(I251,16_LISTAS!$D$4:$D$9,0))-IF(F251="",0,IF(F251&lt;=IF(J251="S",18,12),0,IF(F251&lt;=IF(J251="S",30,24),1,2))))))</f>
        <v/>
      </c>
      <c r="S251" s="9"/>
      <c r="T251" s="9"/>
      <c r="U251" s="9"/>
    </row>
    <row r="252" customFormat="false" ht="15" hidden="false" customHeight="false" outlineLevel="0" collapsed="false">
      <c r="A252" s="9"/>
      <c r="B252" s="9"/>
      <c r="C252" s="21" t="str">
        <f aca="false">IF(A252="","",01_CONFIG!$B$4)</f>
        <v/>
      </c>
      <c r="D252" s="44" t="str">
        <f aca="false">IF(A252="","",01_CONFIG!$B$7)</f>
        <v/>
      </c>
      <c r="E252" s="11"/>
      <c r="F252" s="16" t="str">
        <f aca="false">IF(OR(E252="",D252=""),"",(YEAR(D252)-YEAR(E252))*12+MONTH(D252)-MONTH(E252))</f>
        <v/>
      </c>
      <c r="G252" s="16" t="str">
        <f aca="false">IF(OR(E252="",D252=""),"",IF(E252&gt;D252,"EXCLUIR","OK"))</f>
        <v/>
      </c>
      <c r="H252" s="9"/>
      <c r="I252" s="45" t="str">
        <f aca="false">IF(H252="","",IFERROR(INDEX(12_FUENTES!$B$2:$B$301,MATCH(H252,12_FUENTES!$A$2:$A$301,0)),"FUENTE NO REGISTRADA"))</f>
        <v/>
      </c>
      <c r="J252" s="9"/>
      <c r="K252" s="9"/>
      <c r="L252" s="9"/>
      <c r="M252" s="9"/>
      <c r="N252" s="9"/>
      <c r="O252" s="9"/>
      <c r="P252" s="9"/>
      <c r="Q252" s="9"/>
      <c r="R252" s="16" t="str">
        <f aca="false">IF(OR(I252="",I252="FUENTE NO REGISTRADA"),"",INDEX(16_LISTAS!$A$4:$A$8,MAX(1,INDEX(16_LISTAS!$E$4:$E$9,MATCH(I252,16_LISTAS!$D$4:$D$9,0))-IF(F252="",0,IF(F252&lt;=IF(J252="S",18,12),0,IF(F252&lt;=IF(J252="S",30,24),1,2))))))</f>
        <v/>
      </c>
      <c r="S252" s="9"/>
      <c r="T252" s="9"/>
      <c r="U252" s="9"/>
    </row>
    <row r="253" customFormat="false" ht="15" hidden="false" customHeight="false" outlineLevel="0" collapsed="false">
      <c r="A253" s="9"/>
      <c r="B253" s="9"/>
      <c r="C253" s="21" t="str">
        <f aca="false">IF(A253="","",01_CONFIG!$B$4)</f>
        <v/>
      </c>
      <c r="D253" s="44" t="str">
        <f aca="false">IF(A253="","",01_CONFIG!$B$7)</f>
        <v/>
      </c>
      <c r="E253" s="11"/>
      <c r="F253" s="16" t="str">
        <f aca="false">IF(OR(E253="",D253=""),"",(YEAR(D253)-YEAR(E253))*12+MONTH(D253)-MONTH(E253))</f>
        <v/>
      </c>
      <c r="G253" s="16" t="str">
        <f aca="false">IF(OR(E253="",D253=""),"",IF(E253&gt;D253,"EXCLUIR","OK"))</f>
        <v/>
      </c>
      <c r="H253" s="9"/>
      <c r="I253" s="45" t="str">
        <f aca="false">IF(H253="","",IFERROR(INDEX(12_FUENTES!$B$2:$B$301,MATCH(H253,12_FUENTES!$A$2:$A$301,0)),"FUENTE NO REGISTRADA"))</f>
        <v/>
      </c>
      <c r="J253" s="9"/>
      <c r="K253" s="9"/>
      <c r="L253" s="9"/>
      <c r="M253" s="9"/>
      <c r="N253" s="9"/>
      <c r="O253" s="9"/>
      <c r="P253" s="9"/>
      <c r="Q253" s="9"/>
      <c r="R253" s="16" t="str">
        <f aca="false">IF(OR(I253="",I253="FUENTE NO REGISTRADA"),"",INDEX(16_LISTAS!$A$4:$A$8,MAX(1,INDEX(16_LISTAS!$E$4:$E$9,MATCH(I253,16_LISTAS!$D$4:$D$9,0))-IF(F253="",0,IF(F253&lt;=IF(J253="S",18,12),0,IF(F253&lt;=IF(J253="S",30,24),1,2))))))</f>
        <v/>
      </c>
      <c r="S253" s="9"/>
      <c r="T253" s="9"/>
      <c r="U253" s="9"/>
    </row>
    <row r="254" customFormat="false" ht="15" hidden="false" customHeight="false" outlineLevel="0" collapsed="false">
      <c r="A254" s="9"/>
      <c r="B254" s="9"/>
      <c r="C254" s="21" t="str">
        <f aca="false">IF(A254="","",01_CONFIG!$B$4)</f>
        <v/>
      </c>
      <c r="D254" s="44" t="str">
        <f aca="false">IF(A254="","",01_CONFIG!$B$7)</f>
        <v/>
      </c>
      <c r="E254" s="11"/>
      <c r="F254" s="16" t="str">
        <f aca="false">IF(OR(E254="",D254=""),"",(YEAR(D254)-YEAR(E254))*12+MONTH(D254)-MONTH(E254))</f>
        <v/>
      </c>
      <c r="G254" s="16" t="str">
        <f aca="false">IF(OR(E254="",D254=""),"",IF(E254&gt;D254,"EXCLUIR","OK"))</f>
        <v/>
      </c>
      <c r="H254" s="9"/>
      <c r="I254" s="45" t="str">
        <f aca="false">IF(H254="","",IFERROR(INDEX(12_FUENTES!$B$2:$B$301,MATCH(H254,12_FUENTES!$A$2:$A$301,0)),"FUENTE NO REGISTRADA"))</f>
        <v/>
      </c>
      <c r="J254" s="9"/>
      <c r="K254" s="9"/>
      <c r="L254" s="9"/>
      <c r="M254" s="9"/>
      <c r="N254" s="9"/>
      <c r="O254" s="9"/>
      <c r="P254" s="9"/>
      <c r="Q254" s="9"/>
      <c r="R254" s="16" t="str">
        <f aca="false">IF(OR(I254="",I254="FUENTE NO REGISTRADA"),"",INDEX(16_LISTAS!$A$4:$A$8,MAX(1,INDEX(16_LISTAS!$E$4:$E$9,MATCH(I254,16_LISTAS!$D$4:$D$9,0))-IF(F254="",0,IF(F254&lt;=IF(J254="S",18,12),0,IF(F254&lt;=IF(J254="S",30,24),1,2))))))</f>
        <v/>
      </c>
      <c r="S254" s="9"/>
      <c r="T254" s="9"/>
      <c r="U254" s="9"/>
    </row>
    <row r="255" customFormat="false" ht="15" hidden="false" customHeight="false" outlineLevel="0" collapsed="false">
      <c r="A255" s="9"/>
      <c r="B255" s="9"/>
      <c r="C255" s="21" t="str">
        <f aca="false">IF(A255="","",01_CONFIG!$B$4)</f>
        <v/>
      </c>
      <c r="D255" s="44" t="str">
        <f aca="false">IF(A255="","",01_CONFIG!$B$7)</f>
        <v/>
      </c>
      <c r="E255" s="11"/>
      <c r="F255" s="16" t="str">
        <f aca="false">IF(OR(E255="",D255=""),"",(YEAR(D255)-YEAR(E255))*12+MONTH(D255)-MONTH(E255))</f>
        <v/>
      </c>
      <c r="G255" s="16" t="str">
        <f aca="false">IF(OR(E255="",D255=""),"",IF(E255&gt;D255,"EXCLUIR","OK"))</f>
        <v/>
      </c>
      <c r="H255" s="9"/>
      <c r="I255" s="45" t="str">
        <f aca="false">IF(H255="","",IFERROR(INDEX(12_FUENTES!$B$2:$B$301,MATCH(H255,12_FUENTES!$A$2:$A$301,0)),"FUENTE NO REGISTRADA"))</f>
        <v/>
      </c>
      <c r="J255" s="9"/>
      <c r="K255" s="9"/>
      <c r="L255" s="9"/>
      <c r="M255" s="9"/>
      <c r="N255" s="9"/>
      <c r="O255" s="9"/>
      <c r="P255" s="9"/>
      <c r="Q255" s="9"/>
      <c r="R255" s="16" t="str">
        <f aca="false">IF(OR(I255="",I255="FUENTE NO REGISTRADA"),"",INDEX(16_LISTAS!$A$4:$A$8,MAX(1,INDEX(16_LISTAS!$E$4:$E$9,MATCH(I255,16_LISTAS!$D$4:$D$9,0))-IF(F255="",0,IF(F255&lt;=IF(J255="S",18,12),0,IF(F255&lt;=IF(J255="S",30,24),1,2))))))</f>
        <v/>
      </c>
      <c r="S255" s="9"/>
      <c r="T255" s="9"/>
      <c r="U255" s="9"/>
    </row>
    <row r="256" customFormat="false" ht="15" hidden="false" customHeight="false" outlineLevel="0" collapsed="false">
      <c r="A256" s="9"/>
      <c r="B256" s="9"/>
      <c r="C256" s="21" t="str">
        <f aca="false">IF(A256="","",01_CONFIG!$B$4)</f>
        <v/>
      </c>
      <c r="D256" s="44" t="str">
        <f aca="false">IF(A256="","",01_CONFIG!$B$7)</f>
        <v/>
      </c>
      <c r="E256" s="11"/>
      <c r="F256" s="16" t="str">
        <f aca="false">IF(OR(E256="",D256=""),"",(YEAR(D256)-YEAR(E256))*12+MONTH(D256)-MONTH(E256))</f>
        <v/>
      </c>
      <c r="G256" s="16" t="str">
        <f aca="false">IF(OR(E256="",D256=""),"",IF(E256&gt;D256,"EXCLUIR","OK"))</f>
        <v/>
      </c>
      <c r="H256" s="9"/>
      <c r="I256" s="45" t="str">
        <f aca="false">IF(H256="","",IFERROR(INDEX(12_FUENTES!$B$2:$B$301,MATCH(H256,12_FUENTES!$A$2:$A$301,0)),"FUENTE NO REGISTRADA"))</f>
        <v/>
      </c>
      <c r="J256" s="9"/>
      <c r="K256" s="9"/>
      <c r="L256" s="9"/>
      <c r="M256" s="9"/>
      <c r="N256" s="9"/>
      <c r="O256" s="9"/>
      <c r="P256" s="9"/>
      <c r="Q256" s="9"/>
      <c r="R256" s="16" t="str">
        <f aca="false">IF(OR(I256="",I256="FUENTE NO REGISTRADA"),"",INDEX(16_LISTAS!$A$4:$A$8,MAX(1,INDEX(16_LISTAS!$E$4:$E$9,MATCH(I256,16_LISTAS!$D$4:$D$9,0))-IF(F256="",0,IF(F256&lt;=IF(J256="S",18,12),0,IF(F256&lt;=IF(J256="S",30,24),1,2))))))</f>
        <v/>
      </c>
      <c r="S256" s="9"/>
      <c r="T256" s="9"/>
      <c r="U256" s="9"/>
    </row>
    <row r="257" customFormat="false" ht="15" hidden="false" customHeight="false" outlineLevel="0" collapsed="false">
      <c r="A257" s="9"/>
      <c r="B257" s="9"/>
      <c r="C257" s="21" t="str">
        <f aca="false">IF(A257="","",01_CONFIG!$B$4)</f>
        <v/>
      </c>
      <c r="D257" s="44" t="str">
        <f aca="false">IF(A257="","",01_CONFIG!$B$7)</f>
        <v/>
      </c>
      <c r="E257" s="11"/>
      <c r="F257" s="16" t="str">
        <f aca="false">IF(OR(E257="",D257=""),"",(YEAR(D257)-YEAR(E257))*12+MONTH(D257)-MONTH(E257))</f>
        <v/>
      </c>
      <c r="G257" s="16" t="str">
        <f aca="false">IF(OR(E257="",D257=""),"",IF(E257&gt;D257,"EXCLUIR","OK"))</f>
        <v/>
      </c>
      <c r="H257" s="9"/>
      <c r="I257" s="45" t="str">
        <f aca="false">IF(H257="","",IFERROR(INDEX(12_FUENTES!$B$2:$B$301,MATCH(H257,12_FUENTES!$A$2:$A$301,0)),"FUENTE NO REGISTRADA"))</f>
        <v/>
      </c>
      <c r="J257" s="9"/>
      <c r="K257" s="9"/>
      <c r="L257" s="9"/>
      <c r="M257" s="9"/>
      <c r="N257" s="9"/>
      <c r="O257" s="9"/>
      <c r="P257" s="9"/>
      <c r="Q257" s="9"/>
      <c r="R257" s="16" t="str">
        <f aca="false">IF(OR(I257="",I257="FUENTE NO REGISTRADA"),"",INDEX(16_LISTAS!$A$4:$A$8,MAX(1,INDEX(16_LISTAS!$E$4:$E$9,MATCH(I257,16_LISTAS!$D$4:$D$9,0))-IF(F257="",0,IF(F257&lt;=IF(J257="S",18,12),0,IF(F257&lt;=IF(J257="S",30,24),1,2))))))</f>
        <v/>
      </c>
      <c r="S257" s="9"/>
      <c r="T257" s="9"/>
      <c r="U257" s="9"/>
    </row>
    <row r="258" customFormat="false" ht="15" hidden="false" customHeight="false" outlineLevel="0" collapsed="false">
      <c r="A258" s="9"/>
      <c r="B258" s="9"/>
      <c r="C258" s="21" t="str">
        <f aca="false">IF(A258="","",01_CONFIG!$B$4)</f>
        <v/>
      </c>
      <c r="D258" s="44" t="str">
        <f aca="false">IF(A258="","",01_CONFIG!$B$7)</f>
        <v/>
      </c>
      <c r="E258" s="11"/>
      <c r="F258" s="16" t="str">
        <f aca="false">IF(OR(E258="",D258=""),"",(YEAR(D258)-YEAR(E258))*12+MONTH(D258)-MONTH(E258))</f>
        <v/>
      </c>
      <c r="G258" s="16" t="str">
        <f aca="false">IF(OR(E258="",D258=""),"",IF(E258&gt;D258,"EXCLUIR","OK"))</f>
        <v/>
      </c>
      <c r="H258" s="9"/>
      <c r="I258" s="45" t="str">
        <f aca="false">IF(H258="","",IFERROR(INDEX(12_FUENTES!$B$2:$B$301,MATCH(H258,12_FUENTES!$A$2:$A$301,0)),"FUENTE NO REGISTRADA"))</f>
        <v/>
      </c>
      <c r="J258" s="9"/>
      <c r="K258" s="9"/>
      <c r="L258" s="9"/>
      <c r="M258" s="9"/>
      <c r="N258" s="9"/>
      <c r="O258" s="9"/>
      <c r="P258" s="9"/>
      <c r="Q258" s="9"/>
      <c r="R258" s="16" t="str">
        <f aca="false">IF(OR(I258="",I258="FUENTE NO REGISTRADA"),"",INDEX(16_LISTAS!$A$4:$A$8,MAX(1,INDEX(16_LISTAS!$E$4:$E$9,MATCH(I258,16_LISTAS!$D$4:$D$9,0))-IF(F258="",0,IF(F258&lt;=IF(J258="S",18,12),0,IF(F258&lt;=IF(J258="S",30,24),1,2))))))</f>
        <v/>
      </c>
      <c r="S258" s="9"/>
      <c r="T258" s="9"/>
      <c r="U258" s="9"/>
    </row>
    <row r="259" customFormat="false" ht="15" hidden="false" customHeight="false" outlineLevel="0" collapsed="false">
      <c r="A259" s="9"/>
      <c r="B259" s="9"/>
      <c r="C259" s="21" t="str">
        <f aca="false">IF(A259="","",01_CONFIG!$B$4)</f>
        <v/>
      </c>
      <c r="D259" s="44" t="str">
        <f aca="false">IF(A259="","",01_CONFIG!$B$7)</f>
        <v/>
      </c>
      <c r="E259" s="11"/>
      <c r="F259" s="16" t="str">
        <f aca="false">IF(OR(E259="",D259=""),"",(YEAR(D259)-YEAR(E259))*12+MONTH(D259)-MONTH(E259))</f>
        <v/>
      </c>
      <c r="G259" s="16" t="str">
        <f aca="false">IF(OR(E259="",D259=""),"",IF(E259&gt;D259,"EXCLUIR","OK"))</f>
        <v/>
      </c>
      <c r="H259" s="9"/>
      <c r="I259" s="45" t="str">
        <f aca="false">IF(H259="","",IFERROR(INDEX(12_FUENTES!$B$2:$B$301,MATCH(H259,12_FUENTES!$A$2:$A$301,0)),"FUENTE NO REGISTRADA"))</f>
        <v/>
      </c>
      <c r="J259" s="9"/>
      <c r="K259" s="9"/>
      <c r="L259" s="9"/>
      <c r="M259" s="9"/>
      <c r="N259" s="9"/>
      <c r="O259" s="9"/>
      <c r="P259" s="9"/>
      <c r="Q259" s="9"/>
      <c r="R259" s="16" t="str">
        <f aca="false">IF(OR(I259="",I259="FUENTE NO REGISTRADA"),"",INDEX(16_LISTAS!$A$4:$A$8,MAX(1,INDEX(16_LISTAS!$E$4:$E$9,MATCH(I259,16_LISTAS!$D$4:$D$9,0))-IF(F259="",0,IF(F259&lt;=IF(J259="S",18,12),0,IF(F259&lt;=IF(J259="S",30,24),1,2))))))</f>
        <v/>
      </c>
      <c r="S259" s="9"/>
      <c r="T259" s="9"/>
      <c r="U259" s="9"/>
    </row>
    <row r="260" customFormat="false" ht="15" hidden="false" customHeight="false" outlineLevel="0" collapsed="false">
      <c r="A260" s="9"/>
      <c r="B260" s="9"/>
      <c r="C260" s="21" t="str">
        <f aca="false">IF(A260="","",01_CONFIG!$B$4)</f>
        <v/>
      </c>
      <c r="D260" s="44" t="str">
        <f aca="false">IF(A260="","",01_CONFIG!$B$7)</f>
        <v/>
      </c>
      <c r="E260" s="11"/>
      <c r="F260" s="16" t="str">
        <f aca="false">IF(OR(E260="",D260=""),"",(YEAR(D260)-YEAR(E260))*12+MONTH(D260)-MONTH(E260))</f>
        <v/>
      </c>
      <c r="G260" s="16" t="str">
        <f aca="false">IF(OR(E260="",D260=""),"",IF(E260&gt;D260,"EXCLUIR","OK"))</f>
        <v/>
      </c>
      <c r="H260" s="9"/>
      <c r="I260" s="45" t="str">
        <f aca="false">IF(H260="","",IFERROR(INDEX(12_FUENTES!$B$2:$B$301,MATCH(H260,12_FUENTES!$A$2:$A$301,0)),"FUENTE NO REGISTRADA"))</f>
        <v/>
      </c>
      <c r="J260" s="9"/>
      <c r="K260" s="9"/>
      <c r="L260" s="9"/>
      <c r="M260" s="9"/>
      <c r="N260" s="9"/>
      <c r="O260" s="9"/>
      <c r="P260" s="9"/>
      <c r="Q260" s="9"/>
      <c r="R260" s="16" t="str">
        <f aca="false">IF(OR(I260="",I260="FUENTE NO REGISTRADA"),"",INDEX(16_LISTAS!$A$4:$A$8,MAX(1,INDEX(16_LISTAS!$E$4:$E$9,MATCH(I260,16_LISTAS!$D$4:$D$9,0))-IF(F260="",0,IF(F260&lt;=IF(J260="S",18,12),0,IF(F260&lt;=IF(J260="S",30,24),1,2))))))</f>
        <v/>
      </c>
      <c r="S260" s="9"/>
      <c r="T260" s="9"/>
      <c r="U260" s="9"/>
    </row>
    <row r="261" customFormat="false" ht="15" hidden="false" customHeight="false" outlineLevel="0" collapsed="false">
      <c r="A261" s="9"/>
      <c r="B261" s="9"/>
      <c r="C261" s="21" t="str">
        <f aca="false">IF(A261="","",01_CONFIG!$B$4)</f>
        <v/>
      </c>
      <c r="D261" s="44" t="str">
        <f aca="false">IF(A261="","",01_CONFIG!$B$7)</f>
        <v/>
      </c>
      <c r="E261" s="11"/>
      <c r="F261" s="16" t="str">
        <f aca="false">IF(OR(E261="",D261=""),"",(YEAR(D261)-YEAR(E261))*12+MONTH(D261)-MONTH(E261))</f>
        <v/>
      </c>
      <c r="G261" s="16" t="str">
        <f aca="false">IF(OR(E261="",D261=""),"",IF(E261&gt;D261,"EXCLUIR","OK"))</f>
        <v/>
      </c>
      <c r="H261" s="9"/>
      <c r="I261" s="45" t="str">
        <f aca="false">IF(H261="","",IFERROR(INDEX(12_FUENTES!$B$2:$B$301,MATCH(H261,12_FUENTES!$A$2:$A$301,0)),"FUENTE NO REGISTRADA"))</f>
        <v/>
      </c>
      <c r="J261" s="9"/>
      <c r="K261" s="9"/>
      <c r="L261" s="9"/>
      <c r="M261" s="9"/>
      <c r="N261" s="9"/>
      <c r="O261" s="9"/>
      <c r="P261" s="9"/>
      <c r="Q261" s="9"/>
      <c r="R261" s="16" t="str">
        <f aca="false">IF(OR(I261="",I261="FUENTE NO REGISTRADA"),"",INDEX(16_LISTAS!$A$4:$A$8,MAX(1,INDEX(16_LISTAS!$E$4:$E$9,MATCH(I261,16_LISTAS!$D$4:$D$9,0))-IF(F261="",0,IF(F261&lt;=IF(J261="S",18,12),0,IF(F261&lt;=IF(J261="S",30,24),1,2))))))</f>
        <v/>
      </c>
      <c r="S261" s="9"/>
      <c r="T261" s="9"/>
      <c r="U261" s="9"/>
    </row>
    <row r="262" customFormat="false" ht="15" hidden="false" customHeight="false" outlineLevel="0" collapsed="false">
      <c r="A262" s="9"/>
      <c r="B262" s="9"/>
      <c r="C262" s="21" t="str">
        <f aca="false">IF(A262="","",01_CONFIG!$B$4)</f>
        <v/>
      </c>
      <c r="D262" s="44" t="str">
        <f aca="false">IF(A262="","",01_CONFIG!$B$7)</f>
        <v/>
      </c>
      <c r="E262" s="11"/>
      <c r="F262" s="16" t="str">
        <f aca="false">IF(OR(E262="",D262=""),"",(YEAR(D262)-YEAR(E262))*12+MONTH(D262)-MONTH(E262))</f>
        <v/>
      </c>
      <c r="G262" s="16" t="str">
        <f aca="false">IF(OR(E262="",D262=""),"",IF(E262&gt;D262,"EXCLUIR","OK"))</f>
        <v/>
      </c>
      <c r="H262" s="9"/>
      <c r="I262" s="45" t="str">
        <f aca="false">IF(H262="","",IFERROR(INDEX(12_FUENTES!$B$2:$B$301,MATCH(H262,12_FUENTES!$A$2:$A$301,0)),"FUENTE NO REGISTRADA"))</f>
        <v/>
      </c>
      <c r="J262" s="9"/>
      <c r="K262" s="9"/>
      <c r="L262" s="9"/>
      <c r="M262" s="9"/>
      <c r="N262" s="9"/>
      <c r="O262" s="9"/>
      <c r="P262" s="9"/>
      <c r="Q262" s="9"/>
      <c r="R262" s="16" t="str">
        <f aca="false">IF(OR(I262="",I262="FUENTE NO REGISTRADA"),"",INDEX(16_LISTAS!$A$4:$A$8,MAX(1,INDEX(16_LISTAS!$E$4:$E$9,MATCH(I262,16_LISTAS!$D$4:$D$9,0))-IF(F262="",0,IF(F262&lt;=IF(J262="S",18,12),0,IF(F262&lt;=IF(J262="S",30,24),1,2))))))</f>
        <v/>
      </c>
      <c r="S262" s="9"/>
      <c r="T262" s="9"/>
      <c r="U262" s="9"/>
    </row>
    <row r="263" customFormat="false" ht="15" hidden="false" customHeight="false" outlineLevel="0" collapsed="false">
      <c r="A263" s="9"/>
      <c r="B263" s="9"/>
      <c r="C263" s="21" t="str">
        <f aca="false">IF(A263="","",01_CONFIG!$B$4)</f>
        <v/>
      </c>
      <c r="D263" s="44" t="str">
        <f aca="false">IF(A263="","",01_CONFIG!$B$7)</f>
        <v/>
      </c>
      <c r="E263" s="11"/>
      <c r="F263" s="16" t="str">
        <f aca="false">IF(OR(E263="",D263=""),"",(YEAR(D263)-YEAR(E263))*12+MONTH(D263)-MONTH(E263))</f>
        <v/>
      </c>
      <c r="G263" s="16" t="str">
        <f aca="false">IF(OR(E263="",D263=""),"",IF(E263&gt;D263,"EXCLUIR","OK"))</f>
        <v/>
      </c>
      <c r="H263" s="9"/>
      <c r="I263" s="45" t="str">
        <f aca="false">IF(H263="","",IFERROR(INDEX(12_FUENTES!$B$2:$B$301,MATCH(H263,12_FUENTES!$A$2:$A$301,0)),"FUENTE NO REGISTRADA"))</f>
        <v/>
      </c>
      <c r="J263" s="9"/>
      <c r="K263" s="9"/>
      <c r="L263" s="9"/>
      <c r="M263" s="9"/>
      <c r="N263" s="9"/>
      <c r="O263" s="9"/>
      <c r="P263" s="9"/>
      <c r="Q263" s="9"/>
      <c r="R263" s="16" t="str">
        <f aca="false">IF(OR(I263="",I263="FUENTE NO REGISTRADA"),"",INDEX(16_LISTAS!$A$4:$A$8,MAX(1,INDEX(16_LISTAS!$E$4:$E$9,MATCH(I263,16_LISTAS!$D$4:$D$9,0))-IF(F263="",0,IF(F263&lt;=IF(J263="S",18,12),0,IF(F263&lt;=IF(J263="S",30,24),1,2))))))</f>
        <v/>
      </c>
      <c r="S263" s="9"/>
      <c r="T263" s="9"/>
      <c r="U263" s="9"/>
    </row>
    <row r="264" customFormat="false" ht="15" hidden="false" customHeight="false" outlineLevel="0" collapsed="false">
      <c r="A264" s="9"/>
      <c r="B264" s="9"/>
      <c r="C264" s="21" t="str">
        <f aca="false">IF(A264="","",01_CONFIG!$B$4)</f>
        <v/>
      </c>
      <c r="D264" s="44" t="str">
        <f aca="false">IF(A264="","",01_CONFIG!$B$7)</f>
        <v/>
      </c>
      <c r="E264" s="11"/>
      <c r="F264" s="16" t="str">
        <f aca="false">IF(OR(E264="",D264=""),"",(YEAR(D264)-YEAR(E264))*12+MONTH(D264)-MONTH(E264))</f>
        <v/>
      </c>
      <c r="G264" s="16" t="str">
        <f aca="false">IF(OR(E264="",D264=""),"",IF(E264&gt;D264,"EXCLUIR","OK"))</f>
        <v/>
      </c>
      <c r="H264" s="9"/>
      <c r="I264" s="45" t="str">
        <f aca="false">IF(H264="","",IFERROR(INDEX(12_FUENTES!$B$2:$B$301,MATCH(H264,12_FUENTES!$A$2:$A$301,0)),"FUENTE NO REGISTRADA"))</f>
        <v/>
      </c>
      <c r="J264" s="9"/>
      <c r="K264" s="9"/>
      <c r="L264" s="9"/>
      <c r="M264" s="9"/>
      <c r="N264" s="9"/>
      <c r="O264" s="9"/>
      <c r="P264" s="9"/>
      <c r="Q264" s="9"/>
      <c r="R264" s="16" t="str">
        <f aca="false">IF(OR(I264="",I264="FUENTE NO REGISTRADA"),"",INDEX(16_LISTAS!$A$4:$A$8,MAX(1,INDEX(16_LISTAS!$E$4:$E$9,MATCH(I264,16_LISTAS!$D$4:$D$9,0))-IF(F264="",0,IF(F264&lt;=IF(J264="S",18,12),0,IF(F264&lt;=IF(J264="S",30,24),1,2))))))</f>
        <v/>
      </c>
      <c r="S264" s="9"/>
      <c r="T264" s="9"/>
      <c r="U264" s="9"/>
    </row>
    <row r="265" customFormat="false" ht="15" hidden="false" customHeight="false" outlineLevel="0" collapsed="false">
      <c r="A265" s="9"/>
      <c r="B265" s="9"/>
      <c r="C265" s="21" t="str">
        <f aca="false">IF(A265="","",01_CONFIG!$B$4)</f>
        <v/>
      </c>
      <c r="D265" s="44" t="str">
        <f aca="false">IF(A265="","",01_CONFIG!$B$7)</f>
        <v/>
      </c>
      <c r="E265" s="11"/>
      <c r="F265" s="16" t="str">
        <f aca="false">IF(OR(E265="",D265=""),"",(YEAR(D265)-YEAR(E265))*12+MONTH(D265)-MONTH(E265))</f>
        <v/>
      </c>
      <c r="G265" s="16" t="str">
        <f aca="false">IF(OR(E265="",D265=""),"",IF(E265&gt;D265,"EXCLUIR","OK"))</f>
        <v/>
      </c>
      <c r="H265" s="9"/>
      <c r="I265" s="45" t="str">
        <f aca="false">IF(H265="","",IFERROR(INDEX(12_FUENTES!$B$2:$B$301,MATCH(H265,12_FUENTES!$A$2:$A$301,0)),"FUENTE NO REGISTRADA"))</f>
        <v/>
      </c>
      <c r="J265" s="9"/>
      <c r="K265" s="9"/>
      <c r="L265" s="9"/>
      <c r="M265" s="9"/>
      <c r="N265" s="9"/>
      <c r="O265" s="9"/>
      <c r="P265" s="9"/>
      <c r="Q265" s="9"/>
      <c r="R265" s="16" t="str">
        <f aca="false">IF(OR(I265="",I265="FUENTE NO REGISTRADA"),"",INDEX(16_LISTAS!$A$4:$A$8,MAX(1,INDEX(16_LISTAS!$E$4:$E$9,MATCH(I265,16_LISTAS!$D$4:$D$9,0))-IF(F265="",0,IF(F265&lt;=IF(J265="S",18,12),0,IF(F265&lt;=IF(J265="S",30,24),1,2))))))</f>
        <v/>
      </c>
      <c r="S265" s="9"/>
      <c r="T265" s="9"/>
      <c r="U265" s="9"/>
    </row>
    <row r="266" customFormat="false" ht="15" hidden="false" customHeight="false" outlineLevel="0" collapsed="false">
      <c r="A266" s="9"/>
      <c r="B266" s="9"/>
      <c r="C266" s="21" t="str">
        <f aca="false">IF(A266="","",01_CONFIG!$B$4)</f>
        <v/>
      </c>
      <c r="D266" s="44" t="str">
        <f aca="false">IF(A266="","",01_CONFIG!$B$7)</f>
        <v/>
      </c>
      <c r="E266" s="11"/>
      <c r="F266" s="16" t="str">
        <f aca="false">IF(OR(E266="",D266=""),"",(YEAR(D266)-YEAR(E266))*12+MONTH(D266)-MONTH(E266))</f>
        <v/>
      </c>
      <c r="G266" s="16" t="str">
        <f aca="false">IF(OR(E266="",D266=""),"",IF(E266&gt;D266,"EXCLUIR","OK"))</f>
        <v/>
      </c>
      <c r="H266" s="9"/>
      <c r="I266" s="45" t="str">
        <f aca="false">IF(H266="","",IFERROR(INDEX(12_FUENTES!$B$2:$B$301,MATCH(H266,12_FUENTES!$A$2:$A$301,0)),"FUENTE NO REGISTRADA"))</f>
        <v/>
      </c>
      <c r="J266" s="9"/>
      <c r="K266" s="9"/>
      <c r="L266" s="9"/>
      <c r="M266" s="9"/>
      <c r="N266" s="9"/>
      <c r="O266" s="9"/>
      <c r="P266" s="9"/>
      <c r="Q266" s="9"/>
      <c r="R266" s="16" t="str">
        <f aca="false">IF(OR(I266="",I266="FUENTE NO REGISTRADA"),"",INDEX(16_LISTAS!$A$4:$A$8,MAX(1,INDEX(16_LISTAS!$E$4:$E$9,MATCH(I266,16_LISTAS!$D$4:$D$9,0))-IF(F266="",0,IF(F266&lt;=IF(J266="S",18,12),0,IF(F266&lt;=IF(J266="S",30,24),1,2))))))</f>
        <v/>
      </c>
      <c r="S266" s="9"/>
      <c r="T266" s="9"/>
      <c r="U266" s="9"/>
    </row>
    <row r="267" customFormat="false" ht="15" hidden="false" customHeight="false" outlineLevel="0" collapsed="false">
      <c r="A267" s="9"/>
      <c r="B267" s="9"/>
      <c r="C267" s="21" t="str">
        <f aca="false">IF(A267="","",01_CONFIG!$B$4)</f>
        <v/>
      </c>
      <c r="D267" s="44" t="str">
        <f aca="false">IF(A267="","",01_CONFIG!$B$7)</f>
        <v/>
      </c>
      <c r="E267" s="11"/>
      <c r="F267" s="16" t="str">
        <f aca="false">IF(OR(E267="",D267=""),"",(YEAR(D267)-YEAR(E267))*12+MONTH(D267)-MONTH(E267))</f>
        <v/>
      </c>
      <c r="G267" s="16" t="str">
        <f aca="false">IF(OR(E267="",D267=""),"",IF(E267&gt;D267,"EXCLUIR","OK"))</f>
        <v/>
      </c>
      <c r="H267" s="9"/>
      <c r="I267" s="45" t="str">
        <f aca="false">IF(H267="","",IFERROR(INDEX(12_FUENTES!$B$2:$B$301,MATCH(H267,12_FUENTES!$A$2:$A$301,0)),"FUENTE NO REGISTRADA"))</f>
        <v/>
      </c>
      <c r="J267" s="9"/>
      <c r="K267" s="9"/>
      <c r="L267" s="9"/>
      <c r="M267" s="9"/>
      <c r="N267" s="9"/>
      <c r="O267" s="9"/>
      <c r="P267" s="9"/>
      <c r="Q267" s="9"/>
      <c r="R267" s="16" t="str">
        <f aca="false">IF(OR(I267="",I267="FUENTE NO REGISTRADA"),"",INDEX(16_LISTAS!$A$4:$A$8,MAX(1,INDEX(16_LISTAS!$E$4:$E$9,MATCH(I267,16_LISTAS!$D$4:$D$9,0))-IF(F267="",0,IF(F267&lt;=IF(J267="S",18,12),0,IF(F267&lt;=IF(J267="S",30,24),1,2))))))</f>
        <v/>
      </c>
      <c r="S267" s="9"/>
      <c r="T267" s="9"/>
      <c r="U267" s="9"/>
    </row>
    <row r="268" customFormat="false" ht="15" hidden="false" customHeight="false" outlineLevel="0" collapsed="false">
      <c r="A268" s="9"/>
      <c r="B268" s="9"/>
      <c r="C268" s="21" t="str">
        <f aca="false">IF(A268="","",01_CONFIG!$B$4)</f>
        <v/>
      </c>
      <c r="D268" s="44" t="str">
        <f aca="false">IF(A268="","",01_CONFIG!$B$7)</f>
        <v/>
      </c>
      <c r="E268" s="11"/>
      <c r="F268" s="16" t="str">
        <f aca="false">IF(OR(E268="",D268=""),"",(YEAR(D268)-YEAR(E268))*12+MONTH(D268)-MONTH(E268))</f>
        <v/>
      </c>
      <c r="G268" s="16" t="str">
        <f aca="false">IF(OR(E268="",D268=""),"",IF(E268&gt;D268,"EXCLUIR","OK"))</f>
        <v/>
      </c>
      <c r="H268" s="9"/>
      <c r="I268" s="45" t="str">
        <f aca="false">IF(H268="","",IFERROR(INDEX(12_FUENTES!$B$2:$B$301,MATCH(H268,12_FUENTES!$A$2:$A$301,0)),"FUENTE NO REGISTRADA"))</f>
        <v/>
      </c>
      <c r="J268" s="9"/>
      <c r="K268" s="9"/>
      <c r="L268" s="9"/>
      <c r="M268" s="9"/>
      <c r="N268" s="9"/>
      <c r="O268" s="9"/>
      <c r="P268" s="9"/>
      <c r="Q268" s="9"/>
      <c r="R268" s="16" t="str">
        <f aca="false">IF(OR(I268="",I268="FUENTE NO REGISTRADA"),"",INDEX(16_LISTAS!$A$4:$A$8,MAX(1,INDEX(16_LISTAS!$E$4:$E$9,MATCH(I268,16_LISTAS!$D$4:$D$9,0))-IF(F268="",0,IF(F268&lt;=IF(J268="S",18,12),0,IF(F268&lt;=IF(J268="S",30,24),1,2))))))</f>
        <v/>
      </c>
      <c r="S268" s="9"/>
      <c r="T268" s="9"/>
      <c r="U268" s="9"/>
    </row>
    <row r="269" customFormat="false" ht="15" hidden="false" customHeight="false" outlineLevel="0" collapsed="false">
      <c r="A269" s="9"/>
      <c r="B269" s="9"/>
      <c r="C269" s="21" t="str">
        <f aca="false">IF(A269="","",01_CONFIG!$B$4)</f>
        <v/>
      </c>
      <c r="D269" s="44" t="str">
        <f aca="false">IF(A269="","",01_CONFIG!$B$7)</f>
        <v/>
      </c>
      <c r="E269" s="11"/>
      <c r="F269" s="16" t="str">
        <f aca="false">IF(OR(E269="",D269=""),"",(YEAR(D269)-YEAR(E269))*12+MONTH(D269)-MONTH(E269))</f>
        <v/>
      </c>
      <c r="G269" s="16" t="str">
        <f aca="false">IF(OR(E269="",D269=""),"",IF(E269&gt;D269,"EXCLUIR","OK"))</f>
        <v/>
      </c>
      <c r="H269" s="9"/>
      <c r="I269" s="45" t="str">
        <f aca="false">IF(H269="","",IFERROR(INDEX(12_FUENTES!$B$2:$B$301,MATCH(H269,12_FUENTES!$A$2:$A$301,0)),"FUENTE NO REGISTRADA"))</f>
        <v/>
      </c>
      <c r="J269" s="9"/>
      <c r="K269" s="9"/>
      <c r="L269" s="9"/>
      <c r="M269" s="9"/>
      <c r="N269" s="9"/>
      <c r="O269" s="9"/>
      <c r="P269" s="9"/>
      <c r="Q269" s="9"/>
      <c r="R269" s="16" t="str">
        <f aca="false">IF(OR(I269="",I269="FUENTE NO REGISTRADA"),"",INDEX(16_LISTAS!$A$4:$A$8,MAX(1,INDEX(16_LISTAS!$E$4:$E$9,MATCH(I269,16_LISTAS!$D$4:$D$9,0))-IF(F269="",0,IF(F269&lt;=IF(J269="S",18,12),0,IF(F269&lt;=IF(J269="S",30,24),1,2))))))</f>
        <v/>
      </c>
      <c r="S269" s="9"/>
      <c r="T269" s="9"/>
      <c r="U269" s="9"/>
    </row>
    <row r="270" customFormat="false" ht="15" hidden="false" customHeight="false" outlineLevel="0" collapsed="false">
      <c r="A270" s="9"/>
      <c r="B270" s="9"/>
      <c r="C270" s="21" t="str">
        <f aca="false">IF(A270="","",01_CONFIG!$B$4)</f>
        <v/>
      </c>
      <c r="D270" s="44" t="str">
        <f aca="false">IF(A270="","",01_CONFIG!$B$7)</f>
        <v/>
      </c>
      <c r="E270" s="11"/>
      <c r="F270" s="16" t="str">
        <f aca="false">IF(OR(E270="",D270=""),"",(YEAR(D270)-YEAR(E270))*12+MONTH(D270)-MONTH(E270))</f>
        <v/>
      </c>
      <c r="G270" s="16" t="str">
        <f aca="false">IF(OR(E270="",D270=""),"",IF(E270&gt;D270,"EXCLUIR","OK"))</f>
        <v/>
      </c>
      <c r="H270" s="9"/>
      <c r="I270" s="45" t="str">
        <f aca="false">IF(H270="","",IFERROR(INDEX(12_FUENTES!$B$2:$B$301,MATCH(H270,12_FUENTES!$A$2:$A$301,0)),"FUENTE NO REGISTRADA"))</f>
        <v/>
      </c>
      <c r="J270" s="9"/>
      <c r="K270" s="9"/>
      <c r="L270" s="9"/>
      <c r="M270" s="9"/>
      <c r="N270" s="9"/>
      <c r="O270" s="9"/>
      <c r="P270" s="9"/>
      <c r="Q270" s="9"/>
      <c r="R270" s="16" t="str">
        <f aca="false">IF(OR(I270="",I270="FUENTE NO REGISTRADA"),"",INDEX(16_LISTAS!$A$4:$A$8,MAX(1,INDEX(16_LISTAS!$E$4:$E$9,MATCH(I270,16_LISTAS!$D$4:$D$9,0))-IF(F270="",0,IF(F270&lt;=IF(J270="S",18,12),0,IF(F270&lt;=IF(J270="S",30,24),1,2))))))</f>
        <v/>
      </c>
      <c r="S270" s="9"/>
      <c r="T270" s="9"/>
      <c r="U270" s="9"/>
    </row>
    <row r="271" customFormat="false" ht="15" hidden="false" customHeight="false" outlineLevel="0" collapsed="false">
      <c r="A271" s="9"/>
      <c r="B271" s="9"/>
      <c r="C271" s="21" t="str">
        <f aca="false">IF(A271="","",01_CONFIG!$B$4)</f>
        <v/>
      </c>
      <c r="D271" s="44" t="str">
        <f aca="false">IF(A271="","",01_CONFIG!$B$7)</f>
        <v/>
      </c>
      <c r="E271" s="11"/>
      <c r="F271" s="16" t="str">
        <f aca="false">IF(OR(E271="",D271=""),"",(YEAR(D271)-YEAR(E271))*12+MONTH(D271)-MONTH(E271))</f>
        <v/>
      </c>
      <c r="G271" s="16" t="str">
        <f aca="false">IF(OR(E271="",D271=""),"",IF(E271&gt;D271,"EXCLUIR","OK"))</f>
        <v/>
      </c>
      <c r="H271" s="9"/>
      <c r="I271" s="45" t="str">
        <f aca="false">IF(H271="","",IFERROR(INDEX(12_FUENTES!$B$2:$B$301,MATCH(H271,12_FUENTES!$A$2:$A$301,0)),"FUENTE NO REGISTRADA"))</f>
        <v/>
      </c>
      <c r="J271" s="9"/>
      <c r="K271" s="9"/>
      <c r="L271" s="9"/>
      <c r="M271" s="9"/>
      <c r="N271" s="9"/>
      <c r="O271" s="9"/>
      <c r="P271" s="9"/>
      <c r="Q271" s="9"/>
      <c r="R271" s="16" t="str">
        <f aca="false">IF(OR(I271="",I271="FUENTE NO REGISTRADA"),"",INDEX(16_LISTAS!$A$4:$A$8,MAX(1,INDEX(16_LISTAS!$E$4:$E$9,MATCH(I271,16_LISTAS!$D$4:$D$9,0))-IF(F271="",0,IF(F271&lt;=IF(J271="S",18,12),0,IF(F271&lt;=IF(J271="S",30,24),1,2))))))</f>
        <v/>
      </c>
      <c r="S271" s="9"/>
      <c r="T271" s="9"/>
      <c r="U271" s="9"/>
    </row>
    <row r="272" customFormat="false" ht="15" hidden="false" customHeight="false" outlineLevel="0" collapsed="false">
      <c r="A272" s="9"/>
      <c r="B272" s="9"/>
      <c r="C272" s="21" t="str">
        <f aca="false">IF(A272="","",01_CONFIG!$B$4)</f>
        <v/>
      </c>
      <c r="D272" s="44" t="str">
        <f aca="false">IF(A272="","",01_CONFIG!$B$7)</f>
        <v/>
      </c>
      <c r="E272" s="11"/>
      <c r="F272" s="16" t="str">
        <f aca="false">IF(OR(E272="",D272=""),"",(YEAR(D272)-YEAR(E272))*12+MONTH(D272)-MONTH(E272))</f>
        <v/>
      </c>
      <c r="G272" s="16" t="str">
        <f aca="false">IF(OR(E272="",D272=""),"",IF(E272&gt;D272,"EXCLUIR","OK"))</f>
        <v/>
      </c>
      <c r="H272" s="9"/>
      <c r="I272" s="45" t="str">
        <f aca="false">IF(H272="","",IFERROR(INDEX(12_FUENTES!$B$2:$B$301,MATCH(H272,12_FUENTES!$A$2:$A$301,0)),"FUENTE NO REGISTRADA"))</f>
        <v/>
      </c>
      <c r="J272" s="9"/>
      <c r="K272" s="9"/>
      <c r="L272" s="9"/>
      <c r="M272" s="9"/>
      <c r="N272" s="9"/>
      <c r="O272" s="9"/>
      <c r="P272" s="9"/>
      <c r="Q272" s="9"/>
      <c r="R272" s="16" t="str">
        <f aca="false">IF(OR(I272="",I272="FUENTE NO REGISTRADA"),"",INDEX(16_LISTAS!$A$4:$A$8,MAX(1,INDEX(16_LISTAS!$E$4:$E$9,MATCH(I272,16_LISTAS!$D$4:$D$9,0))-IF(F272="",0,IF(F272&lt;=IF(J272="S",18,12),0,IF(F272&lt;=IF(J272="S",30,24),1,2))))))</f>
        <v/>
      </c>
      <c r="S272" s="9"/>
      <c r="T272" s="9"/>
      <c r="U272" s="9"/>
    </row>
    <row r="273" customFormat="false" ht="15" hidden="false" customHeight="false" outlineLevel="0" collapsed="false">
      <c r="A273" s="9"/>
      <c r="B273" s="9"/>
      <c r="C273" s="21" t="str">
        <f aca="false">IF(A273="","",01_CONFIG!$B$4)</f>
        <v/>
      </c>
      <c r="D273" s="44" t="str">
        <f aca="false">IF(A273="","",01_CONFIG!$B$7)</f>
        <v/>
      </c>
      <c r="E273" s="11"/>
      <c r="F273" s="16" t="str">
        <f aca="false">IF(OR(E273="",D273=""),"",(YEAR(D273)-YEAR(E273))*12+MONTH(D273)-MONTH(E273))</f>
        <v/>
      </c>
      <c r="G273" s="16" t="str">
        <f aca="false">IF(OR(E273="",D273=""),"",IF(E273&gt;D273,"EXCLUIR","OK"))</f>
        <v/>
      </c>
      <c r="H273" s="9"/>
      <c r="I273" s="45" t="str">
        <f aca="false">IF(H273="","",IFERROR(INDEX(12_FUENTES!$B$2:$B$301,MATCH(H273,12_FUENTES!$A$2:$A$301,0)),"FUENTE NO REGISTRADA"))</f>
        <v/>
      </c>
      <c r="J273" s="9"/>
      <c r="K273" s="9"/>
      <c r="L273" s="9"/>
      <c r="M273" s="9"/>
      <c r="N273" s="9"/>
      <c r="O273" s="9"/>
      <c r="P273" s="9"/>
      <c r="Q273" s="9"/>
      <c r="R273" s="16" t="str">
        <f aca="false">IF(OR(I273="",I273="FUENTE NO REGISTRADA"),"",INDEX(16_LISTAS!$A$4:$A$8,MAX(1,INDEX(16_LISTAS!$E$4:$E$9,MATCH(I273,16_LISTAS!$D$4:$D$9,0))-IF(F273="",0,IF(F273&lt;=IF(J273="S",18,12),0,IF(F273&lt;=IF(J273="S",30,24),1,2))))))</f>
        <v/>
      </c>
      <c r="S273" s="9"/>
      <c r="T273" s="9"/>
      <c r="U273" s="9"/>
    </row>
    <row r="274" customFormat="false" ht="15" hidden="false" customHeight="false" outlineLevel="0" collapsed="false">
      <c r="A274" s="9"/>
      <c r="B274" s="9"/>
      <c r="C274" s="21" t="str">
        <f aca="false">IF(A274="","",01_CONFIG!$B$4)</f>
        <v/>
      </c>
      <c r="D274" s="44" t="str">
        <f aca="false">IF(A274="","",01_CONFIG!$B$7)</f>
        <v/>
      </c>
      <c r="E274" s="11"/>
      <c r="F274" s="16" t="str">
        <f aca="false">IF(OR(E274="",D274=""),"",(YEAR(D274)-YEAR(E274))*12+MONTH(D274)-MONTH(E274))</f>
        <v/>
      </c>
      <c r="G274" s="16" t="str">
        <f aca="false">IF(OR(E274="",D274=""),"",IF(E274&gt;D274,"EXCLUIR","OK"))</f>
        <v/>
      </c>
      <c r="H274" s="9"/>
      <c r="I274" s="45" t="str">
        <f aca="false">IF(H274="","",IFERROR(INDEX(12_FUENTES!$B$2:$B$301,MATCH(H274,12_FUENTES!$A$2:$A$301,0)),"FUENTE NO REGISTRADA"))</f>
        <v/>
      </c>
      <c r="J274" s="9"/>
      <c r="K274" s="9"/>
      <c r="L274" s="9"/>
      <c r="M274" s="9"/>
      <c r="N274" s="9"/>
      <c r="O274" s="9"/>
      <c r="P274" s="9"/>
      <c r="Q274" s="9"/>
      <c r="R274" s="16" t="str">
        <f aca="false">IF(OR(I274="",I274="FUENTE NO REGISTRADA"),"",INDEX(16_LISTAS!$A$4:$A$8,MAX(1,INDEX(16_LISTAS!$E$4:$E$9,MATCH(I274,16_LISTAS!$D$4:$D$9,0))-IF(F274="",0,IF(F274&lt;=IF(J274="S",18,12),0,IF(F274&lt;=IF(J274="S",30,24),1,2))))))</f>
        <v/>
      </c>
      <c r="S274" s="9"/>
      <c r="T274" s="9"/>
      <c r="U274" s="9"/>
    </row>
    <row r="275" customFormat="false" ht="15" hidden="false" customHeight="false" outlineLevel="0" collapsed="false">
      <c r="A275" s="9"/>
      <c r="B275" s="9"/>
      <c r="C275" s="21" t="str">
        <f aca="false">IF(A275="","",01_CONFIG!$B$4)</f>
        <v/>
      </c>
      <c r="D275" s="44" t="str">
        <f aca="false">IF(A275="","",01_CONFIG!$B$7)</f>
        <v/>
      </c>
      <c r="E275" s="11"/>
      <c r="F275" s="16" t="str">
        <f aca="false">IF(OR(E275="",D275=""),"",(YEAR(D275)-YEAR(E275))*12+MONTH(D275)-MONTH(E275))</f>
        <v/>
      </c>
      <c r="G275" s="16" t="str">
        <f aca="false">IF(OR(E275="",D275=""),"",IF(E275&gt;D275,"EXCLUIR","OK"))</f>
        <v/>
      </c>
      <c r="H275" s="9"/>
      <c r="I275" s="45" t="str">
        <f aca="false">IF(H275="","",IFERROR(INDEX(12_FUENTES!$B$2:$B$301,MATCH(H275,12_FUENTES!$A$2:$A$301,0)),"FUENTE NO REGISTRADA"))</f>
        <v/>
      </c>
      <c r="J275" s="9"/>
      <c r="K275" s="9"/>
      <c r="L275" s="9"/>
      <c r="M275" s="9"/>
      <c r="N275" s="9"/>
      <c r="O275" s="9"/>
      <c r="P275" s="9"/>
      <c r="Q275" s="9"/>
      <c r="R275" s="16" t="str">
        <f aca="false">IF(OR(I275="",I275="FUENTE NO REGISTRADA"),"",INDEX(16_LISTAS!$A$4:$A$8,MAX(1,INDEX(16_LISTAS!$E$4:$E$9,MATCH(I275,16_LISTAS!$D$4:$D$9,0))-IF(F275="",0,IF(F275&lt;=IF(J275="S",18,12),0,IF(F275&lt;=IF(J275="S",30,24),1,2))))))</f>
        <v/>
      </c>
      <c r="S275" s="9"/>
      <c r="T275" s="9"/>
      <c r="U275" s="9"/>
    </row>
    <row r="276" customFormat="false" ht="15" hidden="false" customHeight="false" outlineLevel="0" collapsed="false">
      <c r="A276" s="9"/>
      <c r="B276" s="9"/>
      <c r="C276" s="21" t="str">
        <f aca="false">IF(A276="","",01_CONFIG!$B$4)</f>
        <v/>
      </c>
      <c r="D276" s="44" t="str">
        <f aca="false">IF(A276="","",01_CONFIG!$B$7)</f>
        <v/>
      </c>
      <c r="E276" s="11"/>
      <c r="F276" s="16" t="str">
        <f aca="false">IF(OR(E276="",D276=""),"",(YEAR(D276)-YEAR(E276))*12+MONTH(D276)-MONTH(E276))</f>
        <v/>
      </c>
      <c r="G276" s="16" t="str">
        <f aca="false">IF(OR(E276="",D276=""),"",IF(E276&gt;D276,"EXCLUIR","OK"))</f>
        <v/>
      </c>
      <c r="H276" s="9"/>
      <c r="I276" s="45" t="str">
        <f aca="false">IF(H276="","",IFERROR(INDEX(12_FUENTES!$B$2:$B$301,MATCH(H276,12_FUENTES!$A$2:$A$301,0)),"FUENTE NO REGISTRADA"))</f>
        <v/>
      </c>
      <c r="J276" s="9"/>
      <c r="K276" s="9"/>
      <c r="L276" s="9"/>
      <c r="M276" s="9"/>
      <c r="N276" s="9"/>
      <c r="O276" s="9"/>
      <c r="P276" s="9"/>
      <c r="Q276" s="9"/>
      <c r="R276" s="16" t="str">
        <f aca="false">IF(OR(I276="",I276="FUENTE NO REGISTRADA"),"",INDEX(16_LISTAS!$A$4:$A$8,MAX(1,INDEX(16_LISTAS!$E$4:$E$9,MATCH(I276,16_LISTAS!$D$4:$D$9,0))-IF(F276="",0,IF(F276&lt;=IF(J276="S",18,12),0,IF(F276&lt;=IF(J276="S",30,24),1,2))))))</f>
        <v/>
      </c>
      <c r="S276" s="9"/>
      <c r="T276" s="9"/>
      <c r="U276" s="9"/>
    </row>
    <row r="277" customFormat="false" ht="15" hidden="false" customHeight="false" outlineLevel="0" collapsed="false">
      <c r="A277" s="9"/>
      <c r="B277" s="9"/>
      <c r="C277" s="21" t="str">
        <f aca="false">IF(A277="","",01_CONFIG!$B$4)</f>
        <v/>
      </c>
      <c r="D277" s="44" t="str">
        <f aca="false">IF(A277="","",01_CONFIG!$B$7)</f>
        <v/>
      </c>
      <c r="E277" s="11"/>
      <c r="F277" s="16" t="str">
        <f aca="false">IF(OR(E277="",D277=""),"",(YEAR(D277)-YEAR(E277))*12+MONTH(D277)-MONTH(E277))</f>
        <v/>
      </c>
      <c r="G277" s="16" t="str">
        <f aca="false">IF(OR(E277="",D277=""),"",IF(E277&gt;D277,"EXCLUIR","OK"))</f>
        <v/>
      </c>
      <c r="H277" s="9"/>
      <c r="I277" s="45" t="str">
        <f aca="false">IF(H277="","",IFERROR(INDEX(12_FUENTES!$B$2:$B$301,MATCH(H277,12_FUENTES!$A$2:$A$301,0)),"FUENTE NO REGISTRADA"))</f>
        <v/>
      </c>
      <c r="J277" s="9"/>
      <c r="K277" s="9"/>
      <c r="L277" s="9"/>
      <c r="M277" s="9"/>
      <c r="N277" s="9"/>
      <c r="O277" s="9"/>
      <c r="P277" s="9"/>
      <c r="Q277" s="9"/>
      <c r="R277" s="16" t="str">
        <f aca="false">IF(OR(I277="",I277="FUENTE NO REGISTRADA"),"",INDEX(16_LISTAS!$A$4:$A$8,MAX(1,INDEX(16_LISTAS!$E$4:$E$9,MATCH(I277,16_LISTAS!$D$4:$D$9,0))-IF(F277="",0,IF(F277&lt;=IF(J277="S",18,12),0,IF(F277&lt;=IF(J277="S",30,24),1,2))))))</f>
        <v/>
      </c>
      <c r="S277" s="9"/>
      <c r="T277" s="9"/>
      <c r="U277" s="9"/>
    </row>
    <row r="278" customFormat="false" ht="15" hidden="false" customHeight="false" outlineLevel="0" collapsed="false">
      <c r="A278" s="9"/>
      <c r="B278" s="9"/>
      <c r="C278" s="21" t="str">
        <f aca="false">IF(A278="","",01_CONFIG!$B$4)</f>
        <v/>
      </c>
      <c r="D278" s="44" t="str">
        <f aca="false">IF(A278="","",01_CONFIG!$B$7)</f>
        <v/>
      </c>
      <c r="E278" s="11"/>
      <c r="F278" s="16" t="str">
        <f aca="false">IF(OR(E278="",D278=""),"",(YEAR(D278)-YEAR(E278))*12+MONTH(D278)-MONTH(E278))</f>
        <v/>
      </c>
      <c r="G278" s="16" t="str">
        <f aca="false">IF(OR(E278="",D278=""),"",IF(E278&gt;D278,"EXCLUIR","OK"))</f>
        <v/>
      </c>
      <c r="H278" s="9"/>
      <c r="I278" s="45" t="str">
        <f aca="false">IF(H278="","",IFERROR(INDEX(12_FUENTES!$B$2:$B$301,MATCH(H278,12_FUENTES!$A$2:$A$301,0)),"FUENTE NO REGISTRADA"))</f>
        <v/>
      </c>
      <c r="J278" s="9"/>
      <c r="K278" s="9"/>
      <c r="L278" s="9"/>
      <c r="M278" s="9"/>
      <c r="N278" s="9"/>
      <c r="O278" s="9"/>
      <c r="P278" s="9"/>
      <c r="Q278" s="9"/>
      <c r="R278" s="16" t="str">
        <f aca="false">IF(OR(I278="",I278="FUENTE NO REGISTRADA"),"",INDEX(16_LISTAS!$A$4:$A$8,MAX(1,INDEX(16_LISTAS!$E$4:$E$9,MATCH(I278,16_LISTAS!$D$4:$D$9,0))-IF(F278="",0,IF(F278&lt;=IF(J278="S",18,12),0,IF(F278&lt;=IF(J278="S",30,24),1,2))))))</f>
        <v/>
      </c>
      <c r="S278" s="9"/>
      <c r="T278" s="9"/>
      <c r="U278" s="9"/>
    </row>
    <row r="279" customFormat="false" ht="15" hidden="false" customHeight="false" outlineLevel="0" collapsed="false">
      <c r="A279" s="9"/>
      <c r="B279" s="9"/>
      <c r="C279" s="21" t="str">
        <f aca="false">IF(A279="","",01_CONFIG!$B$4)</f>
        <v/>
      </c>
      <c r="D279" s="44" t="str">
        <f aca="false">IF(A279="","",01_CONFIG!$B$7)</f>
        <v/>
      </c>
      <c r="E279" s="11"/>
      <c r="F279" s="16" t="str">
        <f aca="false">IF(OR(E279="",D279=""),"",(YEAR(D279)-YEAR(E279))*12+MONTH(D279)-MONTH(E279))</f>
        <v/>
      </c>
      <c r="G279" s="16" t="str">
        <f aca="false">IF(OR(E279="",D279=""),"",IF(E279&gt;D279,"EXCLUIR","OK"))</f>
        <v/>
      </c>
      <c r="H279" s="9"/>
      <c r="I279" s="45" t="str">
        <f aca="false">IF(H279="","",IFERROR(INDEX(12_FUENTES!$B$2:$B$301,MATCH(H279,12_FUENTES!$A$2:$A$301,0)),"FUENTE NO REGISTRADA"))</f>
        <v/>
      </c>
      <c r="J279" s="9"/>
      <c r="K279" s="9"/>
      <c r="L279" s="9"/>
      <c r="M279" s="9"/>
      <c r="N279" s="9"/>
      <c r="O279" s="9"/>
      <c r="P279" s="9"/>
      <c r="Q279" s="9"/>
      <c r="R279" s="16" t="str">
        <f aca="false">IF(OR(I279="",I279="FUENTE NO REGISTRADA"),"",INDEX(16_LISTAS!$A$4:$A$8,MAX(1,INDEX(16_LISTAS!$E$4:$E$9,MATCH(I279,16_LISTAS!$D$4:$D$9,0))-IF(F279="",0,IF(F279&lt;=IF(J279="S",18,12),0,IF(F279&lt;=IF(J279="S",30,24),1,2))))))</f>
        <v/>
      </c>
      <c r="S279" s="9"/>
      <c r="T279" s="9"/>
      <c r="U279" s="9"/>
    </row>
    <row r="280" customFormat="false" ht="15" hidden="false" customHeight="false" outlineLevel="0" collapsed="false">
      <c r="A280" s="9"/>
      <c r="B280" s="9"/>
      <c r="C280" s="21" t="str">
        <f aca="false">IF(A280="","",01_CONFIG!$B$4)</f>
        <v/>
      </c>
      <c r="D280" s="44" t="str">
        <f aca="false">IF(A280="","",01_CONFIG!$B$7)</f>
        <v/>
      </c>
      <c r="E280" s="11"/>
      <c r="F280" s="16" t="str">
        <f aca="false">IF(OR(E280="",D280=""),"",(YEAR(D280)-YEAR(E280))*12+MONTH(D280)-MONTH(E280))</f>
        <v/>
      </c>
      <c r="G280" s="16" t="str">
        <f aca="false">IF(OR(E280="",D280=""),"",IF(E280&gt;D280,"EXCLUIR","OK"))</f>
        <v/>
      </c>
      <c r="H280" s="9"/>
      <c r="I280" s="45" t="str">
        <f aca="false">IF(H280="","",IFERROR(INDEX(12_FUENTES!$B$2:$B$301,MATCH(H280,12_FUENTES!$A$2:$A$301,0)),"FUENTE NO REGISTRADA"))</f>
        <v/>
      </c>
      <c r="J280" s="9"/>
      <c r="K280" s="9"/>
      <c r="L280" s="9"/>
      <c r="M280" s="9"/>
      <c r="N280" s="9"/>
      <c r="O280" s="9"/>
      <c r="P280" s="9"/>
      <c r="Q280" s="9"/>
      <c r="R280" s="16" t="str">
        <f aca="false">IF(OR(I280="",I280="FUENTE NO REGISTRADA"),"",INDEX(16_LISTAS!$A$4:$A$8,MAX(1,INDEX(16_LISTAS!$E$4:$E$9,MATCH(I280,16_LISTAS!$D$4:$D$9,0))-IF(F280="",0,IF(F280&lt;=IF(J280="S",18,12),0,IF(F280&lt;=IF(J280="S",30,24),1,2))))))</f>
        <v/>
      </c>
      <c r="S280" s="9"/>
      <c r="T280" s="9"/>
      <c r="U280" s="9"/>
    </row>
    <row r="281" customFormat="false" ht="15" hidden="false" customHeight="false" outlineLevel="0" collapsed="false">
      <c r="A281" s="9"/>
      <c r="B281" s="9"/>
      <c r="C281" s="21" t="str">
        <f aca="false">IF(A281="","",01_CONFIG!$B$4)</f>
        <v/>
      </c>
      <c r="D281" s="44" t="str">
        <f aca="false">IF(A281="","",01_CONFIG!$B$7)</f>
        <v/>
      </c>
      <c r="E281" s="11"/>
      <c r="F281" s="16" t="str">
        <f aca="false">IF(OR(E281="",D281=""),"",(YEAR(D281)-YEAR(E281))*12+MONTH(D281)-MONTH(E281))</f>
        <v/>
      </c>
      <c r="G281" s="16" t="str">
        <f aca="false">IF(OR(E281="",D281=""),"",IF(E281&gt;D281,"EXCLUIR","OK"))</f>
        <v/>
      </c>
      <c r="H281" s="9"/>
      <c r="I281" s="45" t="str">
        <f aca="false">IF(H281="","",IFERROR(INDEX(12_FUENTES!$B$2:$B$301,MATCH(H281,12_FUENTES!$A$2:$A$301,0)),"FUENTE NO REGISTRADA"))</f>
        <v/>
      </c>
      <c r="J281" s="9"/>
      <c r="K281" s="9"/>
      <c r="L281" s="9"/>
      <c r="M281" s="9"/>
      <c r="N281" s="9"/>
      <c r="O281" s="9"/>
      <c r="P281" s="9"/>
      <c r="Q281" s="9"/>
      <c r="R281" s="16" t="str">
        <f aca="false">IF(OR(I281="",I281="FUENTE NO REGISTRADA"),"",INDEX(16_LISTAS!$A$4:$A$8,MAX(1,INDEX(16_LISTAS!$E$4:$E$9,MATCH(I281,16_LISTAS!$D$4:$D$9,0))-IF(F281="",0,IF(F281&lt;=IF(J281="S",18,12),0,IF(F281&lt;=IF(J281="S",30,24),1,2))))))</f>
        <v/>
      </c>
      <c r="S281" s="9"/>
      <c r="T281" s="9"/>
      <c r="U281" s="9"/>
    </row>
    <row r="282" customFormat="false" ht="15" hidden="false" customHeight="false" outlineLevel="0" collapsed="false">
      <c r="A282" s="9"/>
      <c r="B282" s="9"/>
      <c r="C282" s="21" t="str">
        <f aca="false">IF(A282="","",01_CONFIG!$B$4)</f>
        <v/>
      </c>
      <c r="D282" s="44" t="str">
        <f aca="false">IF(A282="","",01_CONFIG!$B$7)</f>
        <v/>
      </c>
      <c r="E282" s="11"/>
      <c r="F282" s="16" t="str">
        <f aca="false">IF(OR(E282="",D282=""),"",(YEAR(D282)-YEAR(E282))*12+MONTH(D282)-MONTH(E282))</f>
        <v/>
      </c>
      <c r="G282" s="16" t="str">
        <f aca="false">IF(OR(E282="",D282=""),"",IF(E282&gt;D282,"EXCLUIR","OK"))</f>
        <v/>
      </c>
      <c r="H282" s="9"/>
      <c r="I282" s="45" t="str">
        <f aca="false">IF(H282="","",IFERROR(INDEX(12_FUENTES!$B$2:$B$301,MATCH(H282,12_FUENTES!$A$2:$A$301,0)),"FUENTE NO REGISTRADA"))</f>
        <v/>
      </c>
      <c r="J282" s="9"/>
      <c r="K282" s="9"/>
      <c r="L282" s="9"/>
      <c r="M282" s="9"/>
      <c r="N282" s="9"/>
      <c r="O282" s="9"/>
      <c r="P282" s="9"/>
      <c r="Q282" s="9"/>
      <c r="R282" s="16" t="str">
        <f aca="false">IF(OR(I282="",I282="FUENTE NO REGISTRADA"),"",INDEX(16_LISTAS!$A$4:$A$8,MAX(1,INDEX(16_LISTAS!$E$4:$E$9,MATCH(I282,16_LISTAS!$D$4:$D$9,0))-IF(F282="",0,IF(F282&lt;=IF(J282="S",18,12),0,IF(F282&lt;=IF(J282="S",30,24),1,2))))))</f>
        <v/>
      </c>
      <c r="S282" s="9"/>
      <c r="T282" s="9"/>
      <c r="U282" s="9"/>
    </row>
    <row r="283" customFormat="false" ht="15" hidden="false" customHeight="false" outlineLevel="0" collapsed="false">
      <c r="A283" s="9"/>
      <c r="B283" s="9"/>
      <c r="C283" s="21" t="str">
        <f aca="false">IF(A283="","",01_CONFIG!$B$4)</f>
        <v/>
      </c>
      <c r="D283" s="44" t="str">
        <f aca="false">IF(A283="","",01_CONFIG!$B$7)</f>
        <v/>
      </c>
      <c r="E283" s="11"/>
      <c r="F283" s="16" t="str">
        <f aca="false">IF(OR(E283="",D283=""),"",(YEAR(D283)-YEAR(E283))*12+MONTH(D283)-MONTH(E283))</f>
        <v/>
      </c>
      <c r="G283" s="16" t="str">
        <f aca="false">IF(OR(E283="",D283=""),"",IF(E283&gt;D283,"EXCLUIR","OK"))</f>
        <v/>
      </c>
      <c r="H283" s="9"/>
      <c r="I283" s="45" t="str">
        <f aca="false">IF(H283="","",IFERROR(INDEX(12_FUENTES!$B$2:$B$301,MATCH(H283,12_FUENTES!$A$2:$A$301,0)),"FUENTE NO REGISTRADA"))</f>
        <v/>
      </c>
      <c r="J283" s="9"/>
      <c r="K283" s="9"/>
      <c r="L283" s="9"/>
      <c r="M283" s="9"/>
      <c r="N283" s="9"/>
      <c r="O283" s="9"/>
      <c r="P283" s="9"/>
      <c r="Q283" s="9"/>
      <c r="R283" s="16" t="str">
        <f aca="false">IF(OR(I283="",I283="FUENTE NO REGISTRADA"),"",INDEX(16_LISTAS!$A$4:$A$8,MAX(1,INDEX(16_LISTAS!$E$4:$E$9,MATCH(I283,16_LISTAS!$D$4:$D$9,0))-IF(F283="",0,IF(F283&lt;=IF(J283="S",18,12),0,IF(F283&lt;=IF(J283="S",30,24),1,2))))))</f>
        <v/>
      </c>
      <c r="S283" s="9"/>
      <c r="T283" s="9"/>
      <c r="U283" s="9"/>
    </row>
    <row r="284" customFormat="false" ht="15" hidden="false" customHeight="false" outlineLevel="0" collapsed="false">
      <c r="A284" s="9"/>
      <c r="B284" s="9"/>
      <c r="C284" s="21" t="str">
        <f aca="false">IF(A284="","",01_CONFIG!$B$4)</f>
        <v/>
      </c>
      <c r="D284" s="44" t="str">
        <f aca="false">IF(A284="","",01_CONFIG!$B$7)</f>
        <v/>
      </c>
      <c r="E284" s="11"/>
      <c r="F284" s="16" t="str">
        <f aca="false">IF(OR(E284="",D284=""),"",(YEAR(D284)-YEAR(E284))*12+MONTH(D284)-MONTH(E284))</f>
        <v/>
      </c>
      <c r="G284" s="16" t="str">
        <f aca="false">IF(OR(E284="",D284=""),"",IF(E284&gt;D284,"EXCLUIR","OK"))</f>
        <v/>
      </c>
      <c r="H284" s="9"/>
      <c r="I284" s="45" t="str">
        <f aca="false">IF(H284="","",IFERROR(INDEX(12_FUENTES!$B$2:$B$301,MATCH(H284,12_FUENTES!$A$2:$A$301,0)),"FUENTE NO REGISTRADA"))</f>
        <v/>
      </c>
      <c r="J284" s="9"/>
      <c r="K284" s="9"/>
      <c r="L284" s="9"/>
      <c r="M284" s="9"/>
      <c r="N284" s="9"/>
      <c r="O284" s="9"/>
      <c r="P284" s="9"/>
      <c r="Q284" s="9"/>
      <c r="R284" s="16" t="str">
        <f aca="false">IF(OR(I284="",I284="FUENTE NO REGISTRADA"),"",INDEX(16_LISTAS!$A$4:$A$8,MAX(1,INDEX(16_LISTAS!$E$4:$E$9,MATCH(I284,16_LISTAS!$D$4:$D$9,0))-IF(F284="",0,IF(F284&lt;=IF(J284="S",18,12),0,IF(F284&lt;=IF(J284="S",30,24),1,2))))))</f>
        <v/>
      </c>
      <c r="S284" s="9"/>
      <c r="T284" s="9"/>
      <c r="U284" s="9"/>
    </row>
    <row r="285" customFormat="false" ht="15" hidden="false" customHeight="false" outlineLevel="0" collapsed="false">
      <c r="A285" s="9"/>
      <c r="B285" s="9"/>
      <c r="C285" s="21" t="str">
        <f aca="false">IF(A285="","",01_CONFIG!$B$4)</f>
        <v/>
      </c>
      <c r="D285" s="44" t="str">
        <f aca="false">IF(A285="","",01_CONFIG!$B$7)</f>
        <v/>
      </c>
      <c r="E285" s="11"/>
      <c r="F285" s="16" t="str">
        <f aca="false">IF(OR(E285="",D285=""),"",(YEAR(D285)-YEAR(E285))*12+MONTH(D285)-MONTH(E285))</f>
        <v/>
      </c>
      <c r="G285" s="16" t="str">
        <f aca="false">IF(OR(E285="",D285=""),"",IF(E285&gt;D285,"EXCLUIR","OK"))</f>
        <v/>
      </c>
      <c r="H285" s="9"/>
      <c r="I285" s="45" t="str">
        <f aca="false">IF(H285="","",IFERROR(INDEX(12_FUENTES!$B$2:$B$301,MATCH(H285,12_FUENTES!$A$2:$A$301,0)),"FUENTE NO REGISTRADA"))</f>
        <v/>
      </c>
      <c r="J285" s="9"/>
      <c r="K285" s="9"/>
      <c r="L285" s="9"/>
      <c r="M285" s="9"/>
      <c r="N285" s="9"/>
      <c r="O285" s="9"/>
      <c r="P285" s="9"/>
      <c r="Q285" s="9"/>
      <c r="R285" s="16" t="str">
        <f aca="false">IF(OR(I285="",I285="FUENTE NO REGISTRADA"),"",INDEX(16_LISTAS!$A$4:$A$8,MAX(1,INDEX(16_LISTAS!$E$4:$E$9,MATCH(I285,16_LISTAS!$D$4:$D$9,0))-IF(F285="",0,IF(F285&lt;=IF(J285="S",18,12),0,IF(F285&lt;=IF(J285="S",30,24),1,2))))))</f>
        <v/>
      </c>
      <c r="S285" s="9"/>
      <c r="T285" s="9"/>
      <c r="U285" s="9"/>
    </row>
    <row r="286" customFormat="false" ht="15" hidden="false" customHeight="false" outlineLevel="0" collapsed="false">
      <c r="A286" s="9"/>
      <c r="B286" s="9"/>
      <c r="C286" s="21" t="str">
        <f aca="false">IF(A286="","",01_CONFIG!$B$4)</f>
        <v/>
      </c>
      <c r="D286" s="44" t="str">
        <f aca="false">IF(A286="","",01_CONFIG!$B$7)</f>
        <v/>
      </c>
      <c r="E286" s="11"/>
      <c r="F286" s="16" t="str">
        <f aca="false">IF(OR(E286="",D286=""),"",(YEAR(D286)-YEAR(E286))*12+MONTH(D286)-MONTH(E286))</f>
        <v/>
      </c>
      <c r="G286" s="16" t="str">
        <f aca="false">IF(OR(E286="",D286=""),"",IF(E286&gt;D286,"EXCLUIR","OK"))</f>
        <v/>
      </c>
      <c r="H286" s="9"/>
      <c r="I286" s="45" t="str">
        <f aca="false">IF(H286="","",IFERROR(INDEX(12_FUENTES!$B$2:$B$301,MATCH(H286,12_FUENTES!$A$2:$A$301,0)),"FUENTE NO REGISTRADA"))</f>
        <v/>
      </c>
      <c r="J286" s="9"/>
      <c r="K286" s="9"/>
      <c r="L286" s="9"/>
      <c r="M286" s="9"/>
      <c r="N286" s="9"/>
      <c r="O286" s="9"/>
      <c r="P286" s="9"/>
      <c r="Q286" s="9"/>
      <c r="R286" s="16" t="str">
        <f aca="false">IF(OR(I286="",I286="FUENTE NO REGISTRADA"),"",INDEX(16_LISTAS!$A$4:$A$8,MAX(1,INDEX(16_LISTAS!$E$4:$E$9,MATCH(I286,16_LISTAS!$D$4:$D$9,0))-IF(F286="",0,IF(F286&lt;=IF(J286="S",18,12),0,IF(F286&lt;=IF(J286="S",30,24),1,2))))))</f>
        <v/>
      </c>
      <c r="S286" s="9"/>
      <c r="T286" s="9"/>
      <c r="U286" s="9"/>
    </row>
    <row r="287" customFormat="false" ht="15" hidden="false" customHeight="false" outlineLevel="0" collapsed="false">
      <c r="A287" s="9"/>
      <c r="B287" s="9"/>
      <c r="C287" s="21" t="str">
        <f aca="false">IF(A287="","",01_CONFIG!$B$4)</f>
        <v/>
      </c>
      <c r="D287" s="44" t="str">
        <f aca="false">IF(A287="","",01_CONFIG!$B$7)</f>
        <v/>
      </c>
      <c r="E287" s="11"/>
      <c r="F287" s="16" t="str">
        <f aca="false">IF(OR(E287="",D287=""),"",(YEAR(D287)-YEAR(E287))*12+MONTH(D287)-MONTH(E287))</f>
        <v/>
      </c>
      <c r="G287" s="16" t="str">
        <f aca="false">IF(OR(E287="",D287=""),"",IF(E287&gt;D287,"EXCLUIR","OK"))</f>
        <v/>
      </c>
      <c r="H287" s="9"/>
      <c r="I287" s="45" t="str">
        <f aca="false">IF(H287="","",IFERROR(INDEX(12_FUENTES!$B$2:$B$301,MATCH(H287,12_FUENTES!$A$2:$A$301,0)),"FUENTE NO REGISTRADA"))</f>
        <v/>
      </c>
      <c r="J287" s="9"/>
      <c r="K287" s="9"/>
      <c r="L287" s="9"/>
      <c r="M287" s="9"/>
      <c r="N287" s="9"/>
      <c r="O287" s="9"/>
      <c r="P287" s="9"/>
      <c r="Q287" s="9"/>
      <c r="R287" s="16" t="str">
        <f aca="false">IF(OR(I287="",I287="FUENTE NO REGISTRADA"),"",INDEX(16_LISTAS!$A$4:$A$8,MAX(1,INDEX(16_LISTAS!$E$4:$E$9,MATCH(I287,16_LISTAS!$D$4:$D$9,0))-IF(F287="",0,IF(F287&lt;=IF(J287="S",18,12),0,IF(F287&lt;=IF(J287="S",30,24),1,2))))))</f>
        <v/>
      </c>
      <c r="S287" s="9"/>
      <c r="T287" s="9"/>
      <c r="U287" s="9"/>
    </row>
    <row r="288" customFormat="false" ht="15" hidden="false" customHeight="false" outlineLevel="0" collapsed="false">
      <c r="A288" s="9"/>
      <c r="B288" s="9"/>
      <c r="C288" s="21" t="str">
        <f aca="false">IF(A288="","",01_CONFIG!$B$4)</f>
        <v/>
      </c>
      <c r="D288" s="44" t="str">
        <f aca="false">IF(A288="","",01_CONFIG!$B$7)</f>
        <v/>
      </c>
      <c r="E288" s="11"/>
      <c r="F288" s="16" t="str">
        <f aca="false">IF(OR(E288="",D288=""),"",(YEAR(D288)-YEAR(E288))*12+MONTH(D288)-MONTH(E288))</f>
        <v/>
      </c>
      <c r="G288" s="16" t="str">
        <f aca="false">IF(OR(E288="",D288=""),"",IF(E288&gt;D288,"EXCLUIR","OK"))</f>
        <v/>
      </c>
      <c r="H288" s="9"/>
      <c r="I288" s="45" t="str">
        <f aca="false">IF(H288="","",IFERROR(INDEX(12_FUENTES!$B$2:$B$301,MATCH(H288,12_FUENTES!$A$2:$A$301,0)),"FUENTE NO REGISTRADA"))</f>
        <v/>
      </c>
      <c r="J288" s="9"/>
      <c r="K288" s="9"/>
      <c r="L288" s="9"/>
      <c r="M288" s="9"/>
      <c r="N288" s="9"/>
      <c r="O288" s="9"/>
      <c r="P288" s="9"/>
      <c r="Q288" s="9"/>
      <c r="R288" s="16" t="str">
        <f aca="false">IF(OR(I288="",I288="FUENTE NO REGISTRADA"),"",INDEX(16_LISTAS!$A$4:$A$8,MAX(1,INDEX(16_LISTAS!$E$4:$E$9,MATCH(I288,16_LISTAS!$D$4:$D$9,0))-IF(F288="",0,IF(F288&lt;=IF(J288="S",18,12),0,IF(F288&lt;=IF(J288="S",30,24),1,2))))))</f>
        <v/>
      </c>
      <c r="S288" s="9"/>
      <c r="T288" s="9"/>
      <c r="U288" s="9"/>
    </row>
    <row r="289" customFormat="false" ht="15" hidden="false" customHeight="false" outlineLevel="0" collapsed="false">
      <c r="A289" s="9"/>
      <c r="B289" s="9"/>
      <c r="C289" s="21" t="str">
        <f aca="false">IF(A289="","",01_CONFIG!$B$4)</f>
        <v/>
      </c>
      <c r="D289" s="44" t="str">
        <f aca="false">IF(A289="","",01_CONFIG!$B$7)</f>
        <v/>
      </c>
      <c r="E289" s="11"/>
      <c r="F289" s="16" t="str">
        <f aca="false">IF(OR(E289="",D289=""),"",(YEAR(D289)-YEAR(E289))*12+MONTH(D289)-MONTH(E289))</f>
        <v/>
      </c>
      <c r="G289" s="16" t="str">
        <f aca="false">IF(OR(E289="",D289=""),"",IF(E289&gt;D289,"EXCLUIR","OK"))</f>
        <v/>
      </c>
      <c r="H289" s="9"/>
      <c r="I289" s="45" t="str">
        <f aca="false">IF(H289="","",IFERROR(INDEX(12_FUENTES!$B$2:$B$301,MATCH(H289,12_FUENTES!$A$2:$A$301,0)),"FUENTE NO REGISTRADA"))</f>
        <v/>
      </c>
      <c r="J289" s="9"/>
      <c r="K289" s="9"/>
      <c r="L289" s="9"/>
      <c r="M289" s="9"/>
      <c r="N289" s="9"/>
      <c r="O289" s="9"/>
      <c r="P289" s="9"/>
      <c r="Q289" s="9"/>
      <c r="R289" s="16" t="str">
        <f aca="false">IF(OR(I289="",I289="FUENTE NO REGISTRADA"),"",INDEX(16_LISTAS!$A$4:$A$8,MAX(1,INDEX(16_LISTAS!$E$4:$E$9,MATCH(I289,16_LISTAS!$D$4:$D$9,0))-IF(F289="",0,IF(F289&lt;=IF(J289="S",18,12),0,IF(F289&lt;=IF(J289="S",30,24),1,2))))))</f>
        <v/>
      </c>
      <c r="S289" s="9"/>
      <c r="T289" s="9"/>
      <c r="U289" s="9"/>
    </row>
    <row r="290" customFormat="false" ht="15" hidden="false" customHeight="false" outlineLevel="0" collapsed="false">
      <c r="A290" s="9"/>
      <c r="B290" s="9"/>
      <c r="C290" s="21" t="str">
        <f aca="false">IF(A290="","",01_CONFIG!$B$4)</f>
        <v/>
      </c>
      <c r="D290" s="44" t="str">
        <f aca="false">IF(A290="","",01_CONFIG!$B$7)</f>
        <v/>
      </c>
      <c r="E290" s="11"/>
      <c r="F290" s="16" t="str">
        <f aca="false">IF(OR(E290="",D290=""),"",(YEAR(D290)-YEAR(E290))*12+MONTH(D290)-MONTH(E290))</f>
        <v/>
      </c>
      <c r="G290" s="16" t="str">
        <f aca="false">IF(OR(E290="",D290=""),"",IF(E290&gt;D290,"EXCLUIR","OK"))</f>
        <v/>
      </c>
      <c r="H290" s="9"/>
      <c r="I290" s="45" t="str">
        <f aca="false">IF(H290="","",IFERROR(INDEX(12_FUENTES!$B$2:$B$301,MATCH(H290,12_FUENTES!$A$2:$A$301,0)),"FUENTE NO REGISTRADA"))</f>
        <v/>
      </c>
      <c r="J290" s="9"/>
      <c r="K290" s="9"/>
      <c r="L290" s="9"/>
      <c r="M290" s="9"/>
      <c r="N290" s="9"/>
      <c r="O290" s="9"/>
      <c r="P290" s="9"/>
      <c r="Q290" s="9"/>
      <c r="R290" s="16" t="str">
        <f aca="false">IF(OR(I290="",I290="FUENTE NO REGISTRADA"),"",INDEX(16_LISTAS!$A$4:$A$8,MAX(1,INDEX(16_LISTAS!$E$4:$E$9,MATCH(I290,16_LISTAS!$D$4:$D$9,0))-IF(F290="",0,IF(F290&lt;=IF(J290="S",18,12),0,IF(F290&lt;=IF(J290="S",30,24),1,2))))))</f>
        <v/>
      </c>
      <c r="S290" s="9"/>
      <c r="T290" s="9"/>
      <c r="U290" s="9"/>
    </row>
    <row r="291" customFormat="false" ht="15" hidden="false" customHeight="false" outlineLevel="0" collapsed="false">
      <c r="A291" s="9"/>
      <c r="B291" s="9"/>
      <c r="C291" s="21" t="str">
        <f aca="false">IF(A291="","",01_CONFIG!$B$4)</f>
        <v/>
      </c>
      <c r="D291" s="44" t="str">
        <f aca="false">IF(A291="","",01_CONFIG!$B$7)</f>
        <v/>
      </c>
      <c r="E291" s="11"/>
      <c r="F291" s="16" t="str">
        <f aca="false">IF(OR(E291="",D291=""),"",(YEAR(D291)-YEAR(E291))*12+MONTH(D291)-MONTH(E291))</f>
        <v/>
      </c>
      <c r="G291" s="16" t="str">
        <f aca="false">IF(OR(E291="",D291=""),"",IF(E291&gt;D291,"EXCLUIR","OK"))</f>
        <v/>
      </c>
      <c r="H291" s="9"/>
      <c r="I291" s="45" t="str">
        <f aca="false">IF(H291="","",IFERROR(INDEX(12_FUENTES!$B$2:$B$301,MATCH(H291,12_FUENTES!$A$2:$A$301,0)),"FUENTE NO REGISTRADA"))</f>
        <v/>
      </c>
      <c r="J291" s="9"/>
      <c r="K291" s="9"/>
      <c r="L291" s="9"/>
      <c r="M291" s="9"/>
      <c r="N291" s="9"/>
      <c r="O291" s="9"/>
      <c r="P291" s="9"/>
      <c r="Q291" s="9"/>
      <c r="R291" s="16" t="str">
        <f aca="false">IF(OR(I291="",I291="FUENTE NO REGISTRADA"),"",INDEX(16_LISTAS!$A$4:$A$8,MAX(1,INDEX(16_LISTAS!$E$4:$E$9,MATCH(I291,16_LISTAS!$D$4:$D$9,0))-IF(F291="",0,IF(F291&lt;=IF(J291="S",18,12),0,IF(F291&lt;=IF(J291="S",30,24),1,2))))))</f>
        <v/>
      </c>
      <c r="S291" s="9"/>
      <c r="T291" s="9"/>
      <c r="U291" s="9"/>
    </row>
    <row r="292" customFormat="false" ht="15" hidden="false" customHeight="false" outlineLevel="0" collapsed="false">
      <c r="A292" s="9"/>
      <c r="B292" s="9"/>
      <c r="C292" s="21" t="str">
        <f aca="false">IF(A292="","",01_CONFIG!$B$4)</f>
        <v/>
      </c>
      <c r="D292" s="44" t="str">
        <f aca="false">IF(A292="","",01_CONFIG!$B$7)</f>
        <v/>
      </c>
      <c r="E292" s="11"/>
      <c r="F292" s="16" t="str">
        <f aca="false">IF(OR(E292="",D292=""),"",(YEAR(D292)-YEAR(E292))*12+MONTH(D292)-MONTH(E292))</f>
        <v/>
      </c>
      <c r="G292" s="16" t="str">
        <f aca="false">IF(OR(E292="",D292=""),"",IF(E292&gt;D292,"EXCLUIR","OK"))</f>
        <v/>
      </c>
      <c r="H292" s="9"/>
      <c r="I292" s="45" t="str">
        <f aca="false">IF(H292="","",IFERROR(INDEX(12_FUENTES!$B$2:$B$301,MATCH(H292,12_FUENTES!$A$2:$A$301,0)),"FUENTE NO REGISTRADA"))</f>
        <v/>
      </c>
      <c r="J292" s="9"/>
      <c r="K292" s="9"/>
      <c r="L292" s="9"/>
      <c r="M292" s="9"/>
      <c r="N292" s="9"/>
      <c r="O292" s="9"/>
      <c r="P292" s="9"/>
      <c r="Q292" s="9"/>
      <c r="R292" s="16" t="str">
        <f aca="false">IF(OR(I292="",I292="FUENTE NO REGISTRADA"),"",INDEX(16_LISTAS!$A$4:$A$8,MAX(1,INDEX(16_LISTAS!$E$4:$E$9,MATCH(I292,16_LISTAS!$D$4:$D$9,0))-IF(F292="",0,IF(F292&lt;=IF(J292="S",18,12),0,IF(F292&lt;=IF(J292="S",30,24),1,2))))))</f>
        <v/>
      </c>
      <c r="S292" s="9"/>
      <c r="T292" s="9"/>
      <c r="U292" s="9"/>
    </row>
    <row r="293" customFormat="false" ht="15" hidden="false" customHeight="false" outlineLevel="0" collapsed="false">
      <c r="A293" s="9"/>
      <c r="B293" s="9"/>
      <c r="C293" s="21" t="str">
        <f aca="false">IF(A293="","",01_CONFIG!$B$4)</f>
        <v/>
      </c>
      <c r="D293" s="44" t="str">
        <f aca="false">IF(A293="","",01_CONFIG!$B$7)</f>
        <v/>
      </c>
      <c r="E293" s="11"/>
      <c r="F293" s="16" t="str">
        <f aca="false">IF(OR(E293="",D293=""),"",(YEAR(D293)-YEAR(E293))*12+MONTH(D293)-MONTH(E293))</f>
        <v/>
      </c>
      <c r="G293" s="16" t="str">
        <f aca="false">IF(OR(E293="",D293=""),"",IF(E293&gt;D293,"EXCLUIR","OK"))</f>
        <v/>
      </c>
      <c r="H293" s="9"/>
      <c r="I293" s="45" t="str">
        <f aca="false">IF(H293="","",IFERROR(INDEX(12_FUENTES!$B$2:$B$301,MATCH(H293,12_FUENTES!$A$2:$A$301,0)),"FUENTE NO REGISTRADA"))</f>
        <v/>
      </c>
      <c r="J293" s="9"/>
      <c r="K293" s="9"/>
      <c r="L293" s="9"/>
      <c r="M293" s="9"/>
      <c r="N293" s="9"/>
      <c r="O293" s="9"/>
      <c r="P293" s="9"/>
      <c r="Q293" s="9"/>
      <c r="R293" s="16" t="str">
        <f aca="false">IF(OR(I293="",I293="FUENTE NO REGISTRADA"),"",INDEX(16_LISTAS!$A$4:$A$8,MAX(1,INDEX(16_LISTAS!$E$4:$E$9,MATCH(I293,16_LISTAS!$D$4:$D$9,0))-IF(F293="",0,IF(F293&lt;=IF(J293="S",18,12),0,IF(F293&lt;=IF(J293="S",30,24),1,2))))))</f>
        <v/>
      </c>
      <c r="S293" s="9"/>
      <c r="T293" s="9"/>
      <c r="U293" s="9"/>
    </row>
    <row r="294" customFormat="false" ht="15" hidden="false" customHeight="false" outlineLevel="0" collapsed="false">
      <c r="A294" s="9"/>
      <c r="B294" s="9"/>
      <c r="C294" s="21" t="str">
        <f aca="false">IF(A294="","",01_CONFIG!$B$4)</f>
        <v/>
      </c>
      <c r="D294" s="44" t="str">
        <f aca="false">IF(A294="","",01_CONFIG!$B$7)</f>
        <v/>
      </c>
      <c r="E294" s="11"/>
      <c r="F294" s="16" t="str">
        <f aca="false">IF(OR(E294="",D294=""),"",(YEAR(D294)-YEAR(E294))*12+MONTH(D294)-MONTH(E294))</f>
        <v/>
      </c>
      <c r="G294" s="16" t="str">
        <f aca="false">IF(OR(E294="",D294=""),"",IF(E294&gt;D294,"EXCLUIR","OK"))</f>
        <v/>
      </c>
      <c r="H294" s="9"/>
      <c r="I294" s="45" t="str">
        <f aca="false">IF(H294="","",IFERROR(INDEX(12_FUENTES!$B$2:$B$301,MATCH(H294,12_FUENTES!$A$2:$A$301,0)),"FUENTE NO REGISTRADA"))</f>
        <v/>
      </c>
      <c r="J294" s="9"/>
      <c r="K294" s="9"/>
      <c r="L294" s="9"/>
      <c r="M294" s="9"/>
      <c r="N294" s="9"/>
      <c r="O294" s="9"/>
      <c r="P294" s="9"/>
      <c r="Q294" s="9"/>
      <c r="R294" s="16" t="str">
        <f aca="false">IF(OR(I294="",I294="FUENTE NO REGISTRADA"),"",INDEX(16_LISTAS!$A$4:$A$8,MAX(1,INDEX(16_LISTAS!$E$4:$E$9,MATCH(I294,16_LISTAS!$D$4:$D$9,0))-IF(F294="",0,IF(F294&lt;=IF(J294="S",18,12),0,IF(F294&lt;=IF(J294="S",30,24),1,2))))))</f>
        <v/>
      </c>
      <c r="S294" s="9"/>
      <c r="T294" s="9"/>
      <c r="U294" s="9"/>
    </row>
    <row r="295" customFormat="false" ht="15" hidden="false" customHeight="false" outlineLevel="0" collapsed="false">
      <c r="A295" s="9"/>
      <c r="B295" s="9"/>
      <c r="C295" s="21" t="str">
        <f aca="false">IF(A295="","",01_CONFIG!$B$4)</f>
        <v/>
      </c>
      <c r="D295" s="44" t="str">
        <f aca="false">IF(A295="","",01_CONFIG!$B$7)</f>
        <v/>
      </c>
      <c r="E295" s="11"/>
      <c r="F295" s="16" t="str">
        <f aca="false">IF(OR(E295="",D295=""),"",(YEAR(D295)-YEAR(E295))*12+MONTH(D295)-MONTH(E295))</f>
        <v/>
      </c>
      <c r="G295" s="16" t="str">
        <f aca="false">IF(OR(E295="",D295=""),"",IF(E295&gt;D295,"EXCLUIR","OK"))</f>
        <v/>
      </c>
      <c r="H295" s="9"/>
      <c r="I295" s="45" t="str">
        <f aca="false">IF(H295="","",IFERROR(INDEX(12_FUENTES!$B$2:$B$301,MATCH(H295,12_FUENTES!$A$2:$A$301,0)),"FUENTE NO REGISTRADA"))</f>
        <v/>
      </c>
      <c r="J295" s="9"/>
      <c r="K295" s="9"/>
      <c r="L295" s="9"/>
      <c r="M295" s="9"/>
      <c r="N295" s="9"/>
      <c r="O295" s="9"/>
      <c r="P295" s="9"/>
      <c r="Q295" s="9"/>
      <c r="R295" s="16" t="str">
        <f aca="false">IF(OR(I295="",I295="FUENTE NO REGISTRADA"),"",INDEX(16_LISTAS!$A$4:$A$8,MAX(1,INDEX(16_LISTAS!$E$4:$E$9,MATCH(I295,16_LISTAS!$D$4:$D$9,0))-IF(F295="",0,IF(F295&lt;=IF(J295="S",18,12),0,IF(F295&lt;=IF(J295="S",30,24),1,2))))))</f>
        <v/>
      </c>
      <c r="S295" s="9"/>
      <c r="T295" s="9"/>
      <c r="U295" s="9"/>
    </row>
    <row r="296" customFormat="false" ht="15" hidden="false" customHeight="false" outlineLevel="0" collapsed="false">
      <c r="A296" s="9"/>
      <c r="B296" s="9"/>
      <c r="C296" s="21" t="str">
        <f aca="false">IF(A296="","",01_CONFIG!$B$4)</f>
        <v/>
      </c>
      <c r="D296" s="44" t="str">
        <f aca="false">IF(A296="","",01_CONFIG!$B$7)</f>
        <v/>
      </c>
      <c r="E296" s="11"/>
      <c r="F296" s="16" t="str">
        <f aca="false">IF(OR(E296="",D296=""),"",(YEAR(D296)-YEAR(E296))*12+MONTH(D296)-MONTH(E296))</f>
        <v/>
      </c>
      <c r="G296" s="16" t="str">
        <f aca="false">IF(OR(E296="",D296=""),"",IF(E296&gt;D296,"EXCLUIR","OK"))</f>
        <v/>
      </c>
      <c r="H296" s="9"/>
      <c r="I296" s="45" t="str">
        <f aca="false">IF(H296="","",IFERROR(INDEX(12_FUENTES!$B$2:$B$301,MATCH(H296,12_FUENTES!$A$2:$A$301,0)),"FUENTE NO REGISTRADA"))</f>
        <v/>
      </c>
      <c r="J296" s="9"/>
      <c r="K296" s="9"/>
      <c r="L296" s="9"/>
      <c r="M296" s="9"/>
      <c r="N296" s="9"/>
      <c r="O296" s="9"/>
      <c r="P296" s="9"/>
      <c r="Q296" s="9"/>
      <c r="R296" s="16" t="str">
        <f aca="false">IF(OR(I296="",I296="FUENTE NO REGISTRADA"),"",INDEX(16_LISTAS!$A$4:$A$8,MAX(1,INDEX(16_LISTAS!$E$4:$E$9,MATCH(I296,16_LISTAS!$D$4:$D$9,0))-IF(F296="",0,IF(F296&lt;=IF(J296="S",18,12),0,IF(F296&lt;=IF(J296="S",30,24),1,2))))))</f>
        <v/>
      </c>
      <c r="S296" s="9"/>
      <c r="T296" s="9"/>
      <c r="U296" s="9"/>
    </row>
    <row r="297" customFormat="false" ht="15" hidden="false" customHeight="false" outlineLevel="0" collapsed="false">
      <c r="A297" s="9"/>
      <c r="B297" s="9"/>
      <c r="C297" s="21" t="str">
        <f aca="false">IF(A297="","",01_CONFIG!$B$4)</f>
        <v/>
      </c>
      <c r="D297" s="44" t="str">
        <f aca="false">IF(A297="","",01_CONFIG!$B$7)</f>
        <v/>
      </c>
      <c r="E297" s="11"/>
      <c r="F297" s="16" t="str">
        <f aca="false">IF(OR(E297="",D297=""),"",(YEAR(D297)-YEAR(E297))*12+MONTH(D297)-MONTH(E297))</f>
        <v/>
      </c>
      <c r="G297" s="16" t="str">
        <f aca="false">IF(OR(E297="",D297=""),"",IF(E297&gt;D297,"EXCLUIR","OK"))</f>
        <v/>
      </c>
      <c r="H297" s="9"/>
      <c r="I297" s="45" t="str">
        <f aca="false">IF(H297="","",IFERROR(INDEX(12_FUENTES!$B$2:$B$301,MATCH(H297,12_FUENTES!$A$2:$A$301,0)),"FUENTE NO REGISTRADA"))</f>
        <v/>
      </c>
      <c r="J297" s="9"/>
      <c r="K297" s="9"/>
      <c r="L297" s="9"/>
      <c r="M297" s="9"/>
      <c r="N297" s="9"/>
      <c r="O297" s="9"/>
      <c r="P297" s="9"/>
      <c r="Q297" s="9"/>
      <c r="R297" s="16" t="str">
        <f aca="false">IF(OR(I297="",I297="FUENTE NO REGISTRADA"),"",INDEX(16_LISTAS!$A$4:$A$8,MAX(1,INDEX(16_LISTAS!$E$4:$E$9,MATCH(I297,16_LISTAS!$D$4:$D$9,0))-IF(F297="",0,IF(F297&lt;=IF(J297="S",18,12),0,IF(F297&lt;=IF(J297="S",30,24),1,2))))))</f>
        <v/>
      </c>
      <c r="S297" s="9"/>
      <c r="T297" s="9"/>
      <c r="U297" s="9"/>
    </row>
    <row r="298" customFormat="false" ht="15" hidden="false" customHeight="false" outlineLevel="0" collapsed="false">
      <c r="A298" s="9"/>
      <c r="B298" s="9"/>
      <c r="C298" s="21" t="str">
        <f aca="false">IF(A298="","",01_CONFIG!$B$4)</f>
        <v/>
      </c>
      <c r="D298" s="44" t="str">
        <f aca="false">IF(A298="","",01_CONFIG!$B$7)</f>
        <v/>
      </c>
      <c r="E298" s="11"/>
      <c r="F298" s="16" t="str">
        <f aca="false">IF(OR(E298="",D298=""),"",(YEAR(D298)-YEAR(E298))*12+MONTH(D298)-MONTH(E298))</f>
        <v/>
      </c>
      <c r="G298" s="16" t="str">
        <f aca="false">IF(OR(E298="",D298=""),"",IF(E298&gt;D298,"EXCLUIR","OK"))</f>
        <v/>
      </c>
      <c r="H298" s="9"/>
      <c r="I298" s="45" t="str">
        <f aca="false">IF(H298="","",IFERROR(INDEX(12_FUENTES!$B$2:$B$301,MATCH(H298,12_FUENTES!$A$2:$A$301,0)),"FUENTE NO REGISTRADA"))</f>
        <v/>
      </c>
      <c r="J298" s="9"/>
      <c r="K298" s="9"/>
      <c r="L298" s="9"/>
      <c r="M298" s="9"/>
      <c r="N298" s="9"/>
      <c r="O298" s="9"/>
      <c r="P298" s="9"/>
      <c r="Q298" s="9"/>
      <c r="R298" s="16" t="str">
        <f aca="false">IF(OR(I298="",I298="FUENTE NO REGISTRADA"),"",INDEX(16_LISTAS!$A$4:$A$8,MAX(1,INDEX(16_LISTAS!$E$4:$E$9,MATCH(I298,16_LISTAS!$D$4:$D$9,0))-IF(F298="",0,IF(F298&lt;=IF(J298="S",18,12),0,IF(F298&lt;=IF(J298="S",30,24),1,2))))))</f>
        <v/>
      </c>
      <c r="S298" s="9"/>
      <c r="T298" s="9"/>
      <c r="U298" s="9"/>
    </row>
    <row r="299" customFormat="false" ht="15" hidden="false" customHeight="false" outlineLevel="0" collapsed="false">
      <c r="A299" s="9"/>
      <c r="B299" s="9"/>
      <c r="C299" s="21" t="str">
        <f aca="false">IF(A299="","",01_CONFIG!$B$4)</f>
        <v/>
      </c>
      <c r="D299" s="44" t="str">
        <f aca="false">IF(A299="","",01_CONFIG!$B$7)</f>
        <v/>
      </c>
      <c r="E299" s="11"/>
      <c r="F299" s="16" t="str">
        <f aca="false">IF(OR(E299="",D299=""),"",(YEAR(D299)-YEAR(E299))*12+MONTH(D299)-MONTH(E299))</f>
        <v/>
      </c>
      <c r="G299" s="16" t="str">
        <f aca="false">IF(OR(E299="",D299=""),"",IF(E299&gt;D299,"EXCLUIR","OK"))</f>
        <v/>
      </c>
      <c r="H299" s="9"/>
      <c r="I299" s="45" t="str">
        <f aca="false">IF(H299="","",IFERROR(INDEX(12_FUENTES!$B$2:$B$301,MATCH(H299,12_FUENTES!$A$2:$A$301,0)),"FUENTE NO REGISTRADA"))</f>
        <v/>
      </c>
      <c r="J299" s="9"/>
      <c r="K299" s="9"/>
      <c r="L299" s="9"/>
      <c r="M299" s="9"/>
      <c r="N299" s="9"/>
      <c r="O299" s="9"/>
      <c r="P299" s="9"/>
      <c r="Q299" s="9"/>
      <c r="R299" s="16" t="str">
        <f aca="false">IF(OR(I299="",I299="FUENTE NO REGISTRADA"),"",INDEX(16_LISTAS!$A$4:$A$8,MAX(1,INDEX(16_LISTAS!$E$4:$E$9,MATCH(I299,16_LISTAS!$D$4:$D$9,0))-IF(F299="",0,IF(F299&lt;=IF(J299="S",18,12),0,IF(F299&lt;=IF(J299="S",30,24),1,2))))))</f>
        <v/>
      </c>
      <c r="S299" s="9"/>
      <c r="T299" s="9"/>
      <c r="U299" s="9"/>
    </row>
    <row r="300" customFormat="false" ht="15" hidden="false" customHeight="false" outlineLevel="0" collapsed="false">
      <c r="A300" s="9"/>
      <c r="B300" s="9"/>
      <c r="C300" s="21" t="str">
        <f aca="false">IF(A300="","",01_CONFIG!$B$4)</f>
        <v/>
      </c>
      <c r="D300" s="44" t="str">
        <f aca="false">IF(A300="","",01_CONFIG!$B$7)</f>
        <v/>
      </c>
      <c r="E300" s="11"/>
      <c r="F300" s="16" t="str">
        <f aca="false">IF(OR(E300="",D300=""),"",(YEAR(D300)-YEAR(E300))*12+MONTH(D300)-MONTH(E300))</f>
        <v/>
      </c>
      <c r="G300" s="16" t="str">
        <f aca="false">IF(OR(E300="",D300=""),"",IF(E300&gt;D300,"EXCLUIR","OK"))</f>
        <v/>
      </c>
      <c r="H300" s="9"/>
      <c r="I300" s="45" t="str">
        <f aca="false">IF(H300="","",IFERROR(INDEX(12_FUENTES!$B$2:$B$301,MATCH(H300,12_FUENTES!$A$2:$A$301,0)),"FUENTE NO REGISTRADA"))</f>
        <v/>
      </c>
      <c r="J300" s="9"/>
      <c r="K300" s="9"/>
      <c r="L300" s="9"/>
      <c r="M300" s="9"/>
      <c r="N300" s="9"/>
      <c r="O300" s="9"/>
      <c r="P300" s="9"/>
      <c r="Q300" s="9"/>
      <c r="R300" s="16" t="str">
        <f aca="false">IF(OR(I300="",I300="FUENTE NO REGISTRADA"),"",INDEX(16_LISTAS!$A$4:$A$8,MAX(1,INDEX(16_LISTAS!$E$4:$E$9,MATCH(I300,16_LISTAS!$D$4:$D$9,0))-IF(F300="",0,IF(F300&lt;=IF(J300="S",18,12),0,IF(F300&lt;=IF(J300="S",30,24),1,2))))))</f>
        <v/>
      </c>
      <c r="S300" s="9"/>
      <c r="T300" s="9"/>
      <c r="U300" s="9"/>
    </row>
    <row r="301" customFormat="false" ht="15" hidden="false" customHeight="false" outlineLevel="0" collapsed="false">
      <c r="A301" s="9"/>
      <c r="B301" s="9"/>
      <c r="C301" s="21" t="str">
        <f aca="false">IF(A301="","",01_CONFIG!$B$4)</f>
        <v/>
      </c>
      <c r="D301" s="44" t="str">
        <f aca="false">IF(A301="","",01_CONFIG!$B$7)</f>
        <v/>
      </c>
      <c r="E301" s="11"/>
      <c r="F301" s="16" t="str">
        <f aca="false">IF(OR(E301="",D301=""),"",(YEAR(D301)-YEAR(E301))*12+MONTH(D301)-MONTH(E301))</f>
        <v/>
      </c>
      <c r="G301" s="16" t="str">
        <f aca="false">IF(OR(E301="",D301=""),"",IF(E301&gt;D301,"EXCLUIR","OK"))</f>
        <v/>
      </c>
      <c r="H301" s="9"/>
      <c r="I301" s="45" t="str">
        <f aca="false">IF(H301="","",IFERROR(INDEX(12_FUENTES!$B$2:$B$301,MATCH(H301,12_FUENTES!$A$2:$A$301,0)),"FUENTE NO REGISTRADA"))</f>
        <v/>
      </c>
      <c r="J301" s="9"/>
      <c r="K301" s="9"/>
      <c r="L301" s="9"/>
      <c r="M301" s="9"/>
      <c r="N301" s="9"/>
      <c r="O301" s="9"/>
      <c r="P301" s="9"/>
      <c r="Q301" s="9"/>
      <c r="R301" s="16" t="str">
        <f aca="false">IF(OR(I301="",I301="FUENTE NO REGISTRADA"),"",INDEX(16_LISTAS!$A$4:$A$8,MAX(1,INDEX(16_LISTAS!$E$4:$E$9,MATCH(I301,16_LISTAS!$D$4:$D$9,0))-IF(F301="",0,IF(F301&lt;=IF(J301="S",18,12),0,IF(F301&lt;=IF(J301="S",30,24),1,2))))))</f>
        <v/>
      </c>
      <c r="S301" s="9"/>
      <c r="T301" s="9"/>
      <c r="U301" s="9"/>
    </row>
  </sheetData>
  <autoFilter ref="A1:U301"/>
  <conditionalFormatting sqref="G2:G301">
    <cfRule type="expression" priority="2" aboveAverage="0" equalAverage="0" bottom="0" percent="0" rank="0" text="" dxfId="13">
      <formula>G2="EXCLUIR"</formula>
    </cfRule>
  </conditionalFormatting>
  <conditionalFormatting sqref="I2:I301">
    <cfRule type="expression" priority="3" aboveAverage="0" equalAverage="0" bottom="0" percent="0" rank="0" text="" dxfId="18">
      <formula>I2="FUENTE NO REGISTRADA"</formula>
    </cfRule>
  </conditionalFormatting>
  <dataValidations count="4">
    <dataValidation allowBlank="true" error="Valor no permitido. Use la lista desplegable." errorStyle="stop" errorTitle="DCIP 2.3" operator="between" showDropDown="false" showErrorMessage="false" showInputMessage="false" sqref="B2:B301" type="list">
      <formula1>02_INDICADORES!$A$2:$A$42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J2:J301" type="list">
      <formula1>16_LISTAS!$U$4:$U$5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K2:K301" type="list">
      <formula1>16_LISTAS!$K$4:$K$8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Q2:Q301" type="list">
      <formula1>16_LISTAS!$U$4:$U$5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17.35" hidden="false" customHeight="false" outlineLevel="0" collapsed="false">
      <c r="A1" s="1" t="s">
        <v>643</v>
      </c>
    </row>
    <row r="2" customFormat="false" ht="15" hidden="false" customHeight="false" outlineLevel="0" collapsed="false">
      <c r="A2" s="2" t="s">
        <v>644</v>
      </c>
    </row>
    <row r="3" customFormat="false" ht="23.85" hidden="false" customHeight="false" outlineLevel="0" collapsed="false">
      <c r="A3" s="8" t="s">
        <v>645</v>
      </c>
      <c r="B3" s="31" t="n">
        <f aca="false">COUNTIFS(C7:C40,"S",E7:E40,"NO CUMPLE")</f>
        <v>0</v>
      </c>
    </row>
    <row r="4" customFormat="false" ht="15" hidden="false" customHeight="false" outlineLevel="0" collapsed="false">
      <c r="A4" s="8" t="s">
        <v>646</v>
      </c>
      <c r="B4" s="31" t="str">
        <f aca="false">IF(B3&gt;0,"NO VÁLIDA",IF(COUNTIF(E7:E40,"PENDIENTE")&gt;0,"EN CURSO","VÁLIDA"))</f>
        <v>EN CURSO</v>
      </c>
    </row>
    <row r="5" customFormat="false" ht="15" hidden="false" customHeight="false" outlineLevel="0" collapsed="false">
      <c r="A5" s="8" t="s">
        <v>647</v>
      </c>
      <c r="B5" s="16" t="n">
        <f aca="false">COUNTIF(E7:E40,"PENDIENTE")</f>
        <v>22</v>
      </c>
    </row>
    <row r="6" customFormat="false" ht="15" hidden="false" customHeight="false" outlineLevel="0" collapsed="false">
      <c r="A6" s="7" t="s">
        <v>648</v>
      </c>
      <c r="B6" s="7" t="s">
        <v>557</v>
      </c>
      <c r="C6" s="7" t="s">
        <v>649</v>
      </c>
      <c r="D6" s="7" t="s">
        <v>650</v>
      </c>
      <c r="E6" s="7" t="s">
        <v>651</v>
      </c>
      <c r="F6" s="7" t="s">
        <v>652</v>
      </c>
      <c r="G6" s="7" t="s">
        <v>561</v>
      </c>
    </row>
    <row r="7" customFormat="false" ht="15" hidden="false" customHeight="false" outlineLevel="0" collapsed="false">
      <c r="A7" s="16" t="n">
        <v>1</v>
      </c>
      <c r="B7" s="8" t="s">
        <v>653</v>
      </c>
      <c r="C7" s="16" t="s">
        <v>654</v>
      </c>
      <c r="D7" s="10" t="s">
        <v>655</v>
      </c>
      <c r="E7" s="23" t="s">
        <v>656</v>
      </c>
      <c r="F7" s="9"/>
      <c r="G7" s="9"/>
    </row>
    <row r="8" customFormat="false" ht="15" hidden="false" customHeight="false" outlineLevel="0" collapsed="false">
      <c r="A8" s="16" t="n">
        <v>2</v>
      </c>
      <c r="B8" s="8" t="s">
        <v>657</v>
      </c>
      <c r="C8" s="16" t="s">
        <v>654</v>
      </c>
      <c r="D8" s="10" t="s">
        <v>658</v>
      </c>
      <c r="E8" s="23" t="s">
        <v>656</v>
      </c>
      <c r="F8" s="9"/>
      <c r="G8" s="9"/>
    </row>
    <row r="9" customFormat="false" ht="15" hidden="false" customHeight="false" outlineLevel="0" collapsed="false">
      <c r="A9" s="16" t="n">
        <v>3</v>
      </c>
      <c r="B9" s="8" t="s">
        <v>659</v>
      </c>
      <c r="C9" s="16" t="s">
        <v>654</v>
      </c>
      <c r="D9" s="10" t="s">
        <v>660</v>
      </c>
      <c r="E9" s="23" t="s">
        <v>656</v>
      </c>
      <c r="F9" s="9"/>
      <c r="G9" s="9"/>
    </row>
    <row r="10" customFormat="false" ht="15" hidden="false" customHeight="false" outlineLevel="0" collapsed="false">
      <c r="A10" s="16" t="n">
        <v>4</v>
      </c>
      <c r="B10" s="8" t="s">
        <v>661</v>
      </c>
      <c r="C10" s="16" t="s">
        <v>654</v>
      </c>
      <c r="D10" s="10" t="s">
        <v>662</v>
      </c>
      <c r="E10" s="23" t="s">
        <v>656</v>
      </c>
      <c r="F10" s="9"/>
      <c r="G10" s="9"/>
    </row>
    <row r="11" customFormat="false" ht="15" hidden="false" customHeight="false" outlineLevel="0" collapsed="false">
      <c r="A11" s="16" t="n">
        <v>5</v>
      </c>
      <c r="B11" s="8" t="s">
        <v>663</v>
      </c>
      <c r="C11" s="16" t="s">
        <v>654</v>
      </c>
      <c r="D11" s="10" t="s">
        <v>664</v>
      </c>
      <c r="E11" s="23" t="s">
        <v>656</v>
      </c>
      <c r="F11" s="9"/>
      <c r="G11" s="9"/>
    </row>
    <row r="12" customFormat="false" ht="15" hidden="false" customHeight="false" outlineLevel="0" collapsed="false">
      <c r="A12" s="16" t="n">
        <v>6</v>
      </c>
      <c r="B12" s="8" t="s">
        <v>665</v>
      </c>
      <c r="C12" s="16" t="s">
        <v>654</v>
      </c>
      <c r="D12" s="10" t="s">
        <v>666</v>
      </c>
      <c r="E12" s="23" t="s">
        <v>656</v>
      </c>
      <c r="F12" s="9"/>
      <c r="G12" s="9"/>
    </row>
    <row r="13" customFormat="false" ht="15" hidden="false" customHeight="false" outlineLevel="0" collapsed="false">
      <c r="A13" s="16" t="n">
        <v>7</v>
      </c>
      <c r="B13" s="14" t="s">
        <v>667</v>
      </c>
      <c r="C13" s="16" t="s">
        <v>668</v>
      </c>
      <c r="D13" s="10" t="s">
        <v>669</v>
      </c>
      <c r="E13" s="23" t="s">
        <v>656</v>
      </c>
      <c r="F13" s="9"/>
      <c r="G13" s="9"/>
    </row>
    <row r="14" customFormat="false" ht="15" hidden="false" customHeight="false" outlineLevel="0" collapsed="false">
      <c r="A14" s="16" t="n">
        <v>8</v>
      </c>
      <c r="B14" s="8" t="s">
        <v>670</v>
      </c>
      <c r="C14" s="16" t="s">
        <v>654</v>
      </c>
      <c r="D14" s="10" t="s">
        <v>671</v>
      </c>
      <c r="E14" s="23" t="s">
        <v>656</v>
      </c>
      <c r="F14" s="9"/>
      <c r="G14" s="9"/>
    </row>
    <row r="15" customFormat="false" ht="15" hidden="false" customHeight="false" outlineLevel="0" collapsed="false">
      <c r="A15" s="16" t="n">
        <v>9</v>
      </c>
      <c r="B15" s="8" t="s">
        <v>672</v>
      </c>
      <c r="C15" s="16" t="s">
        <v>654</v>
      </c>
      <c r="D15" s="10" t="s">
        <v>673</v>
      </c>
      <c r="E15" s="23" t="s">
        <v>656</v>
      </c>
      <c r="F15" s="9"/>
      <c r="G15" s="9"/>
    </row>
    <row r="16" customFormat="false" ht="15" hidden="false" customHeight="false" outlineLevel="0" collapsed="false">
      <c r="A16" s="16" t="n">
        <v>10</v>
      </c>
      <c r="B16" s="8" t="s">
        <v>674</v>
      </c>
      <c r="C16" s="16" t="s">
        <v>654</v>
      </c>
      <c r="D16" s="10" t="s">
        <v>675</v>
      </c>
      <c r="E16" s="23" t="s">
        <v>656</v>
      </c>
      <c r="F16" s="9"/>
      <c r="G16" s="9"/>
    </row>
    <row r="17" customFormat="false" ht="15" hidden="false" customHeight="false" outlineLevel="0" collapsed="false">
      <c r="A17" s="16" t="n">
        <v>11</v>
      </c>
      <c r="B17" s="14" t="s">
        <v>676</v>
      </c>
      <c r="C17" s="16" t="s">
        <v>668</v>
      </c>
      <c r="D17" s="10" t="s">
        <v>677</v>
      </c>
      <c r="E17" s="23" t="s">
        <v>656</v>
      </c>
      <c r="F17" s="9"/>
      <c r="G17" s="9"/>
    </row>
    <row r="18" customFormat="false" ht="15" hidden="false" customHeight="false" outlineLevel="0" collapsed="false">
      <c r="A18" s="16" t="n">
        <v>12</v>
      </c>
      <c r="B18" s="8" t="s">
        <v>678</v>
      </c>
      <c r="C18" s="16" t="s">
        <v>654</v>
      </c>
      <c r="D18" s="10" t="s">
        <v>679</v>
      </c>
      <c r="E18" s="23" t="s">
        <v>656</v>
      </c>
      <c r="F18" s="9"/>
      <c r="G18" s="9"/>
    </row>
    <row r="19" customFormat="false" ht="15" hidden="false" customHeight="false" outlineLevel="0" collapsed="false">
      <c r="A19" s="16" t="n">
        <v>13</v>
      </c>
      <c r="B19" s="14" t="s">
        <v>680</v>
      </c>
      <c r="C19" s="16" t="s">
        <v>668</v>
      </c>
      <c r="D19" s="10" t="s">
        <v>681</v>
      </c>
      <c r="E19" s="23" t="s">
        <v>656</v>
      </c>
      <c r="F19" s="9"/>
      <c r="G19" s="9"/>
    </row>
    <row r="20" customFormat="false" ht="15" hidden="false" customHeight="false" outlineLevel="0" collapsed="false">
      <c r="A20" s="16" t="n">
        <v>14</v>
      </c>
      <c r="B20" s="14" t="s">
        <v>682</v>
      </c>
      <c r="C20" s="16" t="s">
        <v>668</v>
      </c>
      <c r="D20" s="10" t="s">
        <v>683</v>
      </c>
      <c r="E20" s="23" t="s">
        <v>656</v>
      </c>
      <c r="F20" s="9"/>
      <c r="G20" s="9"/>
    </row>
    <row r="21" customFormat="false" ht="15" hidden="false" customHeight="false" outlineLevel="0" collapsed="false">
      <c r="A21" s="16" t="n">
        <v>15</v>
      </c>
      <c r="B21" s="8" t="s">
        <v>684</v>
      </c>
      <c r="C21" s="16" t="s">
        <v>654</v>
      </c>
      <c r="D21" s="10" t="s">
        <v>685</v>
      </c>
      <c r="E21" s="23" t="s">
        <v>656</v>
      </c>
      <c r="F21" s="9"/>
      <c r="G21" s="9"/>
    </row>
    <row r="22" customFormat="false" ht="15" hidden="false" customHeight="false" outlineLevel="0" collapsed="false">
      <c r="A22" s="16" t="n">
        <v>16</v>
      </c>
      <c r="B22" s="8" t="s">
        <v>686</v>
      </c>
      <c r="C22" s="16" t="s">
        <v>654</v>
      </c>
      <c r="D22" s="10" t="s">
        <v>687</v>
      </c>
      <c r="E22" s="23" t="s">
        <v>656</v>
      </c>
      <c r="F22" s="9"/>
      <c r="G22" s="9"/>
    </row>
    <row r="23" customFormat="false" ht="15" hidden="false" customHeight="false" outlineLevel="0" collapsed="false">
      <c r="A23" s="16" t="n">
        <v>17</v>
      </c>
      <c r="B23" s="8" t="s">
        <v>688</v>
      </c>
      <c r="C23" s="16" t="s">
        <v>654</v>
      </c>
      <c r="D23" s="10" t="s">
        <v>689</v>
      </c>
      <c r="E23" s="23" t="s">
        <v>656</v>
      </c>
      <c r="F23" s="9"/>
      <c r="G23" s="9"/>
    </row>
    <row r="24" customFormat="false" ht="15" hidden="false" customHeight="false" outlineLevel="0" collapsed="false">
      <c r="A24" s="16" t="n">
        <v>18</v>
      </c>
      <c r="B24" s="8" t="s">
        <v>690</v>
      </c>
      <c r="C24" s="16" t="s">
        <v>654</v>
      </c>
      <c r="D24" s="10" t="s">
        <v>691</v>
      </c>
      <c r="E24" s="23" t="s">
        <v>656</v>
      </c>
      <c r="F24" s="9"/>
      <c r="G24" s="9"/>
    </row>
    <row r="25" customFormat="false" ht="15" hidden="false" customHeight="false" outlineLevel="0" collapsed="false">
      <c r="A25" s="16" t="n">
        <v>19</v>
      </c>
      <c r="B25" s="8" t="s">
        <v>692</v>
      </c>
      <c r="C25" s="16" t="s">
        <v>654</v>
      </c>
      <c r="D25" s="10" t="s">
        <v>693</v>
      </c>
      <c r="E25" s="23" t="s">
        <v>656</v>
      </c>
      <c r="F25" s="9"/>
      <c r="G25" s="9"/>
    </row>
    <row r="26" customFormat="false" ht="15" hidden="false" customHeight="false" outlineLevel="0" collapsed="false">
      <c r="A26" s="16" t="n">
        <v>20</v>
      </c>
      <c r="B26" s="8" t="s">
        <v>694</v>
      </c>
      <c r="C26" s="16" t="s">
        <v>654</v>
      </c>
      <c r="D26" s="10" t="s">
        <v>695</v>
      </c>
      <c r="E26" s="23" t="s">
        <v>656</v>
      </c>
      <c r="F26" s="9"/>
      <c r="G26" s="9"/>
    </row>
    <row r="27" customFormat="false" ht="15" hidden="false" customHeight="false" outlineLevel="0" collapsed="false">
      <c r="A27" s="16" t="n">
        <v>21</v>
      </c>
      <c r="B27" s="14" t="s">
        <v>696</v>
      </c>
      <c r="C27" s="16" t="s">
        <v>668</v>
      </c>
      <c r="D27" s="10" t="s">
        <v>697</v>
      </c>
      <c r="E27" s="23" t="s">
        <v>656</v>
      </c>
      <c r="F27" s="9"/>
      <c r="G27" s="9"/>
    </row>
    <row r="28" customFormat="false" ht="15" hidden="false" customHeight="false" outlineLevel="0" collapsed="false">
      <c r="A28" s="16" t="n">
        <v>22</v>
      </c>
      <c r="B28" s="8" t="s">
        <v>698</v>
      </c>
      <c r="C28" s="16" t="s">
        <v>654</v>
      </c>
      <c r="D28" s="10" t="s">
        <v>699</v>
      </c>
      <c r="E28" s="23" t="s">
        <v>656</v>
      </c>
      <c r="F28" s="9"/>
      <c r="G28" s="9"/>
    </row>
  </sheetData>
  <conditionalFormatting sqref="B4">
    <cfRule type="expression" priority="2" aboveAverage="0" equalAverage="0" bottom="0" percent="0" rank="0" text="" dxfId="18">
      <formula>B4="NO VÁLIDA"</formula>
    </cfRule>
    <cfRule type="expression" priority="3" aboveAverage="0" equalAverage="0" bottom="0" percent="0" rank="0" text="" dxfId="20">
      <formula>B4="VÁLIDA"</formula>
    </cfRule>
  </conditionalFormatting>
  <conditionalFormatting sqref="E7:E40">
    <cfRule type="expression" priority="4" aboveAverage="0" equalAverage="0" bottom="0" percent="0" rank="0" text="" dxfId="18">
      <formula>E7="NO CUMPLE"</formula>
    </cfRule>
    <cfRule type="expression" priority="5" aboveAverage="0" equalAverage="0" bottom="0" percent="0" rank="0" text="" dxfId="20">
      <formula>E7="CUMPLE"</formula>
    </cfRule>
  </conditionalFormatting>
  <dataValidations count="1">
    <dataValidation allowBlank="true" error="Valor no permitido. Use la lista desplegable." errorStyle="stop" errorTitle="DCIP 2.3" operator="between" showDropDown="false" showErrorMessage="false" showInputMessage="false" sqref="E7:E40" type="list">
      <formula1>16_LISTAS!$O$4:$O$7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700</v>
      </c>
    </row>
    <row r="2" customFormat="false" ht="15" hidden="false" customHeight="false" outlineLevel="0" collapsed="false">
      <c r="A2" s="2" t="s">
        <v>701</v>
      </c>
    </row>
    <row r="3" customFormat="false" ht="23.85" hidden="false" customHeight="false" outlineLevel="0" collapsed="false">
      <c r="A3" s="7" t="s">
        <v>702</v>
      </c>
      <c r="B3" s="7" t="s">
        <v>703</v>
      </c>
      <c r="C3" s="7" t="s">
        <v>704</v>
      </c>
      <c r="D3" s="7" t="s">
        <v>631</v>
      </c>
      <c r="E3" s="7" t="s">
        <v>551</v>
      </c>
      <c r="F3" s="7" t="s">
        <v>39</v>
      </c>
    </row>
    <row r="4" customFormat="false" ht="15" hidden="false" customHeight="false" outlineLevel="0" collapsed="false">
      <c r="A4" s="8" t="s">
        <v>705</v>
      </c>
      <c r="B4" s="46"/>
      <c r="C4" s="47" t="str">
        <f aca="false">IF(B4="","",B4*01_CONFIG!$B$12)</f>
        <v/>
      </c>
      <c r="D4" s="9"/>
      <c r="E4" s="9"/>
      <c r="F4" s="10" t="s">
        <v>706</v>
      </c>
    </row>
    <row r="5" customFormat="false" ht="15" hidden="false" customHeight="false" outlineLevel="0" collapsed="false">
      <c r="A5" s="8" t="s">
        <v>707</v>
      </c>
      <c r="B5" s="46"/>
      <c r="C5" s="47" t="str">
        <f aca="false">IF(B5="","",B5*01_CONFIG!$B$12)</f>
        <v/>
      </c>
      <c r="D5" s="9"/>
      <c r="E5" s="9"/>
      <c r="F5" s="10" t="s">
        <v>708</v>
      </c>
    </row>
    <row r="6" customFormat="false" ht="15" hidden="false" customHeight="false" outlineLevel="0" collapsed="false">
      <c r="A6" s="8" t="s">
        <v>709</v>
      </c>
      <c r="B6" s="46"/>
      <c r="C6" s="47" t="str">
        <f aca="false">IF(B6="","",B6*01_CONFIG!$B$12)</f>
        <v/>
      </c>
      <c r="D6" s="9"/>
      <c r="E6" s="9"/>
      <c r="F6" s="10" t="s">
        <v>710</v>
      </c>
    </row>
    <row r="7" customFormat="false" ht="15" hidden="false" customHeight="false" outlineLevel="0" collapsed="false">
      <c r="A7" s="8" t="s">
        <v>711</v>
      </c>
      <c r="B7" s="46"/>
      <c r="C7" s="47" t="str">
        <f aca="false">IF(B7="","",B7*01_CONFIG!$B$12)</f>
        <v/>
      </c>
      <c r="D7" s="9"/>
      <c r="E7" s="9"/>
      <c r="F7" s="10" t="s">
        <v>712</v>
      </c>
    </row>
    <row r="8" customFormat="false" ht="15" hidden="false" customHeight="false" outlineLevel="0" collapsed="false">
      <c r="A8" s="8" t="s">
        <v>713</v>
      </c>
      <c r="B8" s="46"/>
      <c r="C8" s="47" t="str">
        <f aca="false">IF(B8="","",B8*01_CONFIG!$B$12)</f>
        <v/>
      </c>
      <c r="D8" s="9"/>
      <c r="E8" s="9"/>
      <c r="F8" s="10" t="s">
        <v>714</v>
      </c>
    </row>
    <row r="9" customFormat="false" ht="15" hidden="false" customHeight="false" outlineLevel="0" collapsed="false">
      <c r="A9" s="8" t="s">
        <v>715</v>
      </c>
      <c r="B9" s="46"/>
      <c r="C9" s="47" t="str">
        <f aca="false">IF(B9="","",B9*01_CONFIG!$B$12)</f>
        <v/>
      </c>
      <c r="D9" s="9"/>
      <c r="E9" s="9"/>
      <c r="F9" s="10" t="s">
        <v>716</v>
      </c>
    </row>
    <row r="10" customFormat="false" ht="15" hidden="false" customHeight="false" outlineLevel="0" collapsed="false">
      <c r="A10" s="8" t="s">
        <v>717</v>
      </c>
      <c r="B10" s="46"/>
      <c r="C10" s="47" t="str">
        <f aca="false">IF(B10="","",B10*01_CONFIG!$B$12)</f>
        <v/>
      </c>
      <c r="D10" s="9"/>
      <c r="E10" s="9"/>
      <c r="F10" s="10" t="s">
        <v>718</v>
      </c>
    </row>
    <row r="11" customFormat="false" ht="15" hidden="false" customHeight="false" outlineLevel="0" collapsed="false">
      <c r="A11" s="8" t="s">
        <v>719</v>
      </c>
      <c r="B11" s="46"/>
      <c r="C11" s="47" t="str">
        <f aca="false">IF(B11="","",B11*01_CONFIG!$B$12)</f>
        <v/>
      </c>
      <c r="D11" s="9"/>
      <c r="E11" s="9"/>
      <c r="F11" s="10"/>
    </row>
    <row r="12" customFormat="false" ht="15" hidden="false" customHeight="false" outlineLevel="0" collapsed="false">
      <c r="A12" s="8" t="s">
        <v>720</v>
      </c>
      <c r="B12" s="46"/>
      <c r="C12" s="47" t="str">
        <f aca="false">IF(B12="","",B12*01_CONFIG!$B$12)</f>
        <v/>
      </c>
      <c r="D12" s="9"/>
      <c r="E12" s="9"/>
      <c r="F12" s="10"/>
    </row>
    <row r="13" customFormat="false" ht="15" hidden="false" customHeight="false" outlineLevel="0" collapsed="false">
      <c r="A13" s="8" t="s">
        <v>721</v>
      </c>
      <c r="B13" s="46"/>
      <c r="C13" s="47" t="str">
        <f aca="false">IF(B13="","",B13*01_CONFIG!$B$12)</f>
        <v/>
      </c>
      <c r="D13" s="9"/>
      <c r="E13" s="9"/>
      <c r="F13" s="10"/>
    </row>
    <row r="14" customFormat="false" ht="15" hidden="false" customHeight="false" outlineLevel="0" collapsed="false">
      <c r="A14" s="8" t="s">
        <v>722</v>
      </c>
      <c r="B14" s="46"/>
      <c r="C14" s="47" t="str">
        <f aca="false">IF(B14="","",B14*01_CONFIG!$B$12)</f>
        <v/>
      </c>
      <c r="D14" s="9"/>
      <c r="E14" s="9"/>
      <c r="F14" s="10" t="s">
        <v>723</v>
      </c>
    </row>
    <row r="15" customFormat="false" ht="15" hidden="false" customHeight="false" outlineLevel="0" collapsed="false">
      <c r="A15" s="8" t="s">
        <v>724</v>
      </c>
      <c r="B15" s="46"/>
      <c r="C15" s="47" t="str">
        <f aca="false">IF(B15="","",B15*01_CONFIG!$B$12)</f>
        <v/>
      </c>
      <c r="D15" s="9"/>
      <c r="E15" s="9"/>
      <c r="F15" s="10" t="s">
        <v>725</v>
      </c>
    </row>
    <row r="16" customFormat="false" ht="15" hidden="false" customHeight="false" outlineLevel="0" collapsed="false">
      <c r="A16" s="8" t="s">
        <v>726</v>
      </c>
      <c r="B16" s="46"/>
      <c r="C16" s="47" t="str">
        <f aca="false">IF(B16="","",B16*01_CONFIG!$B$12)</f>
        <v/>
      </c>
      <c r="D16" s="9"/>
      <c r="E16" s="9"/>
      <c r="F16" s="10"/>
    </row>
    <row r="17" customFormat="false" ht="15" hidden="false" customHeight="false" outlineLevel="0" collapsed="false">
      <c r="A17" s="8" t="s">
        <v>727</v>
      </c>
      <c r="B17" s="46"/>
      <c r="C17" s="47" t="str">
        <f aca="false">IF(B17="","",B17*01_CONFIG!$B$12)</f>
        <v/>
      </c>
      <c r="D17" s="9"/>
      <c r="E17" s="9"/>
      <c r="F17" s="10"/>
    </row>
    <row r="18" customFormat="false" ht="15" hidden="false" customHeight="false" outlineLevel="0" collapsed="false">
      <c r="A18" s="8" t="s">
        <v>728</v>
      </c>
      <c r="B18" s="46"/>
      <c r="C18" s="47" t="str">
        <f aca="false">IF(B18="","",B18*01_CONFIG!$B$12)</f>
        <v/>
      </c>
      <c r="D18" s="9"/>
      <c r="E18" s="9"/>
      <c r="F18" s="10"/>
    </row>
    <row r="19" customFormat="false" ht="15" hidden="false" customHeight="false" outlineLevel="0" collapsed="false">
      <c r="A19" s="8" t="s">
        <v>729</v>
      </c>
      <c r="B19" s="46"/>
      <c r="C19" s="47" t="str">
        <f aca="false">IF(B19="","",B19*01_CONFIG!$B$12)</f>
        <v/>
      </c>
      <c r="D19" s="9"/>
      <c r="E19" s="9"/>
      <c r="F19" s="10"/>
    </row>
    <row r="20" customFormat="false" ht="15" hidden="false" customHeight="false" outlineLevel="0" collapsed="false">
      <c r="A20" s="8" t="s">
        <v>730</v>
      </c>
      <c r="B20" s="46"/>
      <c r="C20" s="47" t="str">
        <f aca="false">IF(B20="","",B20*01_CONFIG!$B$12)</f>
        <v/>
      </c>
      <c r="D20" s="9"/>
      <c r="E20" s="9"/>
      <c r="F20" s="10" t="s">
        <v>731</v>
      </c>
    </row>
    <row r="21" customFormat="false" ht="15" hidden="false" customHeight="false" outlineLevel="0" collapsed="false">
      <c r="A21" s="8" t="s">
        <v>732</v>
      </c>
      <c r="B21" s="46"/>
      <c r="C21" s="47" t="str">
        <f aca="false">IF(B21="","",B21*01_CONFIG!$B$12)</f>
        <v/>
      </c>
      <c r="D21" s="9"/>
      <c r="E21" s="9"/>
      <c r="F21" s="10"/>
    </row>
    <row r="22" customFormat="false" ht="15" hidden="false" customHeight="false" outlineLevel="0" collapsed="false">
      <c r="A22" s="8" t="s">
        <v>733</v>
      </c>
      <c r="B22" s="46"/>
      <c r="C22" s="47" t="str">
        <f aca="false">IF(B22="","",B22*01_CONFIG!$B$12)</f>
        <v/>
      </c>
      <c r="D22" s="9"/>
      <c r="E22" s="9"/>
      <c r="F22" s="10" t="s">
        <v>734</v>
      </c>
    </row>
    <row r="23" customFormat="false" ht="15" hidden="false" customHeight="false" outlineLevel="0" collapsed="false">
      <c r="A23" s="8" t="s">
        <v>735</v>
      </c>
      <c r="B23" s="46"/>
      <c r="C23" s="47" t="str">
        <f aca="false">IF(B23="","",B23*01_CONFIG!$B$12)</f>
        <v/>
      </c>
      <c r="D23" s="9"/>
      <c r="E23" s="9"/>
      <c r="F23" s="10" t="s">
        <v>736</v>
      </c>
    </row>
    <row r="24" customFormat="false" ht="15" hidden="false" customHeight="false" outlineLevel="0" collapsed="false">
      <c r="A24" s="8" t="s">
        <v>737</v>
      </c>
      <c r="B24" s="46"/>
      <c r="C24" s="48" t="n">
        <f aca="false">B24</f>
        <v>0</v>
      </c>
      <c r="D24" s="9"/>
      <c r="E24" s="9"/>
      <c r="F24" s="10" t="s">
        <v>738</v>
      </c>
    </row>
    <row r="25" customFormat="false" ht="15" hidden="false" customHeight="false" outlineLevel="0" collapsed="false">
      <c r="A25" s="8" t="s">
        <v>739</v>
      </c>
      <c r="B25" s="46"/>
      <c r="C25" s="47" t="str">
        <f aca="false">IF(B25="","",B25*01_CONFIG!$B$12)</f>
        <v/>
      </c>
      <c r="D25" s="9"/>
      <c r="E25" s="9"/>
      <c r="F25" s="10"/>
    </row>
    <row r="27" customFormat="false" ht="15" hidden="false" customHeight="true" outlineLevel="0" collapsed="false">
      <c r="A27" s="36" t="s">
        <v>740</v>
      </c>
      <c r="B27" s="36"/>
      <c r="C27" s="36"/>
      <c r="D27" s="36"/>
      <c r="E27" s="36"/>
      <c r="F27" s="36"/>
    </row>
    <row r="28" customFormat="false" ht="15" hidden="false" customHeight="false" outlineLevel="0" collapsed="false">
      <c r="A28" s="7" t="s">
        <v>741</v>
      </c>
      <c r="B28" s="7" t="s">
        <v>38</v>
      </c>
      <c r="C28" s="7" t="s">
        <v>86</v>
      </c>
      <c r="D28" s="7"/>
      <c r="E28" s="7"/>
      <c r="F28" s="7" t="s">
        <v>89</v>
      </c>
    </row>
    <row r="29" customFormat="false" ht="15" hidden="false" customHeight="false" outlineLevel="0" collapsed="false">
      <c r="A29" s="8" t="s">
        <v>742</v>
      </c>
      <c r="B29" s="49" t="str">
        <f aca="false">IF(OR(B4="",B9=""),"",B9/B4)</f>
        <v/>
      </c>
      <c r="C29" s="16" t="s">
        <v>99</v>
      </c>
      <c r="F29" s="10" t="s">
        <v>743</v>
      </c>
    </row>
    <row r="30" customFormat="false" ht="15" hidden="false" customHeight="false" outlineLevel="0" collapsed="false">
      <c r="A30" s="8" t="s">
        <v>744</v>
      </c>
      <c r="B30" s="49" t="str">
        <f aca="false">IF(OR(B10="",B12="",B10=0),"",B12/B10)</f>
        <v/>
      </c>
      <c r="C30" s="16" t="s">
        <v>125</v>
      </c>
      <c r="F30" s="10" t="s">
        <v>745</v>
      </c>
    </row>
    <row r="31" customFormat="false" ht="15" hidden="false" customHeight="false" outlineLevel="0" collapsed="false">
      <c r="A31" s="8" t="s">
        <v>746</v>
      </c>
      <c r="B31" s="32" t="str">
        <f aca="false">IF(OR(B18="",B19="",B19=0),"",B18/B19)</f>
        <v/>
      </c>
      <c r="C31" s="16" t="s">
        <v>130</v>
      </c>
      <c r="F31" s="10" t="s">
        <v>747</v>
      </c>
    </row>
    <row r="32" customFormat="false" ht="15" hidden="false" customHeight="false" outlineLevel="0" collapsed="false">
      <c r="A32" s="8" t="s">
        <v>748</v>
      </c>
      <c r="B32" s="50" t="str">
        <f aca="false">IF(OR(B14="",B13=""),"",B14-B13)</f>
        <v/>
      </c>
      <c r="C32" s="16" t="s">
        <v>148</v>
      </c>
      <c r="F32" s="10" t="s">
        <v>749</v>
      </c>
    </row>
    <row r="33" customFormat="false" ht="15" hidden="false" customHeight="false" outlineLevel="0" collapsed="false">
      <c r="A33" s="8" t="s">
        <v>750</v>
      </c>
      <c r="B33" s="51" t="str">
        <f aca="false">IF(OR(B32="",B10="",B10&lt;=0),"",B32/B10)</f>
        <v/>
      </c>
      <c r="C33" s="16" t="s">
        <v>148</v>
      </c>
      <c r="F33" s="10" t="s">
        <v>751</v>
      </c>
    </row>
    <row r="34" customFormat="false" ht="15" hidden="false" customHeight="false" outlineLevel="0" collapsed="false">
      <c r="A34" s="8" t="s">
        <v>752</v>
      </c>
      <c r="B34" s="49" t="str">
        <f aca="false">IF(OR(B16="",B17="",B17=0),"",B16/B17)</f>
        <v/>
      </c>
      <c r="C34" s="16" t="s">
        <v>160</v>
      </c>
      <c r="F34" s="10"/>
    </row>
    <row r="35" customFormat="false" ht="15" hidden="false" customHeight="false" outlineLevel="0" collapsed="false">
      <c r="A35" s="8" t="s">
        <v>753</v>
      </c>
      <c r="B35" s="49" t="str">
        <f aca="false">IF(OR(B22="",B4=""),"",B22/B4)</f>
        <v/>
      </c>
      <c r="C35" s="16" t="s">
        <v>170</v>
      </c>
      <c r="F35" s="10" t="s">
        <v>754</v>
      </c>
    </row>
    <row r="36" customFormat="false" ht="15" hidden="false" customHeight="false" outlineLevel="0" collapsed="false">
      <c r="A36" s="8" t="s">
        <v>755</v>
      </c>
      <c r="B36" s="32" t="str">
        <f aca="false">IF(OR(B8="",B4=""),"",B8/B4)</f>
        <v/>
      </c>
      <c r="C36" s="16" t="s">
        <v>181</v>
      </c>
      <c r="F36" s="10"/>
    </row>
    <row r="37" customFormat="false" ht="15" hidden="false" customHeight="false" outlineLevel="0" collapsed="false">
      <c r="A37" s="8" t="s">
        <v>756</v>
      </c>
      <c r="B37" s="32" t="str">
        <f aca="false">IF(OR(B6="",B4=""),"",B6/B4)</f>
        <v/>
      </c>
      <c r="C37" s="16" t="s">
        <v>181</v>
      </c>
      <c r="F37" s="10" t="s">
        <v>757</v>
      </c>
    </row>
    <row r="38" customFormat="false" ht="15" hidden="false" customHeight="false" outlineLevel="0" collapsed="false">
      <c r="A38" s="8" t="s">
        <v>758</v>
      </c>
      <c r="B38" s="51" t="str">
        <f aca="false">IF(OR(B20="",B21="",B21=0),"",B20/B21)</f>
        <v/>
      </c>
      <c r="C38" s="16" t="s">
        <v>197</v>
      </c>
      <c r="F38" s="10"/>
    </row>
    <row r="39" customFormat="false" ht="15" hidden="false" customHeight="false" outlineLevel="0" collapsed="false">
      <c r="A39" s="8" t="s">
        <v>759</v>
      </c>
      <c r="B39" s="49" t="str">
        <f aca="false">IF(OR(B23="",B4=""),"",B23/B4)</f>
        <v/>
      </c>
      <c r="C39" s="16" t="s">
        <v>204</v>
      </c>
      <c r="F39" s="10"/>
    </row>
    <row r="40" customFormat="false" ht="15" hidden="false" customHeight="false" outlineLevel="0" collapsed="false">
      <c r="A40" s="8" t="s">
        <v>760</v>
      </c>
      <c r="B40" s="49" t="str">
        <f aca="false">IF(OR(B5="",B4=""),"",B5/B4)</f>
        <v/>
      </c>
      <c r="C40" s="16" t="s">
        <v>761</v>
      </c>
      <c r="F40" s="10" t="s">
        <v>762</v>
      </c>
    </row>
    <row r="41" customFormat="false" ht="15" hidden="false" customHeight="false" outlineLevel="0" collapsed="false">
      <c r="A41" s="8" t="s">
        <v>763</v>
      </c>
      <c r="B41" s="49" t="str">
        <f aca="false">IF(OR(B25="",B5="",B5=0),"",B25/B5)</f>
        <v/>
      </c>
      <c r="C41" s="16" t="s">
        <v>392</v>
      </c>
      <c r="F41" s="10"/>
    </row>
    <row r="42" customFormat="false" ht="15" hidden="false" customHeight="false" outlineLevel="0" collapsed="false">
      <c r="A42" s="8" t="s">
        <v>764</v>
      </c>
      <c r="B42" s="52" t="str">
        <f aca="false">IF(OR(B4="",B24="",B24=0),"",B4*1000/B24)</f>
        <v/>
      </c>
      <c r="C42" s="16" t="s">
        <v>252</v>
      </c>
      <c r="F42" s="10" t="s">
        <v>765</v>
      </c>
    </row>
    <row r="44" customFormat="false" ht="15" hidden="false" customHeight="true" outlineLevel="0" collapsed="false">
      <c r="A44" s="36" t="s">
        <v>766</v>
      </c>
      <c r="B44" s="36"/>
      <c r="C44" s="36"/>
      <c r="D44" s="36"/>
      <c r="E44" s="36"/>
      <c r="F44" s="36"/>
    </row>
    <row r="45" customFormat="false" ht="15" hidden="false" customHeight="false" outlineLevel="0" collapsed="false">
      <c r="A45" s="7" t="s">
        <v>37</v>
      </c>
      <c r="B45" s="7" t="s">
        <v>767</v>
      </c>
      <c r="C45" s="7"/>
      <c r="D45" s="7"/>
      <c r="E45" s="7"/>
      <c r="F45" s="7" t="s">
        <v>768</v>
      </c>
    </row>
    <row r="46" customFormat="false" ht="48" hidden="false" customHeight="true" outlineLevel="0" collapsed="false">
      <c r="A46" s="8" t="s">
        <v>769</v>
      </c>
      <c r="B46" s="53"/>
      <c r="C46" s="53"/>
      <c r="D46" s="53"/>
      <c r="E46" s="53"/>
      <c r="F46" s="9"/>
    </row>
    <row r="47" customFormat="false" ht="48" hidden="false" customHeight="true" outlineLevel="0" collapsed="false">
      <c r="A47" s="8" t="s">
        <v>770</v>
      </c>
      <c r="B47" s="53"/>
      <c r="C47" s="53"/>
      <c r="D47" s="53"/>
      <c r="E47" s="53"/>
      <c r="F47" s="9"/>
    </row>
    <row r="48" customFormat="false" ht="48" hidden="false" customHeight="true" outlineLevel="0" collapsed="false">
      <c r="A48" s="8" t="s">
        <v>771</v>
      </c>
      <c r="B48" s="53"/>
      <c r="C48" s="53"/>
      <c r="D48" s="53"/>
      <c r="E48" s="53"/>
      <c r="F48" s="9"/>
    </row>
    <row r="49" customFormat="false" ht="48" hidden="false" customHeight="true" outlineLevel="0" collapsed="false">
      <c r="A49" s="8" t="s">
        <v>772</v>
      </c>
      <c r="B49" s="53"/>
      <c r="C49" s="53"/>
      <c r="D49" s="53"/>
      <c r="E49" s="53"/>
      <c r="F49" s="9"/>
    </row>
    <row r="50" customFormat="false" ht="48" hidden="false" customHeight="true" outlineLevel="0" collapsed="false">
      <c r="A50" s="8" t="s">
        <v>773</v>
      </c>
      <c r="B50" s="53"/>
      <c r="C50" s="53"/>
      <c r="D50" s="53"/>
      <c r="E50" s="53"/>
      <c r="F50" s="9"/>
    </row>
    <row r="51" customFormat="false" ht="48" hidden="false" customHeight="true" outlineLevel="0" collapsed="false">
      <c r="A51" s="8" t="s">
        <v>774</v>
      </c>
      <c r="B51" s="53"/>
      <c r="C51" s="53"/>
      <c r="D51" s="53"/>
      <c r="E51" s="53"/>
      <c r="F51" s="9"/>
    </row>
    <row r="52" customFormat="false" ht="48" hidden="false" customHeight="true" outlineLevel="0" collapsed="false">
      <c r="A52" s="8" t="s">
        <v>775</v>
      </c>
      <c r="B52" s="53"/>
      <c r="C52" s="53"/>
      <c r="D52" s="53"/>
      <c r="E52" s="53"/>
      <c r="F52" s="9"/>
    </row>
    <row r="53" customFormat="false" ht="48" hidden="false" customHeight="true" outlineLevel="0" collapsed="false">
      <c r="A53" s="8" t="s">
        <v>776</v>
      </c>
      <c r="B53" s="53"/>
      <c r="C53" s="53"/>
      <c r="D53" s="53"/>
      <c r="E53" s="53"/>
      <c r="F53" s="9"/>
    </row>
    <row r="54" customFormat="false" ht="48" hidden="false" customHeight="true" outlineLevel="0" collapsed="false">
      <c r="A54" s="8" t="s">
        <v>777</v>
      </c>
      <c r="B54" s="53"/>
      <c r="C54" s="53"/>
      <c r="D54" s="53"/>
      <c r="E54" s="53"/>
      <c r="F54" s="9"/>
    </row>
    <row r="55" customFormat="false" ht="48" hidden="false" customHeight="true" outlineLevel="0" collapsed="false">
      <c r="A55" s="8" t="s">
        <v>778</v>
      </c>
      <c r="B55" s="53"/>
      <c r="C55" s="53"/>
      <c r="D55" s="53"/>
      <c r="E55" s="53"/>
      <c r="F55" s="9"/>
    </row>
    <row r="56" customFormat="false" ht="48" hidden="false" customHeight="true" outlineLevel="0" collapsed="false">
      <c r="A56" s="8" t="s">
        <v>779</v>
      </c>
      <c r="B56" s="53"/>
      <c r="C56" s="53"/>
      <c r="D56" s="53"/>
      <c r="E56" s="53"/>
      <c r="F56" s="9"/>
    </row>
    <row r="57" customFormat="false" ht="48" hidden="false" customHeight="true" outlineLevel="0" collapsed="false">
      <c r="A57" s="8" t="s">
        <v>780</v>
      </c>
      <c r="B57" s="53"/>
      <c r="C57" s="53"/>
      <c r="D57" s="53"/>
      <c r="E57" s="53"/>
      <c r="F57" s="9"/>
    </row>
    <row r="58" customFormat="false" ht="48" hidden="false" customHeight="true" outlineLevel="0" collapsed="false">
      <c r="A58" s="8" t="s">
        <v>781</v>
      </c>
      <c r="B58" s="53"/>
      <c r="C58" s="53"/>
      <c r="D58" s="53"/>
      <c r="E58" s="53"/>
      <c r="F58" s="9"/>
    </row>
    <row r="59" customFormat="false" ht="48" hidden="false" customHeight="true" outlineLevel="0" collapsed="false">
      <c r="A59" s="8" t="s">
        <v>782</v>
      </c>
      <c r="B59" s="53"/>
      <c r="C59" s="53"/>
      <c r="D59" s="53"/>
      <c r="E59" s="53"/>
      <c r="F59" s="9"/>
    </row>
    <row r="60" customFormat="false" ht="48" hidden="false" customHeight="true" outlineLevel="0" collapsed="false">
      <c r="A60" s="8" t="s">
        <v>783</v>
      </c>
      <c r="B60" s="53"/>
      <c r="C60" s="53"/>
      <c r="D60" s="53"/>
      <c r="E60" s="53"/>
      <c r="F60" s="9"/>
    </row>
    <row r="61" customFormat="false" ht="48" hidden="false" customHeight="true" outlineLevel="0" collapsed="false">
      <c r="A61" s="8" t="s">
        <v>784</v>
      </c>
      <c r="B61" s="53"/>
      <c r="C61" s="53"/>
      <c r="D61" s="53"/>
      <c r="E61" s="53"/>
      <c r="F61" s="9"/>
    </row>
    <row r="62" customFormat="false" ht="48" hidden="false" customHeight="true" outlineLevel="0" collapsed="false">
      <c r="A62" s="8" t="s">
        <v>785</v>
      </c>
      <c r="B62" s="53"/>
      <c r="C62" s="53"/>
      <c r="D62" s="53"/>
      <c r="E62" s="53"/>
      <c r="F62" s="9"/>
    </row>
    <row r="63" customFormat="false" ht="48" hidden="false" customHeight="true" outlineLevel="0" collapsed="false">
      <c r="A63" s="8" t="s">
        <v>786</v>
      </c>
      <c r="B63" s="53"/>
      <c r="C63" s="53"/>
      <c r="D63" s="53"/>
      <c r="E63" s="53"/>
      <c r="F63" s="9"/>
    </row>
    <row r="64" customFormat="false" ht="48" hidden="false" customHeight="true" outlineLevel="0" collapsed="false">
      <c r="A64" s="8" t="s">
        <v>592</v>
      </c>
      <c r="B64" s="53"/>
      <c r="C64" s="53"/>
      <c r="D64" s="53"/>
      <c r="E64" s="53"/>
      <c r="F64" s="9"/>
    </row>
    <row r="65" customFormat="false" ht="48" hidden="false" customHeight="true" outlineLevel="0" collapsed="false">
      <c r="A65" s="8" t="s">
        <v>594</v>
      </c>
      <c r="B65" s="53"/>
      <c r="C65" s="53"/>
      <c r="D65" s="53"/>
      <c r="E65" s="53"/>
      <c r="F65" s="9"/>
    </row>
    <row r="66" customFormat="false" ht="48" hidden="false" customHeight="true" outlineLevel="0" collapsed="false">
      <c r="A66" s="8" t="s">
        <v>787</v>
      </c>
      <c r="B66" s="53"/>
      <c r="C66" s="53"/>
      <c r="D66" s="53"/>
      <c r="E66" s="53"/>
      <c r="F66" s="9"/>
    </row>
  </sheetData>
  <mergeCells count="23">
    <mergeCell ref="A27:F27"/>
    <mergeCell ref="A44:F44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</mergeCells>
  <dataValidations count="2">
    <dataValidation allowBlank="true" error="Valor no permitido. Use la lista desplegable." errorStyle="stop" errorTitle="DCIP 2.3" operator="between" showDropDown="false" showErrorMessage="false" showInputMessage="false" sqref="E4:E25" type="list">
      <formula1>16_LISTAS!$K$4:$K$8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F46:F66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30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84</v>
      </c>
      <c r="B1" s="7" t="s">
        <v>788</v>
      </c>
      <c r="C1" s="7" t="s">
        <v>789</v>
      </c>
      <c r="D1" s="7" t="s">
        <v>790</v>
      </c>
      <c r="E1" s="7" t="s">
        <v>791</v>
      </c>
      <c r="F1" s="7" t="s">
        <v>792</v>
      </c>
      <c r="G1" s="7" t="s">
        <v>793</v>
      </c>
      <c r="H1" s="7" t="s">
        <v>91</v>
      </c>
      <c r="I1" s="7" t="s">
        <v>631</v>
      </c>
      <c r="J1" s="7" t="s">
        <v>551</v>
      </c>
      <c r="K1" s="7" t="s">
        <v>561</v>
      </c>
    </row>
    <row r="2" customFormat="false" ht="15" hidden="false" customHeight="false" outlineLevel="0" collapsed="false">
      <c r="A2" s="9"/>
      <c r="B2" s="9"/>
      <c r="C2" s="9"/>
      <c r="D2" s="9"/>
      <c r="E2" s="31" t="str">
        <f aca="false">IF(OR(C2="",D2=""),"",INDEX({"BAJA","MEDIA","ALTA","CRÍTICA"},IF(MATCH(C2,16_LISTAS!$M$4:$M$6,0)*MATCH(D2,16_LISTAS!$M$4:$M$6,0)&gt;=6,4,IF(MATCH(C2,16_LISTAS!$M$4:$M$6,0)*MATCH(D2,16_LISTAS!$M$4:$M$6,0)&gt;=3,3,IF(MATCH(C2,16_LISTAS!$M$4:$M$6,0)*MATCH(D2,16_LISTAS!$M$4:$M$6,0)&gt;=2,2,1)))))</f>
        <v/>
      </c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9"/>
      <c r="B3" s="9"/>
      <c r="C3" s="9"/>
      <c r="D3" s="9"/>
      <c r="E3" s="31" t="str">
        <f aca="false">IF(OR(C3="",D3=""),"",INDEX({"BAJA","MEDIA","ALTA","CRÍTICA"},IF(MATCH(C3,16_LISTAS!$M$4:$M$6,0)*MATCH(D3,16_LISTAS!$M$4:$M$6,0)&gt;=6,4,IF(MATCH(C3,16_LISTAS!$M$4:$M$6,0)*MATCH(D3,16_LISTAS!$M$4:$M$6,0)&gt;=3,3,IF(MATCH(C3,16_LISTAS!$M$4:$M$6,0)*MATCH(D3,16_LISTAS!$M$4:$M$6,0)&gt;=2,2,1)))))</f>
        <v/>
      </c>
      <c r="F3" s="9"/>
      <c r="G3" s="9"/>
      <c r="H3" s="9"/>
      <c r="I3" s="9"/>
      <c r="J3" s="9"/>
      <c r="K3" s="9"/>
    </row>
    <row r="4" customFormat="false" ht="15" hidden="false" customHeight="false" outlineLevel="0" collapsed="false">
      <c r="A4" s="9"/>
      <c r="B4" s="9"/>
      <c r="C4" s="9"/>
      <c r="D4" s="9"/>
      <c r="E4" s="31" t="str">
        <f aca="false">IF(OR(C4="",D4=""),"",INDEX({"BAJA","MEDIA","ALTA","CRÍTICA"},IF(MATCH(C4,16_LISTAS!$M$4:$M$6,0)*MATCH(D4,16_LISTAS!$M$4:$M$6,0)&gt;=6,4,IF(MATCH(C4,16_LISTAS!$M$4:$M$6,0)*MATCH(D4,16_LISTAS!$M$4:$M$6,0)&gt;=3,3,IF(MATCH(C4,16_LISTAS!$M$4:$M$6,0)*MATCH(D4,16_LISTAS!$M$4:$M$6,0)&gt;=2,2,1)))))</f>
        <v/>
      </c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31" t="str">
        <f aca="false">IF(OR(C5="",D5=""),"",INDEX({"BAJA","MEDIA","ALTA","CRÍTICA"},IF(MATCH(C5,16_LISTAS!$M$4:$M$6,0)*MATCH(D5,16_LISTAS!$M$4:$M$6,0)&gt;=6,4,IF(MATCH(C5,16_LISTAS!$M$4:$M$6,0)*MATCH(D5,16_LISTAS!$M$4:$M$6,0)&gt;=3,3,IF(MATCH(C5,16_LISTAS!$M$4:$M$6,0)*MATCH(D5,16_LISTAS!$M$4:$M$6,0)&gt;=2,2,1)))))</f>
        <v/>
      </c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31" t="str">
        <f aca="false">IF(OR(C6="",D6=""),"",INDEX({"BAJA","MEDIA","ALTA","CRÍTICA"},IF(MATCH(C6,16_LISTAS!$M$4:$M$6,0)*MATCH(D6,16_LISTAS!$M$4:$M$6,0)&gt;=6,4,IF(MATCH(C6,16_LISTAS!$M$4:$M$6,0)*MATCH(D6,16_LISTAS!$M$4:$M$6,0)&gt;=3,3,IF(MATCH(C6,16_LISTAS!$M$4:$M$6,0)*MATCH(D6,16_LISTAS!$M$4:$M$6,0)&gt;=2,2,1)))))</f>
        <v/>
      </c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31" t="str">
        <f aca="false">IF(OR(C7="",D7=""),"",INDEX({"BAJA","MEDIA","ALTA","CRÍTICA"},IF(MATCH(C7,16_LISTAS!$M$4:$M$6,0)*MATCH(D7,16_LISTAS!$M$4:$M$6,0)&gt;=6,4,IF(MATCH(C7,16_LISTAS!$M$4:$M$6,0)*MATCH(D7,16_LISTAS!$M$4:$M$6,0)&gt;=3,3,IF(MATCH(C7,16_LISTAS!$M$4:$M$6,0)*MATCH(D7,16_LISTAS!$M$4:$M$6,0)&gt;=2,2,1)))))</f>
        <v/>
      </c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31" t="str">
        <f aca="false">IF(OR(C8="",D8=""),"",INDEX({"BAJA","MEDIA","ALTA","CRÍTICA"},IF(MATCH(C8,16_LISTAS!$M$4:$M$6,0)*MATCH(D8,16_LISTAS!$M$4:$M$6,0)&gt;=6,4,IF(MATCH(C8,16_LISTAS!$M$4:$M$6,0)*MATCH(D8,16_LISTAS!$M$4:$M$6,0)&gt;=3,3,IF(MATCH(C8,16_LISTAS!$M$4:$M$6,0)*MATCH(D8,16_LISTAS!$M$4:$M$6,0)&gt;=2,2,1)))))</f>
        <v/>
      </c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31" t="str">
        <f aca="false">IF(OR(C9="",D9=""),"",INDEX({"BAJA","MEDIA","ALTA","CRÍTICA"},IF(MATCH(C9,16_LISTAS!$M$4:$M$6,0)*MATCH(D9,16_LISTAS!$M$4:$M$6,0)&gt;=6,4,IF(MATCH(C9,16_LISTAS!$M$4:$M$6,0)*MATCH(D9,16_LISTAS!$M$4:$M$6,0)&gt;=3,3,IF(MATCH(C9,16_LISTAS!$M$4:$M$6,0)*MATCH(D9,16_LISTAS!$M$4:$M$6,0)&gt;=2,2,1)))))</f>
        <v/>
      </c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31" t="str">
        <f aca="false">IF(OR(C10="",D10=""),"",INDEX({"BAJA","MEDIA","ALTA","CRÍTICA"},IF(MATCH(C10,16_LISTAS!$M$4:$M$6,0)*MATCH(D10,16_LISTAS!$M$4:$M$6,0)&gt;=6,4,IF(MATCH(C10,16_LISTAS!$M$4:$M$6,0)*MATCH(D10,16_LISTAS!$M$4:$M$6,0)&gt;=3,3,IF(MATCH(C10,16_LISTAS!$M$4:$M$6,0)*MATCH(D10,16_LISTAS!$M$4:$M$6,0)&gt;=2,2,1)))))</f>
        <v/>
      </c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31" t="str">
        <f aca="false">IF(OR(C11="",D11=""),"",INDEX({"BAJA","MEDIA","ALTA","CRÍTICA"},IF(MATCH(C11,16_LISTAS!$M$4:$M$6,0)*MATCH(D11,16_LISTAS!$M$4:$M$6,0)&gt;=6,4,IF(MATCH(C11,16_LISTAS!$M$4:$M$6,0)*MATCH(D11,16_LISTAS!$M$4:$M$6,0)&gt;=3,3,IF(MATCH(C11,16_LISTAS!$M$4:$M$6,0)*MATCH(D11,16_LISTAS!$M$4:$M$6,0)&gt;=2,2,1)))))</f>
        <v/>
      </c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31" t="str">
        <f aca="false">IF(OR(C12="",D12=""),"",INDEX({"BAJA","MEDIA","ALTA","CRÍTICA"},IF(MATCH(C12,16_LISTAS!$M$4:$M$6,0)*MATCH(D12,16_LISTAS!$M$4:$M$6,0)&gt;=6,4,IF(MATCH(C12,16_LISTAS!$M$4:$M$6,0)*MATCH(D12,16_LISTAS!$M$4:$M$6,0)&gt;=3,3,IF(MATCH(C12,16_LISTAS!$M$4:$M$6,0)*MATCH(D12,16_LISTAS!$M$4:$M$6,0)&gt;=2,2,1)))))</f>
        <v/>
      </c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31" t="str">
        <f aca="false">IF(OR(C13="",D13=""),"",INDEX({"BAJA","MEDIA","ALTA","CRÍTICA"},IF(MATCH(C13,16_LISTAS!$M$4:$M$6,0)*MATCH(D13,16_LISTAS!$M$4:$M$6,0)&gt;=6,4,IF(MATCH(C13,16_LISTAS!$M$4:$M$6,0)*MATCH(D13,16_LISTAS!$M$4:$M$6,0)&gt;=3,3,IF(MATCH(C13,16_LISTAS!$M$4:$M$6,0)*MATCH(D13,16_LISTAS!$M$4:$M$6,0)&gt;=2,2,1)))))</f>
        <v/>
      </c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31" t="str">
        <f aca="false">IF(OR(C14="",D14=""),"",INDEX({"BAJA","MEDIA","ALTA","CRÍTICA"},IF(MATCH(C14,16_LISTAS!$M$4:$M$6,0)*MATCH(D14,16_LISTAS!$M$4:$M$6,0)&gt;=6,4,IF(MATCH(C14,16_LISTAS!$M$4:$M$6,0)*MATCH(D14,16_LISTAS!$M$4:$M$6,0)&gt;=3,3,IF(MATCH(C14,16_LISTAS!$M$4:$M$6,0)*MATCH(D14,16_LISTAS!$M$4:$M$6,0)&gt;=2,2,1)))))</f>
        <v/>
      </c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31" t="str">
        <f aca="false">IF(OR(C15="",D15=""),"",INDEX({"BAJA","MEDIA","ALTA","CRÍTICA"},IF(MATCH(C15,16_LISTAS!$M$4:$M$6,0)*MATCH(D15,16_LISTAS!$M$4:$M$6,0)&gt;=6,4,IF(MATCH(C15,16_LISTAS!$M$4:$M$6,0)*MATCH(D15,16_LISTAS!$M$4:$M$6,0)&gt;=3,3,IF(MATCH(C15,16_LISTAS!$M$4:$M$6,0)*MATCH(D15,16_LISTAS!$M$4:$M$6,0)&gt;=2,2,1)))))</f>
        <v/>
      </c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31" t="str">
        <f aca="false">IF(OR(C16="",D16=""),"",INDEX({"BAJA","MEDIA","ALTA","CRÍTICA"},IF(MATCH(C16,16_LISTAS!$M$4:$M$6,0)*MATCH(D16,16_LISTAS!$M$4:$M$6,0)&gt;=6,4,IF(MATCH(C16,16_LISTAS!$M$4:$M$6,0)*MATCH(D16,16_LISTAS!$M$4:$M$6,0)&gt;=3,3,IF(MATCH(C16,16_LISTAS!$M$4:$M$6,0)*MATCH(D16,16_LISTAS!$M$4:$M$6,0)&gt;=2,2,1)))))</f>
        <v/>
      </c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31" t="str">
        <f aca="false">IF(OR(C17="",D17=""),"",INDEX({"BAJA","MEDIA","ALTA","CRÍTICA"},IF(MATCH(C17,16_LISTAS!$M$4:$M$6,0)*MATCH(D17,16_LISTAS!$M$4:$M$6,0)&gt;=6,4,IF(MATCH(C17,16_LISTAS!$M$4:$M$6,0)*MATCH(D17,16_LISTAS!$M$4:$M$6,0)&gt;=3,3,IF(MATCH(C17,16_LISTAS!$M$4:$M$6,0)*MATCH(D17,16_LISTAS!$M$4:$M$6,0)&gt;=2,2,1)))))</f>
        <v/>
      </c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31" t="str">
        <f aca="false">IF(OR(C18="",D18=""),"",INDEX({"BAJA","MEDIA","ALTA","CRÍTICA"},IF(MATCH(C18,16_LISTAS!$M$4:$M$6,0)*MATCH(D18,16_LISTAS!$M$4:$M$6,0)&gt;=6,4,IF(MATCH(C18,16_LISTAS!$M$4:$M$6,0)*MATCH(D18,16_LISTAS!$M$4:$M$6,0)&gt;=3,3,IF(MATCH(C18,16_LISTAS!$M$4:$M$6,0)*MATCH(D18,16_LISTAS!$M$4:$M$6,0)&gt;=2,2,1)))))</f>
        <v/>
      </c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31" t="str">
        <f aca="false">IF(OR(C19="",D19=""),"",INDEX({"BAJA","MEDIA","ALTA","CRÍTICA"},IF(MATCH(C19,16_LISTAS!$M$4:$M$6,0)*MATCH(D19,16_LISTAS!$M$4:$M$6,0)&gt;=6,4,IF(MATCH(C19,16_LISTAS!$M$4:$M$6,0)*MATCH(D19,16_LISTAS!$M$4:$M$6,0)&gt;=3,3,IF(MATCH(C19,16_LISTAS!$M$4:$M$6,0)*MATCH(D19,16_LISTAS!$M$4:$M$6,0)&gt;=2,2,1)))))</f>
        <v/>
      </c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31" t="str">
        <f aca="false">IF(OR(C20="",D20=""),"",INDEX({"BAJA","MEDIA","ALTA","CRÍTICA"},IF(MATCH(C20,16_LISTAS!$M$4:$M$6,0)*MATCH(D20,16_LISTAS!$M$4:$M$6,0)&gt;=6,4,IF(MATCH(C20,16_LISTAS!$M$4:$M$6,0)*MATCH(D20,16_LISTAS!$M$4:$M$6,0)&gt;=3,3,IF(MATCH(C20,16_LISTAS!$M$4:$M$6,0)*MATCH(D20,16_LISTAS!$M$4:$M$6,0)&gt;=2,2,1)))))</f>
        <v/>
      </c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31" t="str">
        <f aca="false">IF(OR(C21="",D21=""),"",INDEX({"BAJA","MEDIA","ALTA","CRÍTICA"},IF(MATCH(C21,16_LISTAS!$M$4:$M$6,0)*MATCH(D21,16_LISTAS!$M$4:$M$6,0)&gt;=6,4,IF(MATCH(C21,16_LISTAS!$M$4:$M$6,0)*MATCH(D21,16_LISTAS!$M$4:$M$6,0)&gt;=3,3,IF(MATCH(C21,16_LISTAS!$M$4:$M$6,0)*MATCH(D21,16_LISTAS!$M$4:$M$6,0)&gt;=2,2,1)))))</f>
        <v/>
      </c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9"/>
      <c r="B22" s="9"/>
      <c r="C22" s="9"/>
      <c r="D22" s="9"/>
      <c r="E22" s="31" t="str">
        <f aca="false">IF(OR(C22="",D22=""),"",INDEX({"BAJA","MEDIA","ALTA","CRÍTICA"},IF(MATCH(C22,16_LISTAS!$M$4:$M$6,0)*MATCH(D22,16_LISTAS!$M$4:$M$6,0)&gt;=6,4,IF(MATCH(C22,16_LISTAS!$M$4:$M$6,0)*MATCH(D22,16_LISTAS!$M$4:$M$6,0)&gt;=3,3,IF(MATCH(C22,16_LISTAS!$M$4:$M$6,0)*MATCH(D22,16_LISTAS!$M$4:$M$6,0)&gt;=2,2,1)))))</f>
        <v/>
      </c>
      <c r="F22" s="9"/>
      <c r="G22" s="9"/>
      <c r="H22" s="9"/>
      <c r="I22" s="9"/>
      <c r="J22" s="9"/>
      <c r="K22" s="9"/>
    </row>
    <row r="23" customFormat="false" ht="15" hidden="false" customHeight="false" outlineLevel="0" collapsed="false">
      <c r="A23" s="9"/>
      <c r="B23" s="9"/>
      <c r="C23" s="9"/>
      <c r="D23" s="9"/>
      <c r="E23" s="31" t="str">
        <f aca="false">IF(OR(C23="",D23=""),"",INDEX({"BAJA","MEDIA","ALTA","CRÍTICA"},IF(MATCH(C23,16_LISTAS!$M$4:$M$6,0)*MATCH(D23,16_LISTAS!$M$4:$M$6,0)&gt;=6,4,IF(MATCH(C23,16_LISTAS!$M$4:$M$6,0)*MATCH(D23,16_LISTAS!$M$4:$M$6,0)&gt;=3,3,IF(MATCH(C23,16_LISTAS!$M$4:$M$6,0)*MATCH(D23,16_LISTAS!$M$4:$M$6,0)&gt;=2,2,1)))))</f>
        <v/>
      </c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9"/>
      <c r="B24" s="9"/>
      <c r="C24" s="9"/>
      <c r="D24" s="9"/>
      <c r="E24" s="31" t="str">
        <f aca="false">IF(OR(C24="",D24=""),"",INDEX({"BAJA","MEDIA","ALTA","CRÍTICA"},IF(MATCH(C24,16_LISTAS!$M$4:$M$6,0)*MATCH(D24,16_LISTAS!$M$4:$M$6,0)&gt;=6,4,IF(MATCH(C24,16_LISTAS!$M$4:$M$6,0)*MATCH(D24,16_LISTAS!$M$4:$M$6,0)&gt;=3,3,IF(MATCH(C24,16_LISTAS!$M$4:$M$6,0)*MATCH(D24,16_LISTAS!$M$4:$M$6,0)&gt;=2,2,1)))))</f>
        <v/>
      </c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9"/>
      <c r="B25" s="9"/>
      <c r="C25" s="9"/>
      <c r="D25" s="9"/>
      <c r="E25" s="31" t="str">
        <f aca="false">IF(OR(C25="",D25=""),"",INDEX({"BAJA","MEDIA","ALTA","CRÍTICA"},IF(MATCH(C25,16_LISTAS!$M$4:$M$6,0)*MATCH(D25,16_LISTAS!$M$4:$M$6,0)&gt;=6,4,IF(MATCH(C25,16_LISTAS!$M$4:$M$6,0)*MATCH(D25,16_LISTAS!$M$4:$M$6,0)&gt;=3,3,IF(MATCH(C25,16_LISTAS!$M$4:$M$6,0)*MATCH(D25,16_LISTAS!$M$4:$M$6,0)&gt;=2,2,1)))))</f>
        <v/>
      </c>
      <c r="F25" s="9"/>
      <c r="G25" s="9"/>
      <c r="H25" s="9"/>
      <c r="I25" s="9"/>
      <c r="J25" s="9"/>
      <c r="K25" s="9"/>
    </row>
    <row r="26" customFormat="false" ht="15" hidden="false" customHeight="false" outlineLevel="0" collapsed="false">
      <c r="A26" s="9"/>
      <c r="B26" s="9"/>
      <c r="C26" s="9"/>
      <c r="D26" s="9"/>
      <c r="E26" s="31" t="str">
        <f aca="false">IF(OR(C26="",D26=""),"",INDEX({"BAJA","MEDIA","ALTA","CRÍTICA"},IF(MATCH(C26,16_LISTAS!$M$4:$M$6,0)*MATCH(D26,16_LISTAS!$M$4:$M$6,0)&gt;=6,4,IF(MATCH(C26,16_LISTAS!$M$4:$M$6,0)*MATCH(D26,16_LISTAS!$M$4:$M$6,0)&gt;=3,3,IF(MATCH(C26,16_LISTAS!$M$4:$M$6,0)*MATCH(D26,16_LISTAS!$M$4:$M$6,0)&gt;=2,2,1)))))</f>
        <v/>
      </c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A27" s="9"/>
      <c r="B27" s="9"/>
      <c r="C27" s="9"/>
      <c r="D27" s="9"/>
      <c r="E27" s="31" t="str">
        <f aca="false">IF(OR(C27="",D27=""),"",INDEX({"BAJA","MEDIA","ALTA","CRÍTICA"},IF(MATCH(C27,16_LISTAS!$M$4:$M$6,0)*MATCH(D27,16_LISTAS!$M$4:$M$6,0)&gt;=6,4,IF(MATCH(C27,16_LISTAS!$M$4:$M$6,0)*MATCH(D27,16_LISTAS!$M$4:$M$6,0)&gt;=3,3,IF(MATCH(C27,16_LISTAS!$M$4:$M$6,0)*MATCH(D27,16_LISTAS!$M$4:$M$6,0)&gt;=2,2,1)))))</f>
        <v/>
      </c>
      <c r="F27" s="9"/>
      <c r="G27" s="9"/>
      <c r="H27" s="9"/>
      <c r="I27" s="9"/>
      <c r="J27" s="9"/>
      <c r="K27" s="9"/>
    </row>
    <row r="28" customFormat="false" ht="15" hidden="false" customHeight="false" outlineLevel="0" collapsed="false">
      <c r="A28" s="9"/>
      <c r="B28" s="9"/>
      <c r="C28" s="9"/>
      <c r="D28" s="9"/>
      <c r="E28" s="31" t="str">
        <f aca="false">IF(OR(C28="",D28=""),"",INDEX({"BAJA","MEDIA","ALTA","CRÍTICA"},IF(MATCH(C28,16_LISTAS!$M$4:$M$6,0)*MATCH(D28,16_LISTAS!$M$4:$M$6,0)&gt;=6,4,IF(MATCH(C28,16_LISTAS!$M$4:$M$6,0)*MATCH(D28,16_LISTAS!$M$4:$M$6,0)&gt;=3,3,IF(MATCH(C28,16_LISTAS!$M$4:$M$6,0)*MATCH(D28,16_LISTAS!$M$4:$M$6,0)&gt;=2,2,1)))))</f>
        <v/>
      </c>
      <c r="F28" s="9"/>
      <c r="G28" s="9"/>
      <c r="H28" s="9"/>
      <c r="I28" s="9"/>
      <c r="J28" s="9"/>
      <c r="K28" s="9"/>
    </row>
    <row r="29" customFormat="false" ht="15" hidden="false" customHeight="false" outlineLevel="0" collapsed="false">
      <c r="A29" s="9"/>
      <c r="B29" s="9"/>
      <c r="C29" s="9"/>
      <c r="D29" s="9"/>
      <c r="E29" s="31" t="str">
        <f aca="false">IF(OR(C29="",D29=""),"",INDEX({"BAJA","MEDIA","ALTA","CRÍTICA"},IF(MATCH(C29,16_LISTAS!$M$4:$M$6,0)*MATCH(D29,16_LISTAS!$M$4:$M$6,0)&gt;=6,4,IF(MATCH(C29,16_LISTAS!$M$4:$M$6,0)*MATCH(D29,16_LISTAS!$M$4:$M$6,0)&gt;=3,3,IF(MATCH(C29,16_LISTAS!$M$4:$M$6,0)*MATCH(D29,16_LISTAS!$M$4:$M$6,0)&gt;=2,2,1)))))</f>
        <v/>
      </c>
      <c r="F29" s="9"/>
      <c r="G29" s="9"/>
      <c r="H29" s="9"/>
      <c r="I29" s="9"/>
      <c r="J29" s="9"/>
      <c r="K29" s="9"/>
    </row>
    <row r="30" customFormat="false" ht="15" hidden="false" customHeight="false" outlineLevel="0" collapsed="false">
      <c r="A30" s="9"/>
      <c r="B30" s="9"/>
      <c r="C30" s="9"/>
      <c r="D30" s="9"/>
      <c r="E30" s="31" t="str">
        <f aca="false">IF(OR(C30="",D30=""),"",INDEX({"BAJA","MEDIA","ALTA","CRÍTICA"},IF(MATCH(C30,16_LISTAS!$M$4:$M$6,0)*MATCH(D30,16_LISTAS!$M$4:$M$6,0)&gt;=6,4,IF(MATCH(C30,16_LISTAS!$M$4:$M$6,0)*MATCH(D30,16_LISTAS!$M$4:$M$6,0)&gt;=3,3,IF(MATCH(C30,16_LISTAS!$M$4:$M$6,0)*MATCH(D30,16_LISTAS!$M$4:$M$6,0)&gt;=2,2,1)))))</f>
        <v/>
      </c>
      <c r="F30" s="9"/>
      <c r="G30" s="9"/>
      <c r="H30" s="9"/>
      <c r="I30" s="9"/>
      <c r="J30" s="9"/>
      <c r="K30" s="9"/>
    </row>
    <row r="31" customFormat="false" ht="15" hidden="false" customHeight="false" outlineLevel="0" collapsed="false">
      <c r="A31" s="9"/>
      <c r="B31" s="9"/>
      <c r="C31" s="9"/>
      <c r="D31" s="9"/>
      <c r="E31" s="31" t="str">
        <f aca="false">IF(OR(C31="",D31=""),"",INDEX({"BAJA","MEDIA","ALTA","CRÍTICA"},IF(MATCH(C31,16_LISTAS!$M$4:$M$6,0)*MATCH(D31,16_LISTAS!$M$4:$M$6,0)&gt;=6,4,IF(MATCH(C31,16_LISTAS!$M$4:$M$6,0)*MATCH(D31,16_LISTAS!$M$4:$M$6,0)&gt;=3,3,IF(MATCH(C31,16_LISTAS!$M$4:$M$6,0)*MATCH(D31,16_LISTAS!$M$4:$M$6,0)&gt;=2,2,1)))))</f>
        <v/>
      </c>
      <c r="F31" s="9"/>
      <c r="G31" s="9"/>
      <c r="H31" s="9"/>
      <c r="I31" s="9"/>
      <c r="J31" s="9"/>
      <c r="K31" s="9"/>
    </row>
    <row r="32" customFormat="false" ht="15" hidden="false" customHeight="false" outlineLevel="0" collapsed="false">
      <c r="A32" s="9"/>
      <c r="B32" s="9"/>
      <c r="C32" s="9"/>
      <c r="D32" s="9"/>
      <c r="E32" s="31" t="str">
        <f aca="false">IF(OR(C32="",D32=""),"",INDEX({"BAJA","MEDIA","ALTA","CRÍTICA"},IF(MATCH(C32,16_LISTAS!$M$4:$M$6,0)*MATCH(D32,16_LISTAS!$M$4:$M$6,0)&gt;=6,4,IF(MATCH(C32,16_LISTAS!$M$4:$M$6,0)*MATCH(D32,16_LISTAS!$M$4:$M$6,0)&gt;=3,3,IF(MATCH(C32,16_LISTAS!$M$4:$M$6,0)*MATCH(D32,16_LISTAS!$M$4:$M$6,0)&gt;=2,2,1)))))</f>
        <v/>
      </c>
      <c r="F32" s="9"/>
      <c r="G32" s="9"/>
      <c r="H32" s="9"/>
      <c r="I32" s="9"/>
      <c r="J32" s="9"/>
      <c r="K32" s="9"/>
    </row>
    <row r="33" customFormat="false" ht="15" hidden="false" customHeight="false" outlineLevel="0" collapsed="false">
      <c r="A33" s="9"/>
      <c r="B33" s="9"/>
      <c r="C33" s="9"/>
      <c r="D33" s="9"/>
      <c r="E33" s="31" t="str">
        <f aca="false">IF(OR(C33="",D33=""),"",INDEX({"BAJA","MEDIA","ALTA","CRÍTICA"},IF(MATCH(C33,16_LISTAS!$M$4:$M$6,0)*MATCH(D33,16_LISTAS!$M$4:$M$6,0)&gt;=6,4,IF(MATCH(C33,16_LISTAS!$M$4:$M$6,0)*MATCH(D33,16_LISTAS!$M$4:$M$6,0)&gt;=3,3,IF(MATCH(C33,16_LISTAS!$M$4:$M$6,0)*MATCH(D33,16_LISTAS!$M$4:$M$6,0)&gt;=2,2,1)))))</f>
        <v/>
      </c>
      <c r="F33" s="9"/>
      <c r="G33" s="9"/>
      <c r="H33" s="9"/>
      <c r="I33" s="9"/>
      <c r="J33" s="9"/>
      <c r="K33" s="9"/>
    </row>
    <row r="34" customFormat="false" ht="15" hidden="false" customHeight="false" outlineLevel="0" collapsed="false">
      <c r="A34" s="9"/>
      <c r="B34" s="9"/>
      <c r="C34" s="9"/>
      <c r="D34" s="9"/>
      <c r="E34" s="31" t="str">
        <f aca="false">IF(OR(C34="",D34=""),"",INDEX({"BAJA","MEDIA","ALTA","CRÍTICA"},IF(MATCH(C34,16_LISTAS!$M$4:$M$6,0)*MATCH(D34,16_LISTAS!$M$4:$M$6,0)&gt;=6,4,IF(MATCH(C34,16_LISTAS!$M$4:$M$6,0)*MATCH(D34,16_LISTAS!$M$4:$M$6,0)&gt;=3,3,IF(MATCH(C34,16_LISTAS!$M$4:$M$6,0)*MATCH(D34,16_LISTAS!$M$4:$M$6,0)&gt;=2,2,1)))))</f>
        <v/>
      </c>
      <c r="F34" s="9"/>
      <c r="G34" s="9"/>
      <c r="H34" s="9"/>
      <c r="I34" s="9"/>
      <c r="J34" s="9"/>
      <c r="K34" s="9"/>
    </row>
    <row r="35" customFormat="false" ht="15" hidden="false" customHeight="false" outlineLevel="0" collapsed="false">
      <c r="A35" s="9"/>
      <c r="B35" s="9"/>
      <c r="C35" s="9"/>
      <c r="D35" s="9"/>
      <c r="E35" s="31" t="str">
        <f aca="false">IF(OR(C35="",D35=""),"",INDEX({"BAJA","MEDIA","ALTA","CRÍTICA"},IF(MATCH(C35,16_LISTAS!$M$4:$M$6,0)*MATCH(D35,16_LISTAS!$M$4:$M$6,0)&gt;=6,4,IF(MATCH(C35,16_LISTAS!$M$4:$M$6,0)*MATCH(D35,16_LISTAS!$M$4:$M$6,0)&gt;=3,3,IF(MATCH(C35,16_LISTAS!$M$4:$M$6,0)*MATCH(D35,16_LISTAS!$M$4:$M$6,0)&gt;=2,2,1)))))</f>
        <v/>
      </c>
      <c r="F35" s="9"/>
      <c r="G35" s="9"/>
      <c r="H35" s="9"/>
      <c r="I35" s="9"/>
      <c r="J35" s="9"/>
      <c r="K35" s="9"/>
    </row>
    <row r="36" customFormat="false" ht="15" hidden="false" customHeight="false" outlineLevel="0" collapsed="false">
      <c r="A36" s="9"/>
      <c r="B36" s="9"/>
      <c r="C36" s="9"/>
      <c r="D36" s="9"/>
      <c r="E36" s="31" t="str">
        <f aca="false">IF(OR(C36="",D36=""),"",INDEX({"BAJA","MEDIA","ALTA","CRÍTICA"},IF(MATCH(C36,16_LISTAS!$M$4:$M$6,0)*MATCH(D36,16_LISTAS!$M$4:$M$6,0)&gt;=6,4,IF(MATCH(C36,16_LISTAS!$M$4:$M$6,0)*MATCH(D36,16_LISTAS!$M$4:$M$6,0)&gt;=3,3,IF(MATCH(C36,16_LISTAS!$M$4:$M$6,0)*MATCH(D36,16_LISTAS!$M$4:$M$6,0)&gt;=2,2,1)))))</f>
        <v/>
      </c>
      <c r="F36" s="9"/>
      <c r="G36" s="9"/>
      <c r="H36" s="9"/>
      <c r="I36" s="9"/>
      <c r="J36" s="9"/>
      <c r="K36" s="9"/>
    </row>
    <row r="37" customFormat="false" ht="15" hidden="false" customHeight="false" outlineLevel="0" collapsed="false">
      <c r="A37" s="9"/>
      <c r="B37" s="9"/>
      <c r="C37" s="9"/>
      <c r="D37" s="9"/>
      <c r="E37" s="31" t="str">
        <f aca="false">IF(OR(C37="",D37=""),"",INDEX({"BAJA","MEDIA","ALTA","CRÍTICA"},IF(MATCH(C37,16_LISTAS!$M$4:$M$6,0)*MATCH(D37,16_LISTAS!$M$4:$M$6,0)&gt;=6,4,IF(MATCH(C37,16_LISTAS!$M$4:$M$6,0)*MATCH(D37,16_LISTAS!$M$4:$M$6,0)&gt;=3,3,IF(MATCH(C37,16_LISTAS!$M$4:$M$6,0)*MATCH(D37,16_LISTAS!$M$4:$M$6,0)&gt;=2,2,1)))))</f>
        <v/>
      </c>
      <c r="F37" s="9"/>
      <c r="G37" s="9"/>
      <c r="H37" s="9"/>
      <c r="I37" s="9"/>
      <c r="J37" s="9"/>
      <c r="K37" s="9"/>
    </row>
    <row r="38" customFormat="false" ht="15" hidden="false" customHeight="false" outlineLevel="0" collapsed="false">
      <c r="A38" s="9"/>
      <c r="B38" s="9"/>
      <c r="C38" s="9"/>
      <c r="D38" s="9"/>
      <c r="E38" s="31" t="str">
        <f aca="false">IF(OR(C38="",D38=""),"",INDEX({"BAJA","MEDIA","ALTA","CRÍTICA"},IF(MATCH(C38,16_LISTAS!$M$4:$M$6,0)*MATCH(D38,16_LISTAS!$M$4:$M$6,0)&gt;=6,4,IF(MATCH(C38,16_LISTAS!$M$4:$M$6,0)*MATCH(D38,16_LISTAS!$M$4:$M$6,0)&gt;=3,3,IF(MATCH(C38,16_LISTAS!$M$4:$M$6,0)*MATCH(D38,16_LISTAS!$M$4:$M$6,0)&gt;=2,2,1)))))</f>
        <v/>
      </c>
      <c r="F38" s="9"/>
      <c r="G38" s="9"/>
      <c r="H38" s="9"/>
      <c r="I38" s="9"/>
      <c r="J38" s="9"/>
      <c r="K38" s="9"/>
    </row>
    <row r="39" customFormat="false" ht="15" hidden="false" customHeight="false" outlineLevel="0" collapsed="false">
      <c r="A39" s="9"/>
      <c r="B39" s="9"/>
      <c r="C39" s="9"/>
      <c r="D39" s="9"/>
      <c r="E39" s="31" t="str">
        <f aca="false">IF(OR(C39="",D39=""),"",INDEX({"BAJA","MEDIA","ALTA","CRÍTICA"},IF(MATCH(C39,16_LISTAS!$M$4:$M$6,0)*MATCH(D39,16_LISTAS!$M$4:$M$6,0)&gt;=6,4,IF(MATCH(C39,16_LISTAS!$M$4:$M$6,0)*MATCH(D39,16_LISTAS!$M$4:$M$6,0)&gt;=3,3,IF(MATCH(C39,16_LISTAS!$M$4:$M$6,0)*MATCH(D39,16_LISTAS!$M$4:$M$6,0)&gt;=2,2,1)))))</f>
        <v/>
      </c>
      <c r="F39" s="9"/>
      <c r="G39" s="9"/>
      <c r="H39" s="9"/>
      <c r="I39" s="9"/>
      <c r="J39" s="9"/>
      <c r="K39" s="9"/>
    </row>
    <row r="40" customFormat="false" ht="15" hidden="false" customHeight="false" outlineLevel="0" collapsed="false">
      <c r="A40" s="9"/>
      <c r="B40" s="9"/>
      <c r="C40" s="9"/>
      <c r="D40" s="9"/>
      <c r="E40" s="31" t="str">
        <f aca="false">IF(OR(C40="",D40=""),"",INDEX({"BAJA","MEDIA","ALTA","CRÍTICA"},IF(MATCH(C40,16_LISTAS!$M$4:$M$6,0)*MATCH(D40,16_LISTAS!$M$4:$M$6,0)&gt;=6,4,IF(MATCH(C40,16_LISTAS!$M$4:$M$6,0)*MATCH(D40,16_LISTAS!$M$4:$M$6,0)&gt;=3,3,IF(MATCH(C40,16_LISTAS!$M$4:$M$6,0)*MATCH(D40,16_LISTAS!$M$4:$M$6,0)&gt;=2,2,1)))))</f>
        <v/>
      </c>
      <c r="F40" s="9"/>
      <c r="G40" s="9"/>
      <c r="H40" s="9"/>
      <c r="I40" s="9"/>
      <c r="J40" s="9"/>
      <c r="K40" s="9"/>
    </row>
    <row r="41" customFormat="false" ht="15" hidden="false" customHeight="false" outlineLevel="0" collapsed="false">
      <c r="A41" s="9"/>
      <c r="B41" s="9"/>
      <c r="C41" s="9"/>
      <c r="D41" s="9"/>
      <c r="E41" s="31" t="str">
        <f aca="false">IF(OR(C41="",D41=""),"",INDEX({"BAJA","MEDIA","ALTA","CRÍTICA"},IF(MATCH(C41,16_LISTAS!$M$4:$M$6,0)*MATCH(D41,16_LISTAS!$M$4:$M$6,0)&gt;=6,4,IF(MATCH(C41,16_LISTAS!$M$4:$M$6,0)*MATCH(D41,16_LISTAS!$M$4:$M$6,0)&gt;=3,3,IF(MATCH(C41,16_LISTAS!$M$4:$M$6,0)*MATCH(D41,16_LISTAS!$M$4:$M$6,0)&gt;=2,2,1)))))</f>
        <v/>
      </c>
      <c r="F41" s="9"/>
      <c r="G41" s="9"/>
      <c r="H41" s="9"/>
      <c r="I41" s="9"/>
      <c r="J41" s="9"/>
      <c r="K41" s="9"/>
    </row>
  </sheetData>
  <conditionalFormatting sqref="E2:E41">
    <cfRule type="expression" priority="2" aboveAverage="0" equalAverage="0" bottom="0" percent="0" rank="0" text="" dxfId="18">
      <formula>E2="CRÍTICA"</formula>
    </cfRule>
    <cfRule type="expression" priority="3" aboveAverage="0" equalAverage="0" bottom="0" percent="0" rank="0" text="" dxfId="19">
      <formula>E2="ALTA"</formula>
    </cfRule>
  </conditionalFormatting>
  <dataValidations count="3">
    <dataValidation allowBlank="true" error="Valor no permitido. Use la lista desplegable." errorStyle="stop" errorTitle="DCIP 2.3" operator="between" showDropDown="false" showErrorMessage="false" showInputMessage="false" sqref="C2:D41" type="list">
      <formula1>16_LISTAS!$M$4:$M$6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H2:H41" type="list">
      <formula1>16_LISTAS!$S$7:$S$9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J2:J41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30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84</v>
      </c>
      <c r="B1" s="7" t="s">
        <v>794</v>
      </c>
      <c r="C1" s="7" t="s">
        <v>789</v>
      </c>
      <c r="D1" s="7" t="s">
        <v>790</v>
      </c>
      <c r="E1" s="7" t="s">
        <v>791</v>
      </c>
      <c r="F1" s="7" t="s">
        <v>795</v>
      </c>
      <c r="G1" s="7" t="s">
        <v>793</v>
      </c>
      <c r="H1" s="7" t="s">
        <v>91</v>
      </c>
      <c r="I1" s="7" t="s">
        <v>631</v>
      </c>
      <c r="J1" s="7" t="s">
        <v>551</v>
      </c>
      <c r="K1" s="7" t="s">
        <v>561</v>
      </c>
    </row>
    <row r="2" customFormat="false" ht="15" hidden="false" customHeight="false" outlineLevel="0" collapsed="false">
      <c r="A2" s="9"/>
      <c r="B2" s="9"/>
      <c r="C2" s="9"/>
      <c r="D2" s="9"/>
      <c r="E2" s="31" t="str">
        <f aca="false">IF(OR(C2="",D2=""),"",INDEX({"BAJA","MEDIA","ALTA","CRÍTICA"},IF(MATCH(C2,16_LISTAS!$M$4:$M$6,0)*MATCH(D2,16_LISTAS!$M$4:$M$6,0)&gt;=6,4,IF(MATCH(C2,16_LISTAS!$M$4:$M$6,0)*MATCH(D2,16_LISTAS!$M$4:$M$6,0)&gt;=3,3,IF(MATCH(C2,16_LISTAS!$M$4:$M$6,0)*MATCH(D2,16_LISTAS!$M$4:$M$6,0)&gt;=2,2,1)))))</f>
        <v/>
      </c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9"/>
      <c r="B3" s="9"/>
      <c r="C3" s="9"/>
      <c r="D3" s="9"/>
      <c r="E3" s="31" t="str">
        <f aca="false">IF(OR(C3="",D3=""),"",INDEX({"BAJA","MEDIA","ALTA","CRÍTICA"},IF(MATCH(C3,16_LISTAS!$M$4:$M$6,0)*MATCH(D3,16_LISTAS!$M$4:$M$6,0)&gt;=6,4,IF(MATCH(C3,16_LISTAS!$M$4:$M$6,0)*MATCH(D3,16_LISTAS!$M$4:$M$6,0)&gt;=3,3,IF(MATCH(C3,16_LISTAS!$M$4:$M$6,0)*MATCH(D3,16_LISTAS!$M$4:$M$6,0)&gt;=2,2,1)))))</f>
        <v/>
      </c>
      <c r="F3" s="9"/>
      <c r="G3" s="9"/>
      <c r="H3" s="9"/>
      <c r="I3" s="9"/>
      <c r="J3" s="9"/>
      <c r="K3" s="9"/>
    </row>
    <row r="4" customFormat="false" ht="15" hidden="false" customHeight="false" outlineLevel="0" collapsed="false">
      <c r="A4" s="9"/>
      <c r="B4" s="9"/>
      <c r="C4" s="9"/>
      <c r="D4" s="9"/>
      <c r="E4" s="31" t="str">
        <f aca="false">IF(OR(C4="",D4=""),"",INDEX({"BAJA","MEDIA","ALTA","CRÍTICA"},IF(MATCH(C4,16_LISTAS!$M$4:$M$6,0)*MATCH(D4,16_LISTAS!$M$4:$M$6,0)&gt;=6,4,IF(MATCH(C4,16_LISTAS!$M$4:$M$6,0)*MATCH(D4,16_LISTAS!$M$4:$M$6,0)&gt;=3,3,IF(MATCH(C4,16_LISTAS!$M$4:$M$6,0)*MATCH(D4,16_LISTAS!$M$4:$M$6,0)&gt;=2,2,1)))))</f>
        <v/>
      </c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31" t="str">
        <f aca="false">IF(OR(C5="",D5=""),"",INDEX({"BAJA","MEDIA","ALTA","CRÍTICA"},IF(MATCH(C5,16_LISTAS!$M$4:$M$6,0)*MATCH(D5,16_LISTAS!$M$4:$M$6,0)&gt;=6,4,IF(MATCH(C5,16_LISTAS!$M$4:$M$6,0)*MATCH(D5,16_LISTAS!$M$4:$M$6,0)&gt;=3,3,IF(MATCH(C5,16_LISTAS!$M$4:$M$6,0)*MATCH(D5,16_LISTAS!$M$4:$M$6,0)&gt;=2,2,1)))))</f>
        <v/>
      </c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31" t="str">
        <f aca="false">IF(OR(C6="",D6=""),"",INDEX({"BAJA","MEDIA","ALTA","CRÍTICA"},IF(MATCH(C6,16_LISTAS!$M$4:$M$6,0)*MATCH(D6,16_LISTAS!$M$4:$M$6,0)&gt;=6,4,IF(MATCH(C6,16_LISTAS!$M$4:$M$6,0)*MATCH(D6,16_LISTAS!$M$4:$M$6,0)&gt;=3,3,IF(MATCH(C6,16_LISTAS!$M$4:$M$6,0)*MATCH(D6,16_LISTAS!$M$4:$M$6,0)&gt;=2,2,1)))))</f>
        <v/>
      </c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31" t="str">
        <f aca="false">IF(OR(C7="",D7=""),"",INDEX({"BAJA","MEDIA","ALTA","CRÍTICA"},IF(MATCH(C7,16_LISTAS!$M$4:$M$6,0)*MATCH(D7,16_LISTAS!$M$4:$M$6,0)&gt;=6,4,IF(MATCH(C7,16_LISTAS!$M$4:$M$6,0)*MATCH(D7,16_LISTAS!$M$4:$M$6,0)&gt;=3,3,IF(MATCH(C7,16_LISTAS!$M$4:$M$6,0)*MATCH(D7,16_LISTAS!$M$4:$M$6,0)&gt;=2,2,1)))))</f>
        <v/>
      </c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31" t="str">
        <f aca="false">IF(OR(C8="",D8=""),"",INDEX({"BAJA","MEDIA","ALTA","CRÍTICA"},IF(MATCH(C8,16_LISTAS!$M$4:$M$6,0)*MATCH(D8,16_LISTAS!$M$4:$M$6,0)&gt;=6,4,IF(MATCH(C8,16_LISTAS!$M$4:$M$6,0)*MATCH(D8,16_LISTAS!$M$4:$M$6,0)&gt;=3,3,IF(MATCH(C8,16_LISTAS!$M$4:$M$6,0)*MATCH(D8,16_LISTAS!$M$4:$M$6,0)&gt;=2,2,1)))))</f>
        <v/>
      </c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31" t="str">
        <f aca="false">IF(OR(C9="",D9=""),"",INDEX({"BAJA","MEDIA","ALTA","CRÍTICA"},IF(MATCH(C9,16_LISTAS!$M$4:$M$6,0)*MATCH(D9,16_LISTAS!$M$4:$M$6,0)&gt;=6,4,IF(MATCH(C9,16_LISTAS!$M$4:$M$6,0)*MATCH(D9,16_LISTAS!$M$4:$M$6,0)&gt;=3,3,IF(MATCH(C9,16_LISTAS!$M$4:$M$6,0)*MATCH(D9,16_LISTAS!$M$4:$M$6,0)&gt;=2,2,1)))))</f>
        <v/>
      </c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31" t="str">
        <f aca="false">IF(OR(C10="",D10=""),"",INDEX({"BAJA","MEDIA","ALTA","CRÍTICA"},IF(MATCH(C10,16_LISTAS!$M$4:$M$6,0)*MATCH(D10,16_LISTAS!$M$4:$M$6,0)&gt;=6,4,IF(MATCH(C10,16_LISTAS!$M$4:$M$6,0)*MATCH(D10,16_LISTAS!$M$4:$M$6,0)&gt;=3,3,IF(MATCH(C10,16_LISTAS!$M$4:$M$6,0)*MATCH(D10,16_LISTAS!$M$4:$M$6,0)&gt;=2,2,1)))))</f>
        <v/>
      </c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31" t="str">
        <f aca="false">IF(OR(C11="",D11=""),"",INDEX({"BAJA","MEDIA","ALTA","CRÍTICA"},IF(MATCH(C11,16_LISTAS!$M$4:$M$6,0)*MATCH(D11,16_LISTAS!$M$4:$M$6,0)&gt;=6,4,IF(MATCH(C11,16_LISTAS!$M$4:$M$6,0)*MATCH(D11,16_LISTAS!$M$4:$M$6,0)&gt;=3,3,IF(MATCH(C11,16_LISTAS!$M$4:$M$6,0)*MATCH(D11,16_LISTAS!$M$4:$M$6,0)&gt;=2,2,1)))))</f>
        <v/>
      </c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31" t="str">
        <f aca="false">IF(OR(C12="",D12=""),"",INDEX({"BAJA","MEDIA","ALTA","CRÍTICA"},IF(MATCH(C12,16_LISTAS!$M$4:$M$6,0)*MATCH(D12,16_LISTAS!$M$4:$M$6,0)&gt;=6,4,IF(MATCH(C12,16_LISTAS!$M$4:$M$6,0)*MATCH(D12,16_LISTAS!$M$4:$M$6,0)&gt;=3,3,IF(MATCH(C12,16_LISTAS!$M$4:$M$6,0)*MATCH(D12,16_LISTAS!$M$4:$M$6,0)&gt;=2,2,1)))))</f>
        <v/>
      </c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31" t="str">
        <f aca="false">IF(OR(C13="",D13=""),"",INDEX({"BAJA","MEDIA","ALTA","CRÍTICA"},IF(MATCH(C13,16_LISTAS!$M$4:$M$6,0)*MATCH(D13,16_LISTAS!$M$4:$M$6,0)&gt;=6,4,IF(MATCH(C13,16_LISTAS!$M$4:$M$6,0)*MATCH(D13,16_LISTAS!$M$4:$M$6,0)&gt;=3,3,IF(MATCH(C13,16_LISTAS!$M$4:$M$6,0)*MATCH(D13,16_LISTAS!$M$4:$M$6,0)&gt;=2,2,1)))))</f>
        <v/>
      </c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31" t="str">
        <f aca="false">IF(OR(C14="",D14=""),"",INDEX({"BAJA","MEDIA","ALTA","CRÍTICA"},IF(MATCH(C14,16_LISTAS!$M$4:$M$6,0)*MATCH(D14,16_LISTAS!$M$4:$M$6,0)&gt;=6,4,IF(MATCH(C14,16_LISTAS!$M$4:$M$6,0)*MATCH(D14,16_LISTAS!$M$4:$M$6,0)&gt;=3,3,IF(MATCH(C14,16_LISTAS!$M$4:$M$6,0)*MATCH(D14,16_LISTAS!$M$4:$M$6,0)&gt;=2,2,1)))))</f>
        <v/>
      </c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31" t="str">
        <f aca="false">IF(OR(C15="",D15=""),"",INDEX({"BAJA","MEDIA","ALTA","CRÍTICA"},IF(MATCH(C15,16_LISTAS!$M$4:$M$6,0)*MATCH(D15,16_LISTAS!$M$4:$M$6,0)&gt;=6,4,IF(MATCH(C15,16_LISTAS!$M$4:$M$6,0)*MATCH(D15,16_LISTAS!$M$4:$M$6,0)&gt;=3,3,IF(MATCH(C15,16_LISTAS!$M$4:$M$6,0)*MATCH(D15,16_LISTAS!$M$4:$M$6,0)&gt;=2,2,1)))))</f>
        <v/>
      </c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31" t="str">
        <f aca="false">IF(OR(C16="",D16=""),"",INDEX({"BAJA","MEDIA","ALTA","CRÍTICA"},IF(MATCH(C16,16_LISTAS!$M$4:$M$6,0)*MATCH(D16,16_LISTAS!$M$4:$M$6,0)&gt;=6,4,IF(MATCH(C16,16_LISTAS!$M$4:$M$6,0)*MATCH(D16,16_LISTAS!$M$4:$M$6,0)&gt;=3,3,IF(MATCH(C16,16_LISTAS!$M$4:$M$6,0)*MATCH(D16,16_LISTAS!$M$4:$M$6,0)&gt;=2,2,1)))))</f>
        <v/>
      </c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31" t="str">
        <f aca="false">IF(OR(C17="",D17=""),"",INDEX({"BAJA","MEDIA","ALTA","CRÍTICA"},IF(MATCH(C17,16_LISTAS!$M$4:$M$6,0)*MATCH(D17,16_LISTAS!$M$4:$M$6,0)&gt;=6,4,IF(MATCH(C17,16_LISTAS!$M$4:$M$6,0)*MATCH(D17,16_LISTAS!$M$4:$M$6,0)&gt;=3,3,IF(MATCH(C17,16_LISTAS!$M$4:$M$6,0)*MATCH(D17,16_LISTAS!$M$4:$M$6,0)&gt;=2,2,1)))))</f>
        <v/>
      </c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31" t="str">
        <f aca="false">IF(OR(C18="",D18=""),"",INDEX({"BAJA","MEDIA","ALTA","CRÍTICA"},IF(MATCH(C18,16_LISTAS!$M$4:$M$6,0)*MATCH(D18,16_LISTAS!$M$4:$M$6,0)&gt;=6,4,IF(MATCH(C18,16_LISTAS!$M$4:$M$6,0)*MATCH(D18,16_LISTAS!$M$4:$M$6,0)&gt;=3,3,IF(MATCH(C18,16_LISTAS!$M$4:$M$6,0)*MATCH(D18,16_LISTAS!$M$4:$M$6,0)&gt;=2,2,1)))))</f>
        <v/>
      </c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31" t="str">
        <f aca="false">IF(OR(C19="",D19=""),"",INDEX({"BAJA","MEDIA","ALTA","CRÍTICA"},IF(MATCH(C19,16_LISTAS!$M$4:$M$6,0)*MATCH(D19,16_LISTAS!$M$4:$M$6,0)&gt;=6,4,IF(MATCH(C19,16_LISTAS!$M$4:$M$6,0)*MATCH(D19,16_LISTAS!$M$4:$M$6,0)&gt;=3,3,IF(MATCH(C19,16_LISTAS!$M$4:$M$6,0)*MATCH(D19,16_LISTAS!$M$4:$M$6,0)&gt;=2,2,1)))))</f>
        <v/>
      </c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31" t="str">
        <f aca="false">IF(OR(C20="",D20=""),"",INDEX({"BAJA","MEDIA","ALTA","CRÍTICA"},IF(MATCH(C20,16_LISTAS!$M$4:$M$6,0)*MATCH(D20,16_LISTAS!$M$4:$M$6,0)&gt;=6,4,IF(MATCH(C20,16_LISTAS!$M$4:$M$6,0)*MATCH(D20,16_LISTAS!$M$4:$M$6,0)&gt;=3,3,IF(MATCH(C20,16_LISTAS!$M$4:$M$6,0)*MATCH(D20,16_LISTAS!$M$4:$M$6,0)&gt;=2,2,1)))))</f>
        <v/>
      </c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31" t="str">
        <f aca="false">IF(OR(C21="",D21=""),"",INDEX({"BAJA","MEDIA","ALTA","CRÍTICA"},IF(MATCH(C21,16_LISTAS!$M$4:$M$6,0)*MATCH(D21,16_LISTAS!$M$4:$M$6,0)&gt;=6,4,IF(MATCH(C21,16_LISTAS!$M$4:$M$6,0)*MATCH(D21,16_LISTAS!$M$4:$M$6,0)&gt;=3,3,IF(MATCH(C21,16_LISTAS!$M$4:$M$6,0)*MATCH(D21,16_LISTAS!$M$4:$M$6,0)&gt;=2,2,1)))))</f>
        <v/>
      </c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9"/>
      <c r="B22" s="9"/>
      <c r="C22" s="9"/>
      <c r="D22" s="9"/>
      <c r="E22" s="31" t="str">
        <f aca="false">IF(OR(C22="",D22=""),"",INDEX({"BAJA","MEDIA","ALTA","CRÍTICA"},IF(MATCH(C22,16_LISTAS!$M$4:$M$6,0)*MATCH(D22,16_LISTAS!$M$4:$M$6,0)&gt;=6,4,IF(MATCH(C22,16_LISTAS!$M$4:$M$6,0)*MATCH(D22,16_LISTAS!$M$4:$M$6,0)&gt;=3,3,IF(MATCH(C22,16_LISTAS!$M$4:$M$6,0)*MATCH(D22,16_LISTAS!$M$4:$M$6,0)&gt;=2,2,1)))))</f>
        <v/>
      </c>
      <c r="F22" s="9"/>
      <c r="G22" s="9"/>
      <c r="H22" s="9"/>
      <c r="I22" s="9"/>
      <c r="J22" s="9"/>
      <c r="K22" s="9"/>
    </row>
    <row r="23" customFormat="false" ht="15" hidden="false" customHeight="false" outlineLevel="0" collapsed="false">
      <c r="A23" s="9"/>
      <c r="B23" s="9"/>
      <c r="C23" s="9"/>
      <c r="D23" s="9"/>
      <c r="E23" s="31" t="str">
        <f aca="false">IF(OR(C23="",D23=""),"",INDEX({"BAJA","MEDIA","ALTA","CRÍTICA"},IF(MATCH(C23,16_LISTAS!$M$4:$M$6,0)*MATCH(D23,16_LISTAS!$M$4:$M$6,0)&gt;=6,4,IF(MATCH(C23,16_LISTAS!$M$4:$M$6,0)*MATCH(D23,16_LISTAS!$M$4:$M$6,0)&gt;=3,3,IF(MATCH(C23,16_LISTAS!$M$4:$M$6,0)*MATCH(D23,16_LISTAS!$M$4:$M$6,0)&gt;=2,2,1)))))</f>
        <v/>
      </c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9"/>
      <c r="B24" s="9"/>
      <c r="C24" s="9"/>
      <c r="D24" s="9"/>
      <c r="E24" s="31" t="str">
        <f aca="false">IF(OR(C24="",D24=""),"",INDEX({"BAJA","MEDIA","ALTA","CRÍTICA"},IF(MATCH(C24,16_LISTAS!$M$4:$M$6,0)*MATCH(D24,16_LISTAS!$M$4:$M$6,0)&gt;=6,4,IF(MATCH(C24,16_LISTAS!$M$4:$M$6,0)*MATCH(D24,16_LISTAS!$M$4:$M$6,0)&gt;=3,3,IF(MATCH(C24,16_LISTAS!$M$4:$M$6,0)*MATCH(D24,16_LISTAS!$M$4:$M$6,0)&gt;=2,2,1)))))</f>
        <v/>
      </c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9"/>
      <c r="B25" s="9"/>
      <c r="C25" s="9"/>
      <c r="D25" s="9"/>
      <c r="E25" s="31" t="str">
        <f aca="false">IF(OR(C25="",D25=""),"",INDEX({"BAJA","MEDIA","ALTA","CRÍTICA"},IF(MATCH(C25,16_LISTAS!$M$4:$M$6,0)*MATCH(D25,16_LISTAS!$M$4:$M$6,0)&gt;=6,4,IF(MATCH(C25,16_LISTAS!$M$4:$M$6,0)*MATCH(D25,16_LISTAS!$M$4:$M$6,0)&gt;=3,3,IF(MATCH(C25,16_LISTAS!$M$4:$M$6,0)*MATCH(D25,16_LISTAS!$M$4:$M$6,0)&gt;=2,2,1)))))</f>
        <v/>
      </c>
      <c r="F25" s="9"/>
      <c r="G25" s="9"/>
      <c r="H25" s="9"/>
      <c r="I25" s="9"/>
      <c r="J25" s="9"/>
      <c r="K25" s="9"/>
    </row>
    <row r="26" customFormat="false" ht="15" hidden="false" customHeight="false" outlineLevel="0" collapsed="false">
      <c r="A26" s="9"/>
      <c r="B26" s="9"/>
      <c r="C26" s="9"/>
      <c r="D26" s="9"/>
      <c r="E26" s="31" t="str">
        <f aca="false">IF(OR(C26="",D26=""),"",INDEX({"BAJA","MEDIA","ALTA","CRÍTICA"},IF(MATCH(C26,16_LISTAS!$M$4:$M$6,0)*MATCH(D26,16_LISTAS!$M$4:$M$6,0)&gt;=6,4,IF(MATCH(C26,16_LISTAS!$M$4:$M$6,0)*MATCH(D26,16_LISTAS!$M$4:$M$6,0)&gt;=3,3,IF(MATCH(C26,16_LISTAS!$M$4:$M$6,0)*MATCH(D26,16_LISTAS!$M$4:$M$6,0)&gt;=2,2,1)))))</f>
        <v/>
      </c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A27" s="9"/>
      <c r="B27" s="9"/>
      <c r="C27" s="9"/>
      <c r="D27" s="9"/>
      <c r="E27" s="31" t="str">
        <f aca="false">IF(OR(C27="",D27=""),"",INDEX({"BAJA","MEDIA","ALTA","CRÍTICA"},IF(MATCH(C27,16_LISTAS!$M$4:$M$6,0)*MATCH(D27,16_LISTAS!$M$4:$M$6,0)&gt;=6,4,IF(MATCH(C27,16_LISTAS!$M$4:$M$6,0)*MATCH(D27,16_LISTAS!$M$4:$M$6,0)&gt;=3,3,IF(MATCH(C27,16_LISTAS!$M$4:$M$6,0)*MATCH(D27,16_LISTAS!$M$4:$M$6,0)&gt;=2,2,1)))))</f>
        <v/>
      </c>
      <c r="F27" s="9"/>
      <c r="G27" s="9"/>
      <c r="H27" s="9"/>
      <c r="I27" s="9"/>
      <c r="J27" s="9"/>
      <c r="K27" s="9"/>
    </row>
    <row r="28" customFormat="false" ht="15" hidden="false" customHeight="false" outlineLevel="0" collapsed="false">
      <c r="A28" s="9"/>
      <c r="B28" s="9"/>
      <c r="C28" s="9"/>
      <c r="D28" s="9"/>
      <c r="E28" s="31" t="str">
        <f aca="false">IF(OR(C28="",D28=""),"",INDEX({"BAJA","MEDIA","ALTA","CRÍTICA"},IF(MATCH(C28,16_LISTAS!$M$4:$M$6,0)*MATCH(D28,16_LISTAS!$M$4:$M$6,0)&gt;=6,4,IF(MATCH(C28,16_LISTAS!$M$4:$M$6,0)*MATCH(D28,16_LISTAS!$M$4:$M$6,0)&gt;=3,3,IF(MATCH(C28,16_LISTAS!$M$4:$M$6,0)*MATCH(D28,16_LISTAS!$M$4:$M$6,0)&gt;=2,2,1)))))</f>
        <v/>
      </c>
      <c r="F28" s="9"/>
      <c r="G28" s="9"/>
      <c r="H28" s="9"/>
      <c r="I28" s="9"/>
      <c r="J28" s="9"/>
      <c r="K28" s="9"/>
    </row>
    <row r="29" customFormat="false" ht="15" hidden="false" customHeight="false" outlineLevel="0" collapsed="false">
      <c r="A29" s="9"/>
      <c r="B29" s="9"/>
      <c r="C29" s="9"/>
      <c r="D29" s="9"/>
      <c r="E29" s="31" t="str">
        <f aca="false">IF(OR(C29="",D29=""),"",INDEX({"BAJA","MEDIA","ALTA","CRÍTICA"},IF(MATCH(C29,16_LISTAS!$M$4:$M$6,0)*MATCH(D29,16_LISTAS!$M$4:$M$6,0)&gt;=6,4,IF(MATCH(C29,16_LISTAS!$M$4:$M$6,0)*MATCH(D29,16_LISTAS!$M$4:$M$6,0)&gt;=3,3,IF(MATCH(C29,16_LISTAS!$M$4:$M$6,0)*MATCH(D29,16_LISTAS!$M$4:$M$6,0)&gt;=2,2,1)))))</f>
        <v/>
      </c>
      <c r="F29" s="9"/>
      <c r="G29" s="9"/>
      <c r="H29" s="9"/>
      <c r="I29" s="9"/>
      <c r="J29" s="9"/>
      <c r="K29" s="9"/>
    </row>
    <row r="30" customFormat="false" ht="15" hidden="false" customHeight="false" outlineLevel="0" collapsed="false">
      <c r="A30" s="9"/>
      <c r="B30" s="9"/>
      <c r="C30" s="9"/>
      <c r="D30" s="9"/>
      <c r="E30" s="31" t="str">
        <f aca="false">IF(OR(C30="",D30=""),"",INDEX({"BAJA","MEDIA","ALTA","CRÍTICA"},IF(MATCH(C30,16_LISTAS!$M$4:$M$6,0)*MATCH(D30,16_LISTAS!$M$4:$M$6,0)&gt;=6,4,IF(MATCH(C30,16_LISTAS!$M$4:$M$6,0)*MATCH(D30,16_LISTAS!$M$4:$M$6,0)&gt;=3,3,IF(MATCH(C30,16_LISTAS!$M$4:$M$6,0)*MATCH(D30,16_LISTAS!$M$4:$M$6,0)&gt;=2,2,1)))))</f>
        <v/>
      </c>
      <c r="F30" s="9"/>
      <c r="G30" s="9"/>
      <c r="H30" s="9"/>
      <c r="I30" s="9"/>
      <c r="J30" s="9"/>
      <c r="K30" s="9"/>
    </row>
    <row r="31" customFormat="false" ht="15" hidden="false" customHeight="false" outlineLevel="0" collapsed="false">
      <c r="A31" s="9"/>
      <c r="B31" s="9"/>
      <c r="C31" s="9"/>
      <c r="D31" s="9"/>
      <c r="E31" s="31" t="str">
        <f aca="false">IF(OR(C31="",D31=""),"",INDEX({"BAJA","MEDIA","ALTA","CRÍTICA"},IF(MATCH(C31,16_LISTAS!$M$4:$M$6,0)*MATCH(D31,16_LISTAS!$M$4:$M$6,0)&gt;=6,4,IF(MATCH(C31,16_LISTAS!$M$4:$M$6,0)*MATCH(D31,16_LISTAS!$M$4:$M$6,0)&gt;=3,3,IF(MATCH(C31,16_LISTAS!$M$4:$M$6,0)*MATCH(D31,16_LISTAS!$M$4:$M$6,0)&gt;=2,2,1)))))</f>
        <v/>
      </c>
      <c r="F31" s="9"/>
      <c r="G31" s="9"/>
      <c r="H31" s="9"/>
      <c r="I31" s="9"/>
      <c r="J31" s="9"/>
      <c r="K31" s="9"/>
    </row>
    <row r="32" customFormat="false" ht="15" hidden="false" customHeight="false" outlineLevel="0" collapsed="false">
      <c r="A32" s="9"/>
      <c r="B32" s="9"/>
      <c r="C32" s="9"/>
      <c r="D32" s="9"/>
      <c r="E32" s="31" t="str">
        <f aca="false">IF(OR(C32="",D32=""),"",INDEX({"BAJA","MEDIA","ALTA","CRÍTICA"},IF(MATCH(C32,16_LISTAS!$M$4:$M$6,0)*MATCH(D32,16_LISTAS!$M$4:$M$6,0)&gt;=6,4,IF(MATCH(C32,16_LISTAS!$M$4:$M$6,0)*MATCH(D32,16_LISTAS!$M$4:$M$6,0)&gt;=3,3,IF(MATCH(C32,16_LISTAS!$M$4:$M$6,0)*MATCH(D32,16_LISTAS!$M$4:$M$6,0)&gt;=2,2,1)))))</f>
        <v/>
      </c>
      <c r="F32" s="9"/>
      <c r="G32" s="9"/>
      <c r="H32" s="9"/>
      <c r="I32" s="9"/>
      <c r="J32" s="9"/>
      <c r="K32" s="9"/>
    </row>
    <row r="33" customFormat="false" ht="15" hidden="false" customHeight="false" outlineLevel="0" collapsed="false">
      <c r="A33" s="9"/>
      <c r="B33" s="9"/>
      <c r="C33" s="9"/>
      <c r="D33" s="9"/>
      <c r="E33" s="31" t="str">
        <f aca="false">IF(OR(C33="",D33=""),"",INDEX({"BAJA","MEDIA","ALTA","CRÍTICA"},IF(MATCH(C33,16_LISTAS!$M$4:$M$6,0)*MATCH(D33,16_LISTAS!$M$4:$M$6,0)&gt;=6,4,IF(MATCH(C33,16_LISTAS!$M$4:$M$6,0)*MATCH(D33,16_LISTAS!$M$4:$M$6,0)&gt;=3,3,IF(MATCH(C33,16_LISTAS!$M$4:$M$6,0)*MATCH(D33,16_LISTAS!$M$4:$M$6,0)&gt;=2,2,1)))))</f>
        <v/>
      </c>
      <c r="F33" s="9"/>
      <c r="G33" s="9"/>
      <c r="H33" s="9"/>
      <c r="I33" s="9"/>
      <c r="J33" s="9"/>
      <c r="K33" s="9"/>
    </row>
    <row r="34" customFormat="false" ht="15" hidden="false" customHeight="false" outlineLevel="0" collapsed="false">
      <c r="A34" s="9"/>
      <c r="B34" s="9"/>
      <c r="C34" s="9"/>
      <c r="D34" s="9"/>
      <c r="E34" s="31" t="str">
        <f aca="false">IF(OR(C34="",D34=""),"",INDEX({"BAJA","MEDIA","ALTA","CRÍTICA"},IF(MATCH(C34,16_LISTAS!$M$4:$M$6,0)*MATCH(D34,16_LISTAS!$M$4:$M$6,0)&gt;=6,4,IF(MATCH(C34,16_LISTAS!$M$4:$M$6,0)*MATCH(D34,16_LISTAS!$M$4:$M$6,0)&gt;=3,3,IF(MATCH(C34,16_LISTAS!$M$4:$M$6,0)*MATCH(D34,16_LISTAS!$M$4:$M$6,0)&gt;=2,2,1)))))</f>
        <v/>
      </c>
      <c r="F34" s="9"/>
      <c r="G34" s="9"/>
      <c r="H34" s="9"/>
      <c r="I34" s="9"/>
      <c r="J34" s="9"/>
      <c r="K34" s="9"/>
    </row>
    <row r="35" customFormat="false" ht="15" hidden="false" customHeight="false" outlineLevel="0" collapsed="false">
      <c r="A35" s="9"/>
      <c r="B35" s="9"/>
      <c r="C35" s="9"/>
      <c r="D35" s="9"/>
      <c r="E35" s="31" t="str">
        <f aca="false">IF(OR(C35="",D35=""),"",INDEX({"BAJA","MEDIA","ALTA","CRÍTICA"},IF(MATCH(C35,16_LISTAS!$M$4:$M$6,0)*MATCH(D35,16_LISTAS!$M$4:$M$6,0)&gt;=6,4,IF(MATCH(C35,16_LISTAS!$M$4:$M$6,0)*MATCH(D35,16_LISTAS!$M$4:$M$6,0)&gt;=3,3,IF(MATCH(C35,16_LISTAS!$M$4:$M$6,0)*MATCH(D35,16_LISTAS!$M$4:$M$6,0)&gt;=2,2,1)))))</f>
        <v/>
      </c>
      <c r="F35" s="9"/>
      <c r="G35" s="9"/>
      <c r="H35" s="9"/>
      <c r="I35" s="9"/>
      <c r="J35" s="9"/>
      <c r="K35" s="9"/>
    </row>
    <row r="36" customFormat="false" ht="15" hidden="false" customHeight="false" outlineLevel="0" collapsed="false">
      <c r="A36" s="9"/>
      <c r="B36" s="9"/>
      <c r="C36" s="9"/>
      <c r="D36" s="9"/>
      <c r="E36" s="31" t="str">
        <f aca="false">IF(OR(C36="",D36=""),"",INDEX({"BAJA","MEDIA","ALTA","CRÍTICA"},IF(MATCH(C36,16_LISTAS!$M$4:$M$6,0)*MATCH(D36,16_LISTAS!$M$4:$M$6,0)&gt;=6,4,IF(MATCH(C36,16_LISTAS!$M$4:$M$6,0)*MATCH(D36,16_LISTAS!$M$4:$M$6,0)&gt;=3,3,IF(MATCH(C36,16_LISTAS!$M$4:$M$6,0)*MATCH(D36,16_LISTAS!$M$4:$M$6,0)&gt;=2,2,1)))))</f>
        <v/>
      </c>
      <c r="F36" s="9"/>
      <c r="G36" s="9"/>
      <c r="H36" s="9"/>
      <c r="I36" s="9"/>
      <c r="J36" s="9"/>
      <c r="K36" s="9"/>
    </row>
    <row r="37" customFormat="false" ht="15" hidden="false" customHeight="false" outlineLevel="0" collapsed="false">
      <c r="A37" s="9"/>
      <c r="B37" s="9"/>
      <c r="C37" s="9"/>
      <c r="D37" s="9"/>
      <c r="E37" s="31" t="str">
        <f aca="false">IF(OR(C37="",D37=""),"",INDEX({"BAJA","MEDIA","ALTA","CRÍTICA"},IF(MATCH(C37,16_LISTAS!$M$4:$M$6,0)*MATCH(D37,16_LISTAS!$M$4:$M$6,0)&gt;=6,4,IF(MATCH(C37,16_LISTAS!$M$4:$M$6,0)*MATCH(D37,16_LISTAS!$M$4:$M$6,0)&gt;=3,3,IF(MATCH(C37,16_LISTAS!$M$4:$M$6,0)*MATCH(D37,16_LISTAS!$M$4:$M$6,0)&gt;=2,2,1)))))</f>
        <v/>
      </c>
      <c r="F37" s="9"/>
      <c r="G37" s="9"/>
      <c r="H37" s="9"/>
      <c r="I37" s="9"/>
      <c r="J37" s="9"/>
      <c r="K37" s="9"/>
    </row>
    <row r="38" customFormat="false" ht="15" hidden="false" customHeight="false" outlineLevel="0" collapsed="false">
      <c r="A38" s="9"/>
      <c r="B38" s="9"/>
      <c r="C38" s="9"/>
      <c r="D38" s="9"/>
      <c r="E38" s="31" t="str">
        <f aca="false">IF(OR(C38="",D38=""),"",INDEX({"BAJA","MEDIA","ALTA","CRÍTICA"},IF(MATCH(C38,16_LISTAS!$M$4:$M$6,0)*MATCH(D38,16_LISTAS!$M$4:$M$6,0)&gt;=6,4,IF(MATCH(C38,16_LISTAS!$M$4:$M$6,0)*MATCH(D38,16_LISTAS!$M$4:$M$6,0)&gt;=3,3,IF(MATCH(C38,16_LISTAS!$M$4:$M$6,0)*MATCH(D38,16_LISTAS!$M$4:$M$6,0)&gt;=2,2,1)))))</f>
        <v/>
      </c>
      <c r="F38" s="9"/>
      <c r="G38" s="9"/>
      <c r="H38" s="9"/>
      <c r="I38" s="9"/>
      <c r="J38" s="9"/>
      <c r="K38" s="9"/>
    </row>
    <row r="39" customFormat="false" ht="15" hidden="false" customHeight="false" outlineLevel="0" collapsed="false">
      <c r="A39" s="9"/>
      <c r="B39" s="9"/>
      <c r="C39" s="9"/>
      <c r="D39" s="9"/>
      <c r="E39" s="31" t="str">
        <f aca="false">IF(OR(C39="",D39=""),"",INDEX({"BAJA","MEDIA","ALTA","CRÍTICA"},IF(MATCH(C39,16_LISTAS!$M$4:$M$6,0)*MATCH(D39,16_LISTAS!$M$4:$M$6,0)&gt;=6,4,IF(MATCH(C39,16_LISTAS!$M$4:$M$6,0)*MATCH(D39,16_LISTAS!$M$4:$M$6,0)&gt;=3,3,IF(MATCH(C39,16_LISTAS!$M$4:$M$6,0)*MATCH(D39,16_LISTAS!$M$4:$M$6,0)&gt;=2,2,1)))))</f>
        <v/>
      </c>
      <c r="F39" s="9"/>
      <c r="G39" s="9"/>
      <c r="H39" s="9"/>
      <c r="I39" s="9"/>
      <c r="J39" s="9"/>
      <c r="K39" s="9"/>
    </row>
    <row r="40" customFormat="false" ht="15" hidden="false" customHeight="false" outlineLevel="0" collapsed="false">
      <c r="A40" s="9"/>
      <c r="B40" s="9"/>
      <c r="C40" s="9"/>
      <c r="D40" s="9"/>
      <c r="E40" s="31" t="str">
        <f aca="false">IF(OR(C40="",D40=""),"",INDEX({"BAJA","MEDIA","ALTA","CRÍTICA"},IF(MATCH(C40,16_LISTAS!$M$4:$M$6,0)*MATCH(D40,16_LISTAS!$M$4:$M$6,0)&gt;=6,4,IF(MATCH(C40,16_LISTAS!$M$4:$M$6,0)*MATCH(D40,16_LISTAS!$M$4:$M$6,0)&gt;=3,3,IF(MATCH(C40,16_LISTAS!$M$4:$M$6,0)*MATCH(D40,16_LISTAS!$M$4:$M$6,0)&gt;=2,2,1)))))</f>
        <v/>
      </c>
      <c r="F40" s="9"/>
      <c r="G40" s="9"/>
      <c r="H40" s="9"/>
      <c r="I40" s="9"/>
      <c r="J40" s="9"/>
      <c r="K40" s="9"/>
    </row>
    <row r="41" customFormat="false" ht="15" hidden="false" customHeight="false" outlineLevel="0" collapsed="false">
      <c r="A41" s="9"/>
      <c r="B41" s="9"/>
      <c r="C41" s="9"/>
      <c r="D41" s="9"/>
      <c r="E41" s="31" t="str">
        <f aca="false">IF(OR(C41="",D41=""),"",INDEX({"BAJA","MEDIA","ALTA","CRÍTICA"},IF(MATCH(C41,16_LISTAS!$M$4:$M$6,0)*MATCH(D41,16_LISTAS!$M$4:$M$6,0)&gt;=6,4,IF(MATCH(C41,16_LISTAS!$M$4:$M$6,0)*MATCH(D41,16_LISTAS!$M$4:$M$6,0)&gt;=3,3,IF(MATCH(C41,16_LISTAS!$M$4:$M$6,0)*MATCH(D41,16_LISTAS!$M$4:$M$6,0)&gt;=2,2,1)))))</f>
        <v/>
      </c>
      <c r="F41" s="9"/>
      <c r="G41" s="9"/>
      <c r="H41" s="9"/>
      <c r="I41" s="9"/>
      <c r="J41" s="9"/>
      <c r="K41" s="9"/>
    </row>
  </sheetData>
  <conditionalFormatting sqref="E2:E41">
    <cfRule type="expression" priority="2" aboveAverage="0" equalAverage="0" bottom="0" percent="0" rank="0" text="" dxfId="18">
      <formula>E2="CRÍTICA"</formula>
    </cfRule>
    <cfRule type="expression" priority="3" aboveAverage="0" equalAverage="0" bottom="0" percent="0" rank="0" text="" dxfId="19">
      <formula>E2="ALTA"</formula>
    </cfRule>
  </conditionalFormatting>
  <dataValidations count="3">
    <dataValidation allowBlank="true" error="Valor no permitido. Use la lista desplegable." errorStyle="stop" errorTitle="DCIP 2.3" operator="between" showDropDown="false" showErrorMessage="false" showInputMessage="false" sqref="C2:D41" type="list">
      <formula1>16_LISTAS!$M$4:$M$6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H2:H41" type="list">
      <formula1>16_LISTAS!$S$7:$S$9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J2:J41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7" min="4" style="0" width="30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7" t="s">
        <v>796</v>
      </c>
      <c r="B1" s="7" t="s">
        <v>91</v>
      </c>
      <c r="C1" s="7" t="s">
        <v>609</v>
      </c>
      <c r="D1" s="7" t="s">
        <v>797</v>
      </c>
      <c r="E1" s="7" t="s">
        <v>777</v>
      </c>
      <c r="F1" s="7" t="s">
        <v>798</v>
      </c>
      <c r="G1" s="7" t="s">
        <v>799</v>
      </c>
      <c r="H1" s="7" t="s">
        <v>631</v>
      </c>
      <c r="I1" s="7" t="s">
        <v>551</v>
      </c>
    </row>
    <row r="2" customFormat="false" ht="60" hidden="false" customHeight="true" outlineLevel="0" collapsed="false">
      <c r="A2" s="31" t="s">
        <v>800</v>
      </c>
      <c r="B2" s="16" t="s">
        <v>308</v>
      </c>
      <c r="C2" s="9"/>
      <c r="D2" s="9"/>
      <c r="E2" s="9"/>
      <c r="F2" s="9"/>
      <c r="G2" s="9"/>
      <c r="H2" s="9"/>
      <c r="I2" s="9"/>
    </row>
    <row r="3" customFormat="false" ht="60" hidden="false" customHeight="true" outlineLevel="0" collapsed="false">
      <c r="A3" s="31" t="s">
        <v>801</v>
      </c>
      <c r="B3" s="16" t="s">
        <v>308</v>
      </c>
      <c r="C3" s="9"/>
      <c r="D3" s="9"/>
      <c r="E3" s="9"/>
      <c r="F3" s="9"/>
      <c r="G3" s="9"/>
      <c r="H3" s="9"/>
      <c r="I3" s="9"/>
    </row>
    <row r="4" customFormat="false" ht="60" hidden="false" customHeight="true" outlineLevel="0" collapsed="false">
      <c r="A4" s="31" t="s">
        <v>802</v>
      </c>
      <c r="B4" s="16" t="s">
        <v>308</v>
      </c>
      <c r="C4" s="9"/>
      <c r="D4" s="9"/>
      <c r="E4" s="9"/>
      <c r="F4" s="9"/>
      <c r="G4" s="9"/>
      <c r="H4" s="9"/>
      <c r="I4" s="9"/>
    </row>
    <row r="5" customFormat="false" ht="60" hidden="false" customHeight="true" outlineLevel="0" collapsed="false">
      <c r="A5" s="31" t="s">
        <v>800</v>
      </c>
      <c r="B5" s="16" t="s">
        <v>480</v>
      </c>
      <c r="C5" s="9"/>
      <c r="D5" s="9"/>
      <c r="E5" s="9"/>
      <c r="F5" s="9"/>
      <c r="G5" s="9"/>
      <c r="H5" s="9"/>
      <c r="I5" s="9"/>
    </row>
    <row r="6" customFormat="false" ht="60" hidden="false" customHeight="true" outlineLevel="0" collapsed="false">
      <c r="A6" s="31" t="s">
        <v>801</v>
      </c>
      <c r="B6" s="16" t="s">
        <v>480</v>
      </c>
      <c r="C6" s="9"/>
      <c r="D6" s="9"/>
      <c r="E6" s="9"/>
      <c r="F6" s="9"/>
      <c r="G6" s="9"/>
      <c r="H6" s="9"/>
      <c r="I6" s="9"/>
    </row>
    <row r="7" customFormat="false" ht="60" hidden="false" customHeight="true" outlineLevel="0" collapsed="false">
      <c r="A7" s="31" t="s">
        <v>802</v>
      </c>
      <c r="B7" s="16" t="s">
        <v>480</v>
      </c>
      <c r="C7" s="9"/>
      <c r="D7" s="9"/>
      <c r="E7" s="9"/>
      <c r="F7" s="9"/>
      <c r="G7" s="9"/>
      <c r="H7" s="9"/>
      <c r="I7" s="9"/>
    </row>
    <row r="8" customFormat="false" ht="60" hidden="false" customHeight="true" outlineLevel="0" collapsed="false">
      <c r="A8" s="31" t="s">
        <v>800</v>
      </c>
      <c r="B8" s="16" t="s">
        <v>489</v>
      </c>
      <c r="C8" s="9"/>
      <c r="D8" s="9"/>
      <c r="E8" s="9"/>
      <c r="F8" s="9"/>
      <c r="G8" s="9"/>
      <c r="H8" s="9"/>
      <c r="I8" s="9"/>
    </row>
    <row r="9" customFormat="false" ht="60" hidden="false" customHeight="true" outlineLevel="0" collapsed="false">
      <c r="A9" s="31" t="s">
        <v>801</v>
      </c>
      <c r="B9" s="16" t="s">
        <v>489</v>
      </c>
      <c r="C9" s="9"/>
      <c r="D9" s="9"/>
      <c r="E9" s="9"/>
      <c r="F9" s="9"/>
      <c r="G9" s="9"/>
      <c r="H9" s="9"/>
      <c r="I9" s="9"/>
    </row>
    <row r="10" customFormat="false" ht="60" hidden="false" customHeight="true" outlineLevel="0" collapsed="false">
      <c r="A10" s="31" t="s">
        <v>802</v>
      </c>
      <c r="B10" s="16" t="s">
        <v>489</v>
      </c>
      <c r="C10" s="9"/>
      <c r="D10" s="9"/>
      <c r="E10" s="9"/>
      <c r="F10" s="9"/>
      <c r="G10" s="9"/>
      <c r="H10" s="9"/>
      <c r="I10" s="9"/>
    </row>
  </sheetData>
  <dataValidations count="1">
    <dataValidation allowBlank="true" error="Valor no permitido. Use la lista desplegable." errorStyle="stop" errorTitle="DCIP 2.3" operator="between" showDropDown="false" showErrorMessage="false" showInputMessage="false" sqref="I2:I10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7" t="s">
        <v>803</v>
      </c>
      <c r="B1" s="7" t="s">
        <v>804</v>
      </c>
      <c r="C1" s="7" t="s">
        <v>805</v>
      </c>
      <c r="D1" s="7" t="s">
        <v>806</v>
      </c>
      <c r="E1" s="7" t="s">
        <v>807</v>
      </c>
      <c r="F1" s="7" t="s">
        <v>808</v>
      </c>
      <c r="G1" s="7" t="s">
        <v>809</v>
      </c>
      <c r="H1" s="7" t="s">
        <v>651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</row>
  </sheetData>
  <dataValidations count="4">
    <dataValidation allowBlank="true" error="Valor no permitido. Use la lista desplegable." errorStyle="stop" errorTitle="DCIP 2.3" operator="between" showDropDown="false" showErrorMessage="false" showInputMessage="false" sqref="A2:A41" type="list">
      <formula1>16_LISTAS!$M$4:$M$6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B2:B41" type="list">
      <formula1>16_LISTAS!$K$13:$K$27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F2:F41" type="list">
      <formula1>"Mensual,Trimestral,Semestral,Anual,Evento"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H2:H41" type="list">
      <formula1>"ACTIVA,DISPARADA,CERRADA"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M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6"/>
    <col collapsed="false" customWidth="true" hidden="false" outlineLevel="0" max="8" min="8" style="0" width="8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3.85" hidden="false" customHeight="false" outlineLevel="0" collapsed="false">
      <c r="A1" s="7" t="s">
        <v>635</v>
      </c>
      <c r="B1" s="7" t="s">
        <v>810</v>
      </c>
      <c r="C1" s="7" t="s">
        <v>44</v>
      </c>
      <c r="D1" s="7" t="s">
        <v>811</v>
      </c>
      <c r="E1" s="7" t="s">
        <v>812</v>
      </c>
      <c r="F1" s="7" t="s">
        <v>813</v>
      </c>
      <c r="G1" s="7" t="s">
        <v>814</v>
      </c>
      <c r="H1" s="7" t="s">
        <v>640</v>
      </c>
      <c r="I1" s="7" t="s">
        <v>638</v>
      </c>
      <c r="J1" s="7" t="s">
        <v>52</v>
      </c>
      <c r="K1" s="7" t="s">
        <v>639</v>
      </c>
      <c r="L1" s="7" t="s">
        <v>815</v>
      </c>
      <c r="M1" s="7" t="s">
        <v>561</v>
      </c>
    </row>
    <row r="2" customFormat="false" ht="15" hidden="false" customHeight="false" outlineLevel="0" collapsed="false">
      <c r="A2" s="9"/>
      <c r="B2" s="9"/>
      <c r="C2" s="9"/>
      <c r="D2" s="9"/>
      <c r="E2" s="9"/>
      <c r="F2" s="11"/>
      <c r="G2" s="9"/>
      <c r="H2" s="9"/>
      <c r="I2" s="9"/>
      <c r="J2" s="9"/>
      <c r="K2" s="9"/>
      <c r="L2" s="9"/>
      <c r="M2" s="9"/>
    </row>
    <row r="3" customFormat="false" ht="15" hidden="false" customHeight="false" outlineLevel="0" collapsed="false">
      <c r="A3" s="9"/>
      <c r="B3" s="9"/>
      <c r="C3" s="9"/>
      <c r="D3" s="9"/>
      <c r="E3" s="9"/>
      <c r="F3" s="11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/>
      <c r="B4" s="9"/>
      <c r="C4" s="9"/>
      <c r="D4" s="9"/>
      <c r="E4" s="9"/>
      <c r="F4" s="11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9"/>
      <c r="B5" s="9"/>
      <c r="C5" s="9"/>
      <c r="D5" s="9"/>
      <c r="E5" s="9"/>
      <c r="F5" s="11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/>
      <c r="B6" s="9"/>
      <c r="C6" s="9"/>
      <c r="D6" s="9"/>
      <c r="E6" s="9"/>
      <c r="F6" s="11"/>
      <c r="G6" s="9"/>
      <c r="H6" s="9"/>
      <c r="I6" s="9"/>
      <c r="J6" s="9"/>
      <c r="K6" s="9"/>
      <c r="L6" s="9"/>
      <c r="M6" s="9"/>
    </row>
    <row r="7" customFormat="false" ht="15" hidden="false" customHeight="false" outlineLevel="0" collapsed="false">
      <c r="A7" s="9"/>
      <c r="B7" s="9"/>
      <c r="C7" s="9"/>
      <c r="D7" s="9"/>
      <c r="E7" s="9"/>
      <c r="F7" s="11"/>
      <c r="G7" s="9"/>
      <c r="H7" s="9"/>
      <c r="I7" s="9"/>
      <c r="J7" s="9"/>
      <c r="K7" s="9"/>
      <c r="L7" s="9"/>
      <c r="M7" s="9"/>
    </row>
    <row r="8" customFormat="false" ht="15" hidden="false" customHeight="false" outlineLevel="0" collapsed="false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9"/>
    </row>
    <row r="9" customFormat="false" ht="15" hidden="false" customHeight="false" outlineLevel="0" collapsed="false">
      <c r="A9" s="9"/>
      <c r="B9" s="9"/>
      <c r="C9" s="9"/>
      <c r="D9" s="9"/>
      <c r="E9" s="9"/>
      <c r="F9" s="11"/>
      <c r="G9" s="9"/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11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11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11"/>
      <c r="G13" s="9"/>
      <c r="H13" s="9"/>
      <c r="I13" s="9"/>
      <c r="J13" s="9"/>
      <c r="K13" s="9"/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11"/>
      <c r="G14" s="9"/>
      <c r="H14" s="9"/>
      <c r="I14" s="9"/>
      <c r="J14" s="9"/>
      <c r="K14" s="9"/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11"/>
      <c r="G15" s="9"/>
      <c r="H15" s="9"/>
      <c r="I15" s="9"/>
      <c r="J15" s="9"/>
      <c r="K15" s="9"/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11"/>
      <c r="G16" s="9"/>
      <c r="H16" s="9"/>
      <c r="I16" s="9"/>
      <c r="J16" s="9"/>
      <c r="K16" s="9"/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11"/>
      <c r="G17" s="9"/>
      <c r="H17" s="9"/>
      <c r="I17" s="9"/>
      <c r="J17" s="9"/>
      <c r="K17" s="9"/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11"/>
      <c r="G18" s="9"/>
      <c r="H18" s="9"/>
      <c r="I18" s="9"/>
      <c r="J18" s="9"/>
      <c r="K18" s="9"/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11"/>
      <c r="G20" s="9"/>
      <c r="H20" s="9"/>
      <c r="I20" s="9"/>
      <c r="J20" s="9"/>
      <c r="K20" s="9"/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11"/>
      <c r="G21" s="9"/>
      <c r="H21" s="9"/>
      <c r="I21" s="9"/>
      <c r="J21" s="9"/>
      <c r="K21" s="9"/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11"/>
      <c r="G22" s="9"/>
      <c r="H22" s="9"/>
      <c r="I22" s="9"/>
      <c r="J22" s="9"/>
      <c r="K22" s="9"/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11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11"/>
      <c r="G24" s="9"/>
      <c r="H24" s="9"/>
      <c r="I24" s="9"/>
      <c r="J24" s="9"/>
      <c r="K24" s="9"/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11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11"/>
      <c r="G26" s="9"/>
      <c r="H26" s="9"/>
      <c r="I26" s="9"/>
      <c r="J26" s="9"/>
      <c r="K26" s="9"/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11"/>
      <c r="G27" s="9"/>
      <c r="H27" s="9"/>
      <c r="I27" s="9"/>
      <c r="J27" s="9"/>
      <c r="K27" s="9"/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11"/>
      <c r="G28" s="9"/>
      <c r="H28" s="9"/>
      <c r="I28" s="9"/>
      <c r="J28" s="9"/>
      <c r="K28" s="9"/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11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11"/>
      <c r="G30" s="9"/>
      <c r="H30" s="9"/>
      <c r="I30" s="9"/>
      <c r="J30" s="9"/>
      <c r="K30" s="9"/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11"/>
      <c r="G31" s="9"/>
      <c r="H31" s="9"/>
      <c r="I31" s="9"/>
      <c r="J31" s="9"/>
      <c r="K31" s="9"/>
      <c r="L31" s="9"/>
      <c r="M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11"/>
      <c r="G32" s="9"/>
      <c r="H32" s="9"/>
      <c r="I32" s="9"/>
      <c r="J32" s="9"/>
      <c r="K32" s="9"/>
      <c r="L32" s="9"/>
      <c r="M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11"/>
      <c r="G33" s="9"/>
      <c r="H33" s="9"/>
      <c r="I33" s="9"/>
      <c r="J33" s="9"/>
      <c r="K33" s="9"/>
      <c r="L33" s="9"/>
      <c r="M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11"/>
      <c r="G34" s="9"/>
      <c r="H34" s="9"/>
      <c r="I34" s="9"/>
      <c r="J34" s="9"/>
      <c r="K34" s="9"/>
      <c r="L34" s="9"/>
      <c r="M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11"/>
      <c r="G35" s="9"/>
      <c r="H35" s="9"/>
      <c r="I35" s="9"/>
      <c r="J35" s="9"/>
      <c r="K35" s="9"/>
      <c r="L35" s="9"/>
      <c r="M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11"/>
      <c r="G36" s="9"/>
      <c r="H36" s="9"/>
      <c r="I36" s="9"/>
      <c r="J36" s="9"/>
      <c r="K36" s="9"/>
      <c r="L36" s="9"/>
      <c r="M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11"/>
      <c r="G37" s="9"/>
      <c r="H37" s="9"/>
      <c r="I37" s="9"/>
      <c r="J37" s="9"/>
      <c r="K37" s="9"/>
      <c r="L37" s="9"/>
      <c r="M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11"/>
      <c r="G38" s="9"/>
      <c r="H38" s="9"/>
      <c r="I38" s="9"/>
      <c r="J38" s="9"/>
      <c r="K38" s="9"/>
      <c r="L38" s="9"/>
      <c r="M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11"/>
      <c r="G39" s="9"/>
      <c r="H39" s="9"/>
      <c r="I39" s="9"/>
      <c r="J39" s="9"/>
      <c r="K39" s="9"/>
      <c r="L39" s="9"/>
      <c r="M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11"/>
      <c r="G40" s="9"/>
      <c r="H40" s="9"/>
      <c r="I40" s="9"/>
      <c r="J40" s="9"/>
      <c r="K40" s="9"/>
      <c r="L40" s="9"/>
      <c r="M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11"/>
      <c r="G41" s="9"/>
      <c r="H41" s="9"/>
      <c r="I41" s="9"/>
      <c r="J41" s="9"/>
      <c r="K41" s="9"/>
      <c r="L41" s="9"/>
      <c r="M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11"/>
      <c r="G42" s="9"/>
      <c r="H42" s="9"/>
      <c r="I42" s="9"/>
      <c r="J42" s="9"/>
      <c r="K42" s="9"/>
      <c r="L42" s="9"/>
      <c r="M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11"/>
      <c r="G43" s="9"/>
      <c r="H43" s="9"/>
      <c r="I43" s="9"/>
      <c r="J43" s="9"/>
      <c r="K43" s="9"/>
      <c r="L43" s="9"/>
      <c r="M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11"/>
      <c r="G44" s="9"/>
      <c r="H44" s="9"/>
      <c r="I44" s="9"/>
      <c r="J44" s="9"/>
      <c r="K44" s="9"/>
      <c r="L44" s="9"/>
      <c r="M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11"/>
      <c r="G45" s="9"/>
      <c r="H45" s="9"/>
      <c r="I45" s="9"/>
      <c r="J45" s="9"/>
      <c r="K45" s="9"/>
      <c r="L45" s="9"/>
      <c r="M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11"/>
      <c r="G46" s="9"/>
      <c r="H46" s="9"/>
      <c r="I46" s="9"/>
      <c r="J46" s="9"/>
      <c r="K46" s="9"/>
      <c r="L46" s="9"/>
      <c r="M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11"/>
      <c r="G47" s="9"/>
      <c r="H47" s="9"/>
      <c r="I47" s="9"/>
      <c r="J47" s="9"/>
      <c r="K47" s="9"/>
      <c r="L47" s="9"/>
      <c r="M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11"/>
      <c r="G48" s="9"/>
      <c r="H48" s="9"/>
      <c r="I48" s="9"/>
      <c r="J48" s="9"/>
      <c r="K48" s="9"/>
      <c r="L48" s="9"/>
      <c r="M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11"/>
      <c r="G49" s="9"/>
      <c r="H49" s="9"/>
      <c r="I49" s="9"/>
      <c r="J49" s="9"/>
      <c r="K49" s="9"/>
      <c r="L49" s="9"/>
      <c r="M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11"/>
      <c r="G50" s="9"/>
      <c r="H50" s="9"/>
      <c r="I50" s="9"/>
      <c r="J50" s="9"/>
      <c r="K50" s="9"/>
      <c r="L50" s="9"/>
      <c r="M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11"/>
      <c r="G51" s="9"/>
      <c r="H51" s="9"/>
      <c r="I51" s="9"/>
      <c r="J51" s="9"/>
      <c r="K51" s="9"/>
      <c r="L51" s="9"/>
      <c r="M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11"/>
      <c r="G52" s="9"/>
      <c r="H52" s="9"/>
      <c r="I52" s="9"/>
      <c r="J52" s="9"/>
      <c r="K52" s="9"/>
      <c r="L52" s="9"/>
      <c r="M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11"/>
      <c r="G53" s="9"/>
      <c r="H53" s="9"/>
      <c r="I53" s="9"/>
      <c r="J53" s="9"/>
      <c r="K53" s="9"/>
      <c r="L53" s="9"/>
      <c r="M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11"/>
      <c r="G54" s="9"/>
      <c r="H54" s="9"/>
      <c r="I54" s="9"/>
      <c r="J54" s="9"/>
      <c r="K54" s="9"/>
      <c r="L54" s="9"/>
      <c r="M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11"/>
      <c r="G55" s="9"/>
      <c r="H55" s="9"/>
      <c r="I55" s="9"/>
      <c r="J55" s="9"/>
      <c r="K55" s="9"/>
      <c r="L55" s="9"/>
      <c r="M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11"/>
      <c r="G56" s="9"/>
      <c r="H56" s="9"/>
      <c r="I56" s="9"/>
      <c r="J56" s="9"/>
      <c r="K56" s="9"/>
      <c r="L56" s="9"/>
      <c r="M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11"/>
      <c r="G57" s="9"/>
      <c r="H57" s="9"/>
      <c r="I57" s="9"/>
      <c r="J57" s="9"/>
      <c r="K57" s="9"/>
      <c r="L57" s="9"/>
      <c r="M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11"/>
      <c r="G58" s="9"/>
      <c r="H58" s="9"/>
      <c r="I58" s="9"/>
      <c r="J58" s="9"/>
      <c r="K58" s="9"/>
      <c r="L58" s="9"/>
      <c r="M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11"/>
      <c r="G59" s="9"/>
      <c r="H59" s="9"/>
      <c r="I59" s="9"/>
      <c r="J59" s="9"/>
      <c r="K59" s="9"/>
      <c r="L59" s="9"/>
      <c r="M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11"/>
      <c r="G60" s="9"/>
      <c r="H60" s="9"/>
      <c r="I60" s="9"/>
      <c r="J60" s="9"/>
      <c r="K60" s="9"/>
      <c r="L60" s="9"/>
      <c r="M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11"/>
      <c r="G61" s="9"/>
      <c r="H61" s="9"/>
      <c r="I61" s="9"/>
      <c r="J61" s="9"/>
      <c r="K61" s="9"/>
      <c r="L61" s="9"/>
      <c r="M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11"/>
      <c r="G62" s="9"/>
      <c r="H62" s="9"/>
      <c r="I62" s="9"/>
      <c r="J62" s="9"/>
      <c r="K62" s="9"/>
      <c r="L62" s="9"/>
      <c r="M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11"/>
      <c r="G63" s="9"/>
      <c r="H63" s="9"/>
      <c r="I63" s="9"/>
      <c r="J63" s="9"/>
      <c r="K63" s="9"/>
      <c r="L63" s="9"/>
      <c r="M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11"/>
      <c r="G64" s="9"/>
      <c r="H64" s="9"/>
      <c r="I64" s="9"/>
      <c r="J64" s="9"/>
      <c r="K64" s="9"/>
      <c r="L64" s="9"/>
      <c r="M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11"/>
      <c r="G65" s="9"/>
      <c r="H65" s="9"/>
      <c r="I65" s="9"/>
      <c r="J65" s="9"/>
      <c r="K65" s="9"/>
      <c r="L65" s="9"/>
      <c r="M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11"/>
      <c r="G66" s="9"/>
      <c r="H66" s="9"/>
      <c r="I66" s="9"/>
      <c r="J66" s="9"/>
      <c r="K66" s="9"/>
      <c r="L66" s="9"/>
      <c r="M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11"/>
      <c r="G67" s="9"/>
      <c r="H67" s="9"/>
      <c r="I67" s="9"/>
      <c r="J67" s="9"/>
      <c r="K67" s="9"/>
      <c r="L67" s="9"/>
      <c r="M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11"/>
      <c r="G68" s="9"/>
      <c r="H68" s="9"/>
      <c r="I68" s="9"/>
      <c r="J68" s="9"/>
      <c r="K68" s="9"/>
      <c r="L68" s="9"/>
      <c r="M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11"/>
      <c r="G69" s="9"/>
      <c r="H69" s="9"/>
      <c r="I69" s="9"/>
      <c r="J69" s="9"/>
      <c r="K69" s="9"/>
      <c r="L69" s="9"/>
      <c r="M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11"/>
      <c r="G70" s="9"/>
      <c r="H70" s="9"/>
      <c r="I70" s="9"/>
      <c r="J70" s="9"/>
      <c r="K70" s="9"/>
      <c r="L70" s="9"/>
      <c r="M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11"/>
      <c r="G71" s="9"/>
      <c r="H71" s="9"/>
      <c r="I71" s="9"/>
      <c r="J71" s="9"/>
      <c r="K71" s="9"/>
      <c r="L71" s="9"/>
      <c r="M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11"/>
      <c r="G72" s="9"/>
      <c r="H72" s="9"/>
      <c r="I72" s="9"/>
      <c r="J72" s="9"/>
      <c r="K72" s="9"/>
      <c r="L72" s="9"/>
      <c r="M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11"/>
      <c r="G73" s="9"/>
      <c r="H73" s="9"/>
      <c r="I73" s="9"/>
      <c r="J73" s="9"/>
      <c r="K73" s="9"/>
      <c r="L73" s="9"/>
      <c r="M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11"/>
      <c r="G74" s="9"/>
      <c r="H74" s="9"/>
      <c r="I74" s="9"/>
      <c r="J74" s="9"/>
      <c r="K74" s="9"/>
      <c r="L74" s="9"/>
      <c r="M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11"/>
      <c r="G75" s="9"/>
      <c r="H75" s="9"/>
      <c r="I75" s="9"/>
      <c r="J75" s="9"/>
      <c r="K75" s="9"/>
      <c r="L75" s="9"/>
      <c r="M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11"/>
      <c r="G76" s="9"/>
      <c r="H76" s="9"/>
      <c r="I76" s="9"/>
      <c r="J76" s="9"/>
      <c r="K76" s="9"/>
      <c r="L76" s="9"/>
      <c r="M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11"/>
      <c r="G77" s="9"/>
      <c r="H77" s="9"/>
      <c r="I77" s="9"/>
      <c r="J77" s="9"/>
      <c r="K77" s="9"/>
      <c r="L77" s="9"/>
      <c r="M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11"/>
      <c r="G78" s="9"/>
      <c r="H78" s="9"/>
      <c r="I78" s="9"/>
      <c r="J78" s="9"/>
      <c r="K78" s="9"/>
      <c r="L78" s="9"/>
      <c r="M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11"/>
      <c r="G79" s="9"/>
      <c r="H79" s="9"/>
      <c r="I79" s="9"/>
      <c r="J79" s="9"/>
      <c r="K79" s="9"/>
      <c r="L79" s="9"/>
      <c r="M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11"/>
      <c r="G80" s="9"/>
      <c r="H80" s="9"/>
      <c r="I80" s="9"/>
      <c r="J80" s="9"/>
      <c r="K80" s="9"/>
      <c r="L80" s="9"/>
      <c r="M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11"/>
      <c r="G81" s="9"/>
      <c r="H81" s="9"/>
      <c r="I81" s="9"/>
      <c r="J81" s="9"/>
      <c r="K81" s="9"/>
      <c r="L81" s="9"/>
      <c r="M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11"/>
      <c r="G82" s="9"/>
      <c r="H82" s="9"/>
      <c r="I82" s="9"/>
      <c r="J82" s="9"/>
      <c r="K82" s="9"/>
      <c r="L82" s="9"/>
      <c r="M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11"/>
      <c r="G83" s="9"/>
      <c r="H83" s="9"/>
      <c r="I83" s="9"/>
      <c r="J83" s="9"/>
      <c r="K83" s="9"/>
      <c r="L83" s="9"/>
      <c r="M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11"/>
      <c r="G84" s="9"/>
      <c r="H84" s="9"/>
      <c r="I84" s="9"/>
      <c r="J84" s="9"/>
      <c r="K84" s="9"/>
      <c r="L84" s="9"/>
      <c r="M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11"/>
      <c r="G85" s="9"/>
      <c r="H85" s="9"/>
      <c r="I85" s="9"/>
      <c r="J85" s="9"/>
      <c r="K85" s="9"/>
      <c r="L85" s="9"/>
      <c r="M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11"/>
      <c r="G86" s="9"/>
      <c r="H86" s="9"/>
      <c r="I86" s="9"/>
      <c r="J86" s="9"/>
      <c r="K86" s="9"/>
      <c r="L86" s="9"/>
      <c r="M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11"/>
      <c r="G87" s="9"/>
      <c r="H87" s="9"/>
      <c r="I87" s="9"/>
      <c r="J87" s="9"/>
      <c r="K87" s="9"/>
      <c r="L87" s="9"/>
      <c r="M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11"/>
      <c r="G88" s="9"/>
      <c r="H88" s="9"/>
      <c r="I88" s="9"/>
      <c r="J88" s="9"/>
      <c r="K88" s="9"/>
      <c r="L88" s="9"/>
      <c r="M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11"/>
      <c r="G89" s="9"/>
      <c r="H89" s="9"/>
      <c r="I89" s="9"/>
      <c r="J89" s="9"/>
      <c r="K89" s="9"/>
      <c r="L89" s="9"/>
      <c r="M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11"/>
      <c r="G90" s="9"/>
      <c r="H90" s="9"/>
      <c r="I90" s="9"/>
      <c r="J90" s="9"/>
      <c r="K90" s="9"/>
      <c r="L90" s="9"/>
      <c r="M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11"/>
      <c r="G91" s="9"/>
      <c r="H91" s="9"/>
      <c r="I91" s="9"/>
      <c r="J91" s="9"/>
      <c r="K91" s="9"/>
      <c r="L91" s="9"/>
      <c r="M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11"/>
      <c r="G92" s="9"/>
      <c r="H92" s="9"/>
      <c r="I92" s="9"/>
      <c r="J92" s="9"/>
      <c r="K92" s="9"/>
      <c r="L92" s="9"/>
      <c r="M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11"/>
      <c r="G93" s="9"/>
      <c r="H93" s="9"/>
      <c r="I93" s="9"/>
      <c r="J93" s="9"/>
      <c r="K93" s="9"/>
      <c r="L93" s="9"/>
      <c r="M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11"/>
      <c r="G94" s="9"/>
      <c r="H94" s="9"/>
      <c r="I94" s="9"/>
      <c r="J94" s="9"/>
      <c r="K94" s="9"/>
      <c r="L94" s="9"/>
      <c r="M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11"/>
      <c r="G95" s="9"/>
      <c r="H95" s="9"/>
      <c r="I95" s="9"/>
      <c r="J95" s="9"/>
      <c r="K95" s="9"/>
      <c r="L95" s="9"/>
      <c r="M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11"/>
      <c r="G96" s="9"/>
      <c r="H96" s="9"/>
      <c r="I96" s="9"/>
      <c r="J96" s="9"/>
      <c r="K96" s="9"/>
      <c r="L96" s="9"/>
      <c r="M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11"/>
      <c r="G97" s="9"/>
      <c r="H97" s="9"/>
      <c r="I97" s="9"/>
      <c r="J97" s="9"/>
      <c r="K97" s="9"/>
      <c r="L97" s="9"/>
      <c r="M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11"/>
      <c r="G98" s="9"/>
      <c r="H98" s="9"/>
      <c r="I98" s="9"/>
      <c r="J98" s="9"/>
      <c r="K98" s="9"/>
      <c r="L98" s="9"/>
      <c r="M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11"/>
      <c r="G99" s="9"/>
      <c r="H99" s="9"/>
      <c r="I99" s="9"/>
      <c r="J99" s="9"/>
      <c r="K99" s="9"/>
      <c r="L99" s="9"/>
      <c r="M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11"/>
      <c r="G100" s="9"/>
      <c r="H100" s="9"/>
      <c r="I100" s="9"/>
      <c r="J100" s="9"/>
      <c r="K100" s="9"/>
      <c r="L100" s="9"/>
      <c r="M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11"/>
      <c r="G101" s="9"/>
      <c r="H101" s="9"/>
      <c r="I101" s="9"/>
      <c r="J101" s="9"/>
      <c r="K101" s="9"/>
      <c r="L101" s="9"/>
      <c r="M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11"/>
      <c r="G102" s="9"/>
      <c r="H102" s="9"/>
      <c r="I102" s="9"/>
      <c r="J102" s="9"/>
      <c r="K102" s="9"/>
      <c r="L102" s="9"/>
      <c r="M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11"/>
      <c r="G103" s="9"/>
      <c r="H103" s="9"/>
      <c r="I103" s="9"/>
      <c r="J103" s="9"/>
      <c r="K103" s="9"/>
      <c r="L103" s="9"/>
      <c r="M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11"/>
      <c r="G104" s="9"/>
      <c r="H104" s="9"/>
      <c r="I104" s="9"/>
      <c r="J104" s="9"/>
      <c r="K104" s="9"/>
      <c r="L104" s="9"/>
      <c r="M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11"/>
      <c r="G105" s="9"/>
      <c r="H105" s="9"/>
      <c r="I105" s="9"/>
      <c r="J105" s="9"/>
      <c r="K105" s="9"/>
      <c r="L105" s="9"/>
      <c r="M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11"/>
      <c r="G106" s="9"/>
      <c r="H106" s="9"/>
      <c r="I106" s="9"/>
      <c r="J106" s="9"/>
      <c r="K106" s="9"/>
      <c r="L106" s="9"/>
      <c r="M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11"/>
      <c r="G107" s="9"/>
      <c r="H107" s="9"/>
      <c r="I107" s="9"/>
      <c r="J107" s="9"/>
      <c r="K107" s="9"/>
      <c r="L107" s="9"/>
      <c r="M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11"/>
      <c r="G108" s="9"/>
      <c r="H108" s="9"/>
      <c r="I108" s="9"/>
      <c r="J108" s="9"/>
      <c r="K108" s="9"/>
      <c r="L108" s="9"/>
      <c r="M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11"/>
      <c r="G109" s="9"/>
      <c r="H109" s="9"/>
      <c r="I109" s="9"/>
      <c r="J109" s="9"/>
      <c r="K109" s="9"/>
      <c r="L109" s="9"/>
      <c r="M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11"/>
      <c r="G110" s="9"/>
      <c r="H110" s="9"/>
      <c r="I110" s="9"/>
      <c r="J110" s="9"/>
      <c r="K110" s="9"/>
      <c r="L110" s="9"/>
      <c r="M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11"/>
      <c r="G111" s="9"/>
      <c r="H111" s="9"/>
      <c r="I111" s="9"/>
      <c r="J111" s="9"/>
      <c r="K111" s="9"/>
      <c r="L111" s="9"/>
      <c r="M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11"/>
      <c r="G112" s="9"/>
      <c r="H112" s="9"/>
      <c r="I112" s="9"/>
      <c r="J112" s="9"/>
      <c r="K112" s="9"/>
      <c r="L112" s="9"/>
      <c r="M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11"/>
      <c r="G113" s="9"/>
      <c r="H113" s="9"/>
      <c r="I113" s="9"/>
      <c r="J113" s="9"/>
      <c r="K113" s="9"/>
      <c r="L113" s="9"/>
      <c r="M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11"/>
      <c r="G114" s="9"/>
      <c r="H114" s="9"/>
      <c r="I114" s="9"/>
      <c r="J114" s="9"/>
      <c r="K114" s="9"/>
      <c r="L114" s="9"/>
      <c r="M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11"/>
      <c r="G115" s="9"/>
      <c r="H115" s="9"/>
      <c r="I115" s="9"/>
      <c r="J115" s="9"/>
      <c r="K115" s="9"/>
      <c r="L115" s="9"/>
      <c r="M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11"/>
      <c r="G116" s="9"/>
      <c r="H116" s="9"/>
      <c r="I116" s="9"/>
      <c r="J116" s="9"/>
      <c r="K116" s="9"/>
      <c r="L116" s="9"/>
      <c r="M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11"/>
      <c r="G117" s="9"/>
      <c r="H117" s="9"/>
      <c r="I117" s="9"/>
      <c r="J117" s="9"/>
      <c r="K117" s="9"/>
      <c r="L117" s="9"/>
      <c r="M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11"/>
      <c r="G118" s="9"/>
      <c r="H118" s="9"/>
      <c r="I118" s="9"/>
      <c r="J118" s="9"/>
      <c r="K118" s="9"/>
      <c r="L118" s="9"/>
      <c r="M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11"/>
      <c r="G119" s="9"/>
      <c r="H119" s="9"/>
      <c r="I119" s="9"/>
      <c r="J119" s="9"/>
      <c r="K119" s="9"/>
      <c r="L119" s="9"/>
      <c r="M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11"/>
      <c r="G120" s="9"/>
      <c r="H120" s="9"/>
      <c r="I120" s="9"/>
      <c r="J120" s="9"/>
      <c r="K120" s="9"/>
      <c r="L120" s="9"/>
      <c r="M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11"/>
      <c r="G121" s="9"/>
      <c r="H121" s="9"/>
      <c r="I121" s="9"/>
      <c r="J121" s="9"/>
      <c r="K121" s="9"/>
      <c r="L121" s="9"/>
      <c r="M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11"/>
      <c r="G122" s="9"/>
      <c r="H122" s="9"/>
      <c r="I122" s="9"/>
      <c r="J122" s="9"/>
      <c r="K122" s="9"/>
      <c r="L122" s="9"/>
      <c r="M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11"/>
      <c r="G123" s="9"/>
      <c r="H123" s="9"/>
      <c r="I123" s="9"/>
      <c r="J123" s="9"/>
      <c r="K123" s="9"/>
      <c r="L123" s="9"/>
      <c r="M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11"/>
      <c r="G124" s="9"/>
      <c r="H124" s="9"/>
      <c r="I124" s="9"/>
      <c r="J124" s="9"/>
      <c r="K124" s="9"/>
      <c r="L124" s="9"/>
      <c r="M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11"/>
      <c r="G125" s="9"/>
      <c r="H125" s="9"/>
      <c r="I125" s="9"/>
      <c r="J125" s="9"/>
      <c r="K125" s="9"/>
      <c r="L125" s="9"/>
      <c r="M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11"/>
      <c r="G126" s="9"/>
      <c r="H126" s="9"/>
      <c r="I126" s="9"/>
      <c r="J126" s="9"/>
      <c r="K126" s="9"/>
      <c r="L126" s="9"/>
      <c r="M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11"/>
      <c r="G127" s="9"/>
      <c r="H127" s="9"/>
      <c r="I127" s="9"/>
      <c r="J127" s="9"/>
      <c r="K127" s="9"/>
      <c r="L127" s="9"/>
      <c r="M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11"/>
      <c r="G128" s="9"/>
      <c r="H128" s="9"/>
      <c r="I128" s="9"/>
      <c r="J128" s="9"/>
      <c r="K128" s="9"/>
      <c r="L128" s="9"/>
      <c r="M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11"/>
      <c r="G129" s="9"/>
      <c r="H129" s="9"/>
      <c r="I129" s="9"/>
      <c r="J129" s="9"/>
      <c r="K129" s="9"/>
      <c r="L129" s="9"/>
      <c r="M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11"/>
      <c r="G130" s="9"/>
      <c r="H130" s="9"/>
      <c r="I130" s="9"/>
      <c r="J130" s="9"/>
      <c r="K130" s="9"/>
      <c r="L130" s="9"/>
      <c r="M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11"/>
      <c r="G131" s="9"/>
      <c r="H131" s="9"/>
      <c r="I131" s="9"/>
      <c r="J131" s="9"/>
      <c r="K131" s="9"/>
      <c r="L131" s="9"/>
      <c r="M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11"/>
      <c r="G132" s="9"/>
      <c r="H132" s="9"/>
      <c r="I132" s="9"/>
      <c r="J132" s="9"/>
      <c r="K132" s="9"/>
      <c r="L132" s="9"/>
      <c r="M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11"/>
      <c r="G133" s="9"/>
      <c r="H133" s="9"/>
      <c r="I133" s="9"/>
      <c r="J133" s="9"/>
      <c r="K133" s="9"/>
      <c r="L133" s="9"/>
      <c r="M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11"/>
      <c r="G134" s="9"/>
      <c r="H134" s="9"/>
      <c r="I134" s="9"/>
      <c r="J134" s="9"/>
      <c r="K134" s="9"/>
      <c r="L134" s="9"/>
      <c r="M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11"/>
      <c r="G135" s="9"/>
      <c r="H135" s="9"/>
      <c r="I135" s="9"/>
      <c r="J135" s="9"/>
      <c r="K135" s="9"/>
      <c r="L135" s="9"/>
      <c r="M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11"/>
      <c r="G136" s="9"/>
      <c r="H136" s="9"/>
      <c r="I136" s="9"/>
      <c r="J136" s="9"/>
      <c r="K136" s="9"/>
      <c r="L136" s="9"/>
      <c r="M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11"/>
      <c r="G137" s="9"/>
      <c r="H137" s="9"/>
      <c r="I137" s="9"/>
      <c r="J137" s="9"/>
      <c r="K137" s="9"/>
      <c r="L137" s="9"/>
      <c r="M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11"/>
      <c r="G138" s="9"/>
      <c r="H138" s="9"/>
      <c r="I138" s="9"/>
      <c r="J138" s="9"/>
      <c r="K138" s="9"/>
      <c r="L138" s="9"/>
      <c r="M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11"/>
      <c r="G139" s="9"/>
      <c r="H139" s="9"/>
      <c r="I139" s="9"/>
      <c r="J139" s="9"/>
      <c r="K139" s="9"/>
      <c r="L139" s="9"/>
      <c r="M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11"/>
      <c r="G140" s="9"/>
      <c r="H140" s="9"/>
      <c r="I140" s="9"/>
      <c r="J140" s="9"/>
      <c r="K140" s="9"/>
      <c r="L140" s="9"/>
      <c r="M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11"/>
      <c r="G141" s="9"/>
      <c r="H141" s="9"/>
      <c r="I141" s="9"/>
      <c r="J141" s="9"/>
      <c r="K141" s="9"/>
      <c r="L141" s="9"/>
      <c r="M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11"/>
      <c r="G142" s="9"/>
      <c r="H142" s="9"/>
      <c r="I142" s="9"/>
      <c r="J142" s="9"/>
      <c r="K142" s="9"/>
      <c r="L142" s="9"/>
      <c r="M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11"/>
      <c r="G143" s="9"/>
      <c r="H143" s="9"/>
      <c r="I143" s="9"/>
      <c r="J143" s="9"/>
      <c r="K143" s="9"/>
      <c r="L143" s="9"/>
      <c r="M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11"/>
      <c r="G144" s="9"/>
      <c r="H144" s="9"/>
      <c r="I144" s="9"/>
      <c r="J144" s="9"/>
      <c r="K144" s="9"/>
      <c r="L144" s="9"/>
      <c r="M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11"/>
      <c r="G145" s="9"/>
      <c r="H145" s="9"/>
      <c r="I145" s="9"/>
      <c r="J145" s="9"/>
      <c r="K145" s="9"/>
      <c r="L145" s="9"/>
      <c r="M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11"/>
      <c r="G146" s="9"/>
      <c r="H146" s="9"/>
      <c r="I146" s="9"/>
      <c r="J146" s="9"/>
      <c r="K146" s="9"/>
      <c r="L146" s="9"/>
      <c r="M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11"/>
      <c r="G147" s="9"/>
      <c r="H147" s="9"/>
      <c r="I147" s="9"/>
      <c r="J147" s="9"/>
      <c r="K147" s="9"/>
      <c r="L147" s="9"/>
      <c r="M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11"/>
      <c r="G148" s="9"/>
      <c r="H148" s="9"/>
      <c r="I148" s="9"/>
      <c r="J148" s="9"/>
      <c r="K148" s="9"/>
      <c r="L148" s="9"/>
      <c r="M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11"/>
      <c r="G149" s="9"/>
      <c r="H149" s="9"/>
      <c r="I149" s="9"/>
      <c r="J149" s="9"/>
      <c r="K149" s="9"/>
      <c r="L149" s="9"/>
      <c r="M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11"/>
      <c r="G150" s="9"/>
      <c r="H150" s="9"/>
      <c r="I150" s="9"/>
      <c r="J150" s="9"/>
      <c r="K150" s="9"/>
      <c r="L150" s="9"/>
      <c r="M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11"/>
      <c r="G151" s="9"/>
      <c r="H151" s="9"/>
      <c r="I151" s="9"/>
      <c r="J151" s="9"/>
      <c r="K151" s="9"/>
      <c r="L151" s="9"/>
      <c r="M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11"/>
      <c r="G152" s="9"/>
      <c r="H152" s="9"/>
      <c r="I152" s="9"/>
      <c r="J152" s="9"/>
      <c r="K152" s="9"/>
      <c r="L152" s="9"/>
      <c r="M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11"/>
      <c r="G153" s="9"/>
      <c r="H153" s="9"/>
      <c r="I153" s="9"/>
      <c r="J153" s="9"/>
      <c r="K153" s="9"/>
      <c r="L153" s="9"/>
      <c r="M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11"/>
      <c r="G154" s="9"/>
      <c r="H154" s="9"/>
      <c r="I154" s="9"/>
      <c r="J154" s="9"/>
      <c r="K154" s="9"/>
      <c r="L154" s="9"/>
      <c r="M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11"/>
      <c r="G155" s="9"/>
      <c r="H155" s="9"/>
      <c r="I155" s="9"/>
      <c r="J155" s="9"/>
      <c r="K155" s="9"/>
      <c r="L155" s="9"/>
      <c r="M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11"/>
      <c r="G156" s="9"/>
      <c r="H156" s="9"/>
      <c r="I156" s="9"/>
      <c r="J156" s="9"/>
      <c r="K156" s="9"/>
      <c r="L156" s="9"/>
      <c r="M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11"/>
      <c r="G157" s="9"/>
      <c r="H157" s="9"/>
      <c r="I157" s="9"/>
      <c r="J157" s="9"/>
      <c r="K157" s="9"/>
      <c r="L157" s="9"/>
      <c r="M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11"/>
      <c r="G158" s="9"/>
      <c r="H158" s="9"/>
      <c r="I158" s="9"/>
      <c r="J158" s="9"/>
      <c r="K158" s="9"/>
      <c r="L158" s="9"/>
      <c r="M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11"/>
      <c r="G159" s="9"/>
      <c r="H159" s="9"/>
      <c r="I159" s="9"/>
      <c r="J159" s="9"/>
      <c r="K159" s="9"/>
      <c r="L159" s="9"/>
      <c r="M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11"/>
      <c r="G160" s="9"/>
      <c r="H160" s="9"/>
      <c r="I160" s="9"/>
      <c r="J160" s="9"/>
      <c r="K160" s="9"/>
      <c r="L160" s="9"/>
      <c r="M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11"/>
      <c r="G161" s="9"/>
      <c r="H161" s="9"/>
      <c r="I161" s="9"/>
      <c r="J161" s="9"/>
      <c r="K161" s="9"/>
      <c r="L161" s="9"/>
      <c r="M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11"/>
      <c r="G162" s="9"/>
      <c r="H162" s="9"/>
      <c r="I162" s="9"/>
      <c r="J162" s="9"/>
      <c r="K162" s="9"/>
      <c r="L162" s="9"/>
      <c r="M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11"/>
      <c r="G163" s="9"/>
      <c r="H163" s="9"/>
      <c r="I163" s="9"/>
      <c r="J163" s="9"/>
      <c r="K163" s="9"/>
      <c r="L163" s="9"/>
      <c r="M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11"/>
      <c r="G164" s="9"/>
      <c r="H164" s="9"/>
      <c r="I164" s="9"/>
      <c r="J164" s="9"/>
      <c r="K164" s="9"/>
      <c r="L164" s="9"/>
      <c r="M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11"/>
      <c r="G165" s="9"/>
      <c r="H165" s="9"/>
      <c r="I165" s="9"/>
      <c r="J165" s="9"/>
      <c r="K165" s="9"/>
      <c r="L165" s="9"/>
      <c r="M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11"/>
      <c r="G166" s="9"/>
      <c r="H166" s="9"/>
      <c r="I166" s="9"/>
      <c r="J166" s="9"/>
      <c r="K166" s="9"/>
      <c r="L166" s="9"/>
      <c r="M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11"/>
      <c r="G167" s="9"/>
      <c r="H167" s="9"/>
      <c r="I167" s="9"/>
      <c r="J167" s="9"/>
      <c r="K167" s="9"/>
      <c r="L167" s="9"/>
      <c r="M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11"/>
      <c r="G168" s="9"/>
      <c r="H168" s="9"/>
      <c r="I168" s="9"/>
      <c r="J168" s="9"/>
      <c r="K168" s="9"/>
      <c r="L168" s="9"/>
      <c r="M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11"/>
      <c r="G169" s="9"/>
      <c r="H169" s="9"/>
      <c r="I169" s="9"/>
      <c r="J169" s="9"/>
      <c r="K169" s="9"/>
      <c r="L169" s="9"/>
      <c r="M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11"/>
      <c r="G170" s="9"/>
      <c r="H170" s="9"/>
      <c r="I170" s="9"/>
      <c r="J170" s="9"/>
      <c r="K170" s="9"/>
      <c r="L170" s="9"/>
      <c r="M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11"/>
      <c r="G171" s="9"/>
      <c r="H171" s="9"/>
      <c r="I171" s="9"/>
      <c r="J171" s="9"/>
      <c r="K171" s="9"/>
      <c r="L171" s="9"/>
      <c r="M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11"/>
      <c r="G172" s="9"/>
      <c r="H172" s="9"/>
      <c r="I172" s="9"/>
      <c r="J172" s="9"/>
      <c r="K172" s="9"/>
      <c r="L172" s="9"/>
      <c r="M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11"/>
      <c r="G173" s="9"/>
      <c r="H173" s="9"/>
      <c r="I173" s="9"/>
      <c r="J173" s="9"/>
      <c r="K173" s="9"/>
      <c r="L173" s="9"/>
      <c r="M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11"/>
      <c r="G174" s="9"/>
      <c r="H174" s="9"/>
      <c r="I174" s="9"/>
      <c r="J174" s="9"/>
      <c r="K174" s="9"/>
      <c r="L174" s="9"/>
      <c r="M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11"/>
      <c r="G175" s="9"/>
      <c r="H175" s="9"/>
      <c r="I175" s="9"/>
      <c r="J175" s="9"/>
      <c r="K175" s="9"/>
      <c r="L175" s="9"/>
      <c r="M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11"/>
      <c r="G176" s="9"/>
      <c r="H176" s="9"/>
      <c r="I176" s="9"/>
      <c r="J176" s="9"/>
      <c r="K176" s="9"/>
      <c r="L176" s="9"/>
      <c r="M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11"/>
      <c r="G177" s="9"/>
      <c r="H177" s="9"/>
      <c r="I177" s="9"/>
      <c r="J177" s="9"/>
      <c r="K177" s="9"/>
      <c r="L177" s="9"/>
      <c r="M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11"/>
      <c r="G178" s="9"/>
      <c r="H178" s="9"/>
      <c r="I178" s="9"/>
      <c r="J178" s="9"/>
      <c r="K178" s="9"/>
      <c r="L178" s="9"/>
      <c r="M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11"/>
      <c r="G179" s="9"/>
      <c r="H179" s="9"/>
      <c r="I179" s="9"/>
      <c r="J179" s="9"/>
      <c r="K179" s="9"/>
      <c r="L179" s="9"/>
      <c r="M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11"/>
      <c r="G180" s="9"/>
      <c r="H180" s="9"/>
      <c r="I180" s="9"/>
      <c r="J180" s="9"/>
      <c r="K180" s="9"/>
      <c r="L180" s="9"/>
      <c r="M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11"/>
      <c r="G181" s="9"/>
      <c r="H181" s="9"/>
      <c r="I181" s="9"/>
      <c r="J181" s="9"/>
      <c r="K181" s="9"/>
      <c r="L181" s="9"/>
      <c r="M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11"/>
      <c r="G182" s="9"/>
      <c r="H182" s="9"/>
      <c r="I182" s="9"/>
      <c r="J182" s="9"/>
      <c r="K182" s="9"/>
      <c r="L182" s="9"/>
      <c r="M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11"/>
      <c r="G183" s="9"/>
      <c r="H183" s="9"/>
      <c r="I183" s="9"/>
      <c r="J183" s="9"/>
      <c r="K183" s="9"/>
      <c r="L183" s="9"/>
      <c r="M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11"/>
      <c r="G184" s="9"/>
      <c r="H184" s="9"/>
      <c r="I184" s="9"/>
      <c r="J184" s="9"/>
      <c r="K184" s="9"/>
      <c r="L184" s="9"/>
      <c r="M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11"/>
      <c r="G185" s="9"/>
      <c r="H185" s="9"/>
      <c r="I185" s="9"/>
      <c r="J185" s="9"/>
      <c r="K185" s="9"/>
      <c r="L185" s="9"/>
      <c r="M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11"/>
      <c r="G186" s="9"/>
      <c r="H186" s="9"/>
      <c r="I186" s="9"/>
      <c r="J186" s="9"/>
      <c r="K186" s="9"/>
      <c r="L186" s="9"/>
      <c r="M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11"/>
      <c r="G187" s="9"/>
      <c r="H187" s="9"/>
      <c r="I187" s="9"/>
      <c r="J187" s="9"/>
      <c r="K187" s="9"/>
      <c r="L187" s="9"/>
      <c r="M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11"/>
      <c r="G188" s="9"/>
      <c r="H188" s="9"/>
      <c r="I188" s="9"/>
      <c r="J188" s="9"/>
      <c r="K188" s="9"/>
      <c r="L188" s="9"/>
      <c r="M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11"/>
      <c r="G189" s="9"/>
      <c r="H189" s="9"/>
      <c r="I189" s="9"/>
      <c r="J189" s="9"/>
      <c r="K189" s="9"/>
      <c r="L189" s="9"/>
      <c r="M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11"/>
      <c r="G190" s="9"/>
      <c r="H190" s="9"/>
      <c r="I190" s="9"/>
      <c r="J190" s="9"/>
      <c r="K190" s="9"/>
      <c r="L190" s="9"/>
      <c r="M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11"/>
      <c r="G191" s="9"/>
      <c r="H191" s="9"/>
      <c r="I191" s="9"/>
      <c r="J191" s="9"/>
      <c r="K191" s="9"/>
      <c r="L191" s="9"/>
      <c r="M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11"/>
      <c r="G192" s="9"/>
      <c r="H192" s="9"/>
      <c r="I192" s="9"/>
      <c r="J192" s="9"/>
      <c r="K192" s="9"/>
      <c r="L192" s="9"/>
      <c r="M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11"/>
      <c r="G193" s="9"/>
      <c r="H193" s="9"/>
      <c r="I193" s="9"/>
      <c r="J193" s="9"/>
      <c r="K193" s="9"/>
      <c r="L193" s="9"/>
      <c r="M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11"/>
      <c r="G194" s="9"/>
      <c r="H194" s="9"/>
      <c r="I194" s="9"/>
      <c r="J194" s="9"/>
      <c r="K194" s="9"/>
      <c r="L194" s="9"/>
      <c r="M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11"/>
      <c r="G195" s="9"/>
      <c r="H195" s="9"/>
      <c r="I195" s="9"/>
      <c r="J195" s="9"/>
      <c r="K195" s="9"/>
      <c r="L195" s="9"/>
      <c r="M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11"/>
      <c r="G196" s="9"/>
      <c r="H196" s="9"/>
      <c r="I196" s="9"/>
      <c r="J196" s="9"/>
      <c r="K196" s="9"/>
      <c r="L196" s="9"/>
      <c r="M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11"/>
      <c r="G197" s="9"/>
      <c r="H197" s="9"/>
      <c r="I197" s="9"/>
      <c r="J197" s="9"/>
      <c r="K197" s="9"/>
      <c r="L197" s="9"/>
      <c r="M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11"/>
      <c r="G198" s="9"/>
      <c r="H198" s="9"/>
      <c r="I198" s="9"/>
      <c r="J198" s="9"/>
      <c r="K198" s="9"/>
      <c r="L198" s="9"/>
      <c r="M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11"/>
      <c r="G199" s="9"/>
      <c r="H199" s="9"/>
      <c r="I199" s="9"/>
      <c r="J199" s="9"/>
      <c r="K199" s="9"/>
      <c r="L199" s="9"/>
      <c r="M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11"/>
      <c r="G200" s="9"/>
      <c r="H200" s="9"/>
      <c r="I200" s="9"/>
      <c r="J200" s="9"/>
      <c r="K200" s="9"/>
      <c r="L200" s="9"/>
      <c r="M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11"/>
      <c r="G201" s="9"/>
      <c r="H201" s="9"/>
      <c r="I201" s="9"/>
      <c r="J201" s="9"/>
      <c r="K201" s="9"/>
      <c r="L201" s="9"/>
      <c r="M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11"/>
      <c r="G202" s="9"/>
      <c r="H202" s="9"/>
      <c r="I202" s="9"/>
      <c r="J202" s="9"/>
      <c r="K202" s="9"/>
      <c r="L202" s="9"/>
      <c r="M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11"/>
      <c r="G203" s="9"/>
      <c r="H203" s="9"/>
      <c r="I203" s="9"/>
      <c r="J203" s="9"/>
      <c r="K203" s="9"/>
      <c r="L203" s="9"/>
      <c r="M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11"/>
      <c r="G204" s="9"/>
      <c r="H204" s="9"/>
      <c r="I204" s="9"/>
      <c r="J204" s="9"/>
      <c r="K204" s="9"/>
      <c r="L204" s="9"/>
      <c r="M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11"/>
      <c r="G205" s="9"/>
      <c r="H205" s="9"/>
      <c r="I205" s="9"/>
      <c r="J205" s="9"/>
      <c r="K205" s="9"/>
      <c r="L205" s="9"/>
      <c r="M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11"/>
      <c r="G206" s="9"/>
      <c r="H206" s="9"/>
      <c r="I206" s="9"/>
      <c r="J206" s="9"/>
      <c r="K206" s="9"/>
      <c r="L206" s="9"/>
      <c r="M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11"/>
      <c r="G207" s="9"/>
      <c r="H207" s="9"/>
      <c r="I207" s="9"/>
      <c r="J207" s="9"/>
      <c r="K207" s="9"/>
      <c r="L207" s="9"/>
      <c r="M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11"/>
      <c r="G208" s="9"/>
      <c r="H208" s="9"/>
      <c r="I208" s="9"/>
      <c r="J208" s="9"/>
      <c r="K208" s="9"/>
      <c r="L208" s="9"/>
      <c r="M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11"/>
      <c r="G209" s="9"/>
      <c r="H209" s="9"/>
      <c r="I209" s="9"/>
      <c r="J209" s="9"/>
      <c r="K209" s="9"/>
      <c r="L209" s="9"/>
      <c r="M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11"/>
      <c r="G210" s="9"/>
      <c r="H210" s="9"/>
      <c r="I210" s="9"/>
      <c r="J210" s="9"/>
      <c r="K210" s="9"/>
      <c r="L210" s="9"/>
      <c r="M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11"/>
      <c r="G211" s="9"/>
      <c r="H211" s="9"/>
      <c r="I211" s="9"/>
      <c r="J211" s="9"/>
      <c r="K211" s="9"/>
      <c r="L211" s="9"/>
      <c r="M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11"/>
      <c r="G212" s="9"/>
      <c r="H212" s="9"/>
      <c r="I212" s="9"/>
      <c r="J212" s="9"/>
      <c r="K212" s="9"/>
      <c r="L212" s="9"/>
      <c r="M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11"/>
      <c r="G213" s="9"/>
      <c r="H213" s="9"/>
      <c r="I213" s="9"/>
      <c r="J213" s="9"/>
      <c r="K213" s="9"/>
      <c r="L213" s="9"/>
      <c r="M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11"/>
      <c r="G214" s="9"/>
      <c r="H214" s="9"/>
      <c r="I214" s="9"/>
      <c r="J214" s="9"/>
      <c r="K214" s="9"/>
      <c r="L214" s="9"/>
      <c r="M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11"/>
      <c r="G215" s="9"/>
      <c r="H215" s="9"/>
      <c r="I215" s="9"/>
      <c r="J215" s="9"/>
      <c r="K215" s="9"/>
      <c r="L215" s="9"/>
      <c r="M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11"/>
      <c r="G216" s="9"/>
      <c r="H216" s="9"/>
      <c r="I216" s="9"/>
      <c r="J216" s="9"/>
      <c r="K216" s="9"/>
      <c r="L216" s="9"/>
      <c r="M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11"/>
      <c r="G217" s="9"/>
      <c r="H217" s="9"/>
      <c r="I217" s="9"/>
      <c r="J217" s="9"/>
      <c r="K217" s="9"/>
      <c r="L217" s="9"/>
      <c r="M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11"/>
      <c r="G218" s="9"/>
      <c r="H218" s="9"/>
      <c r="I218" s="9"/>
      <c r="J218" s="9"/>
      <c r="K218" s="9"/>
      <c r="L218" s="9"/>
      <c r="M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11"/>
      <c r="G219" s="9"/>
      <c r="H219" s="9"/>
      <c r="I219" s="9"/>
      <c r="J219" s="9"/>
      <c r="K219" s="9"/>
      <c r="L219" s="9"/>
      <c r="M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11"/>
      <c r="G220" s="9"/>
      <c r="H220" s="9"/>
      <c r="I220" s="9"/>
      <c r="J220" s="9"/>
      <c r="K220" s="9"/>
      <c r="L220" s="9"/>
      <c r="M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11"/>
      <c r="G221" s="9"/>
      <c r="H221" s="9"/>
      <c r="I221" s="9"/>
      <c r="J221" s="9"/>
      <c r="K221" s="9"/>
      <c r="L221" s="9"/>
      <c r="M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11"/>
      <c r="G222" s="9"/>
      <c r="H222" s="9"/>
      <c r="I222" s="9"/>
      <c r="J222" s="9"/>
      <c r="K222" s="9"/>
      <c r="L222" s="9"/>
      <c r="M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11"/>
      <c r="G223" s="9"/>
      <c r="H223" s="9"/>
      <c r="I223" s="9"/>
      <c r="J223" s="9"/>
      <c r="K223" s="9"/>
      <c r="L223" s="9"/>
      <c r="M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11"/>
      <c r="G224" s="9"/>
      <c r="H224" s="9"/>
      <c r="I224" s="9"/>
      <c r="J224" s="9"/>
      <c r="K224" s="9"/>
      <c r="L224" s="9"/>
      <c r="M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11"/>
      <c r="G225" s="9"/>
      <c r="H225" s="9"/>
      <c r="I225" s="9"/>
      <c r="J225" s="9"/>
      <c r="K225" s="9"/>
      <c r="L225" s="9"/>
      <c r="M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11"/>
      <c r="G226" s="9"/>
      <c r="H226" s="9"/>
      <c r="I226" s="9"/>
      <c r="J226" s="9"/>
      <c r="K226" s="9"/>
      <c r="L226" s="9"/>
      <c r="M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11"/>
      <c r="G227" s="9"/>
      <c r="H227" s="9"/>
      <c r="I227" s="9"/>
      <c r="J227" s="9"/>
      <c r="K227" s="9"/>
      <c r="L227" s="9"/>
      <c r="M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11"/>
      <c r="G228" s="9"/>
      <c r="H228" s="9"/>
      <c r="I228" s="9"/>
      <c r="J228" s="9"/>
      <c r="K228" s="9"/>
      <c r="L228" s="9"/>
      <c r="M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11"/>
      <c r="G229" s="9"/>
      <c r="H229" s="9"/>
      <c r="I229" s="9"/>
      <c r="J229" s="9"/>
      <c r="K229" s="9"/>
      <c r="L229" s="9"/>
      <c r="M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11"/>
      <c r="G230" s="9"/>
      <c r="H230" s="9"/>
      <c r="I230" s="9"/>
      <c r="J230" s="9"/>
      <c r="K230" s="9"/>
      <c r="L230" s="9"/>
      <c r="M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11"/>
      <c r="G231" s="9"/>
      <c r="H231" s="9"/>
      <c r="I231" s="9"/>
      <c r="J231" s="9"/>
      <c r="K231" s="9"/>
      <c r="L231" s="9"/>
      <c r="M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11"/>
      <c r="G232" s="9"/>
      <c r="H232" s="9"/>
      <c r="I232" s="9"/>
      <c r="J232" s="9"/>
      <c r="K232" s="9"/>
      <c r="L232" s="9"/>
      <c r="M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11"/>
      <c r="G233" s="9"/>
      <c r="H233" s="9"/>
      <c r="I233" s="9"/>
      <c r="J233" s="9"/>
      <c r="K233" s="9"/>
      <c r="L233" s="9"/>
      <c r="M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11"/>
      <c r="G234" s="9"/>
      <c r="H234" s="9"/>
      <c r="I234" s="9"/>
      <c r="J234" s="9"/>
      <c r="K234" s="9"/>
      <c r="L234" s="9"/>
      <c r="M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11"/>
      <c r="G235" s="9"/>
      <c r="H235" s="9"/>
      <c r="I235" s="9"/>
      <c r="J235" s="9"/>
      <c r="K235" s="9"/>
      <c r="L235" s="9"/>
      <c r="M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11"/>
      <c r="G236" s="9"/>
      <c r="H236" s="9"/>
      <c r="I236" s="9"/>
      <c r="J236" s="9"/>
      <c r="K236" s="9"/>
      <c r="L236" s="9"/>
      <c r="M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11"/>
      <c r="G237" s="9"/>
      <c r="H237" s="9"/>
      <c r="I237" s="9"/>
      <c r="J237" s="9"/>
      <c r="K237" s="9"/>
      <c r="L237" s="9"/>
      <c r="M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11"/>
      <c r="G238" s="9"/>
      <c r="H238" s="9"/>
      <c r="I238" s="9"/>
      <c r="J238" s="9"/>
      <c r="K238" s="9"/>
      <c r="L238" s="9"/>
      <c r="M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11"/>
      <c r="G239" s="9"/>
      <c r="H239" s="9"/>
      <c r="I239" s="9"/>
      <c r="J239" s="9"/>
      <c r="K239" s="9"/>
      <c r="L239" s="9"/>
      <c r="M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11"/>
      <c r="G240" s="9"/>
      <c r="H240" s="9"/>
      <c r="I240" s="9"/>
      <c r="J240" s="9"/>
      <c r="K240" s="9"/>
      <c r="L240" s="9"/>
      <c r="M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11"/>
      <c r="G241" s="9"/>
      <c r="H241" s="9"/>
      <c r="I241" s="9"/>
      <c r="J241" s="9"/>
      <c r="K241" s="9"/>
      <c r="L241" s="9"/>
      <c r="M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11"/>
      <c r="G242" s="9"/>
      <c r="H242" s="9"/>
      <c r="I242" s="9"/>
      <c r="J242" s="9"/>
      <c r="K242" s="9"/>
      <c r="L242" s="9"/>
      <c r="M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11"/>
      <c r="G243" s="9"/>
      <c r="H243" s="9"/>
      <c r="I243" s="9"/>
      <c r="J243" s="9"/>
      <c r="K243" s="9"/>
      <c r="L243" s="9"/>
      <c r="M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11"/>
      <c r="G244" s="9"/>
      <c r="H244" s="9"/>
      <c r="I244" s="9"/>
      <c r="J244" s="9"/>
      <c r="K244" s="9"/>
      <c r="L244" s="9"/>
      <c r="M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11"/>
      <c r="G245" s="9"/>
      <c r="H245" s="9"/>
      <c r="I245" s="9"/>
      <c r="J245" s="9"/>
      <c r="K245" s="9"/>
      <c r="L245" s="9"/>
      <c r="M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11"/>
      <c r="G246" s="9"/>
      <c r="H246" s="9"/>
      <c r="I246" s="9"/>
      <c r="J246" s="9"/>
      <c r="K246" s="9"/>
      <c r="L246" s="9"/>
      <c r="M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11"/>
      <c r="G247" s="9"/>
      <c r="H247" s="9"/>
      <c r="I247" s="9"/>
      <c r="J247" s="9"/>
      <c r="K247" s="9"/>
      <c r="L247" s="9"/>
      <c r="M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11"/>
      <c r="G248" s="9"/>
      <c r="H248" s="9"/>
      <c r="I248" s="9"/>
      <c r="J248" s="9"/>
      <c r="K248" s="9"/>
      <c r="L248" s="9"/>
      <c r="M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11"/>
      <c r="G249" s="9"/>
      <c r="H249" s="9"/>
      <c r="I249" s="9"/>
      <c r="J249" s="9"/>
      <c r="K249" s="9"/>
      <c r="L249" s="9"/>
      <c r="M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11"/>
      <c r="G250" s="9"/>
      <c r="H250" s="9"/>
      <c r="I250" s="9"/>
      <c r="J250" s="9"/>
      <c r="K250" s="9"/>
      <c r="L250" s="9"/>
      <c r="M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11"/>
      <c r="G251" s="9"/>
      <c r="H251" s="9"/>
      <c r="I251" s="9"/>
      <c r="J251" s="9"/>
      <c r="K251" s="9"/>
      <c r="L251" s="9"/>
      <c r="M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11"/>
      <c r="G252" s="9"/>
      <c r="H252" s="9"/>
      <c r="I252" s="9"/>
      <c r="J252" s="9"/>
      <c r="K252" s="9"/>
      <c r="L252" s="9"/>
      <c r="M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11"/>
      <c r="G253" s="9"/>
      <c r="H253" s="9"/>
      <c r="I253" s="9"/>
      <c r="J253" s="9"/>
      <c r="K253" s="9"/>
      <c r="L253" s="9"/>
      <c r="M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11"/>
      <c r="G254" s="9"/>
      <c r="H254" s="9"/>
      <c r="I254" s="9"/>
      <c r="J254" s="9"/>
      <c r="K254" s="9"/>
      <c r="L254" s="9"/>
      <c r="M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11"/>
      <c r="G255" s="9"/>
      <c r="H255" s="9"/>
      <c r="I255" s="9"/>
      <c r="J255" s="9"/>
      <c r="K255" s="9"/>
      <c r="L255" s="9"/>
      <c r="M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11"/>
      <c r="G256" s="9"/>
      <c r="H256" s="9"/>
      <c r="I256" s="9"/>
      <c r="J256" s="9"/>
      <c r="K256" s="9"/>
      <c r="L256" s="9"/>
      <c r="M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11"/>
      <c r="G257" s="9"/>
      <c r="H257" s="9"/>
      <c r="I257" s="9"/>
      <c r="J257" s="9"/>
      <c r="K257" s="9"/>
      <c r="L257" s="9"/>
      <c r="M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11"/>
      <c r="G258" s="9"/>
      <c r="H258" s="9"/>
      <c r="I258" s="9"/>
      <c r="J258" s="9"/>
      <c r="K258" s="9"/>
      <c r="L258" s="9"/>
      <c r="M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11"/>
      <c r="G259" s="9"/>
      <c r="H259" s="9"/>
      <c r="I259" s="9"/>
      <c r="J259" s="9"/>
      <c r="K259" s="9"/>
      <c r="L259" s="9"/>
      <c r="M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11"/>
      <c r="G260" s="9"/>
      <c r="H260" s="9"/>
      <c r="I260" s="9"/>
      <c r="J260" s="9"/>
      <c r="K260" s="9"/>
      <c r="L260" s="9"/>
      <c r="M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11"/>
      <c r="G261" s="9"/>
      <c r="H261" s="9"/>
      <c r="I261" s="9"/>
      <c r="J261" s="9"/>
      <c r="K261" s="9"/>
      <c r="L261" s="9"/>
      <c r="M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11"/>
      <c r="G262" s="9"/>
      <c r="H262" s="9"/>
      <c r="I262" s="9"/>
      <c r="J262" s="9"/>
      <c r="K262" s="9"/>
      <c r="L262" s="9"/>
      <c r="M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11"/>
      <c r="G263" s="9"/>
      <c r="H263" s="9"/>
      <c r="I263" s="9"/>
      <c r="J263" s="9"/>
      <c r="K263" s="9"/>
      <c r="L263" s="9"/>
      <c r="M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11"/>
      <c r="G264" s="9"/>
      <c r="H264" s="9"/>
      <c r="I264" s="9"/>
      <c r="J264" s="9"/>
      <c r="K264" s="9"/>
      <c r="L264" s="9"/>
      <c r="M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11"/>
      <c r="G265" s="9"/>
      <c r="H265" s="9"/>
      <c r="I265" s="9"/>
      <c r="J265" s="9"/>
      <c r="K265" s="9"/>
      <c r="L265" s="9"/>
      <c r="M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11"/>
      <c r="G266" s="9"/>
      <c r="H266" s="9"/>
      <c r="I266" s="9"/>
      <c r="J266" s="9"/>
      <c r="K266" s="9"/>
      <c r="L266" s="9"/>
      <c r="M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11"/>
      <c r="G267" s="9"/>
      <c r="H267" s="9"/>
      <c r="I267" s="9"/>
      <c r="J267" s="9"/>
      <c r="K267" s="9"/>
      <c r="L267" s="9"/>
      <c r="M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11"/>
      <c r="G268" s="9"/>
      <c r="H268" s="9"/>
      <c r="I268" s="9"/>
      <c r="J268" s="9"/>
      <c r="K268" s="9"/>
      <c r="L268" s="9"/>
      <c r="M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11"/>
      <c r="G269" s="9"/>
      <c r="H269" s="9"/>
      <c r="I269" s="9"/>
      <c r="J269" s="9"/>
      <c r="K269" s="9"/>
      <c r="L269" s="9"/>
      <c r="M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11"/>
      <c r="G270" s="9"/>
      <c r="H270" s="9"/>
      <c r="I270" s="9"/>
      <c r="J270" s="9"/>
      <c r="K270" s="9"/>
      <c r="L270" s="9"/>
      <c r="M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11"/>
      <c r="G271" s="9"/>
      <c r="H271" s="9"/>
      <c r="I271" s="9"/>
      <c r="J271" s="9"/>
      <c r="K271" s="9"/>
      <c r="L271" s="9"/>
      <c r="M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11"/>
      <c r="G272" s="9"/>
      <c r="H272" s="9"/>
      <c r="I272" s="9"/>
      <c r="J272" s="9"/>
      <c r="K272" s="9"/>
      <c r="L272" s="9"/>
      <c r="M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11"/>
      <c r="G273" s="9"/>
      <c r="H273" s="9"/>
      <c r="I273" s="9"/>
      <c r="J273" s="9"/>
      <c r="K273" s="9"/>
      <c r="L273" s="9"/>
      <c r="M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11"/>
      <c r="G274" s="9"/>
      <c r="H274" s="9"/>
      <c r="I274" s="9"/>
      <c r="J274" s="9"/>
      <c r="K274" s="9"/>
      <c r="L274" s="9"/>
      <c r="M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11"/>
      <c r="G275" s="9"/>
      <c r="H275" s="9"/>
      <c r="I275" s="9"/>
      <c r="J275" s="9"/>
      <c r="K275" s="9"/>
      <c r="L275" s="9"/>
      <c r="M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11"/>
      <c r="G276" s="9"/>
      <c r="H276" s="9"/>
      <c r="I276" s="9"/>
      <c r="J276" s="9"/>
      <c r="K276" s="9"/>
      <c r="L276" s="9"/>
      <c r="M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11"/>
      <c r="G277" s="9"/>
      <c r="H277" s="9"/>
      <c r="I277" s="9"/>
      <c r="J277" s="9"/>
      <c r="K277" s="9"/>
      <c r="L277" s="9"/>
      <c r="M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11"/>
      <c r="G278" s="9"/>
      <c r="H278" s="9"/>
      <c r="I278" s="9"/>
      <c r="J278" s="9"/>
      <c r="K278" s="9"/>
      <c r="L278" s="9"/>
      <c r="M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11"/>
      <c r="G279" s="9"/>
      <c r="H279" s="9"/>
      <c r="I279" s="9"/>
      <c r="J279" s="9"/>
      <c r="K279" s="9"/>
      <c r="L279" s="9"/>
      <c r="M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11"/>
      <c r="G280" s="9"/>
      <c r="H280" s="9"/>
      <c r="I280" s="9"/>
      <c r="J280" s="9"/>
      <c r="K280" s="9"/>
      <c r="L280" s="9"/>
      <c r="M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11"/>
      <c r="G281" s="9"/>
      <c r="H281" s="9"/>
      <c r="I281" s="9"/>
      <c r="J281" s="9"/>
      <c r="K281" s="9"/>
      <c r="L281" s="9"/>
      <c r="M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11"/>
      <c r="G282" s="9"/>
      <c r="H282" s="9"/>
      <c r="I282" s="9"/>
      <c r="J282" s="9"/>
      <c r="K282" s="9"/>
      <c r="L282" s="9"/>
      <c r="M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11"/>
      <c r="G283" s="9"/>
      <c r="H283" s="9"/>
      <c r="I283" s="9"/>
      <c r="J283" s="9"/>
      <c r="K283" s="9"/>
      <c r="L283" s="9"/>
      <c r="M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11"/>
      <c r="G284" s="9"/>
      <c r="H284" s="9"/>
      <c r="I284" s="9"/>
      <c r="J284" s="9"/>
      <c r="K284" s="9"/>
      <c r="L284" s="9"/>
      <c r="M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11"/>
      <c r="G285" s="9"/>
      <c r="H285" s="9"/>
      <c r="I285" s="9"/>
      <c r="J285" s="9"/>
      <c r="K285" s="9"/>
      <c r="L285" s="9"/>
      <c r="M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11"/>
      <c r="G286" s="9"/>
      <c r="H286" s="9"/>
      <c r="I286" s="9"/>
      <c r="J286" s="9"/>
      <c r="K286" s="9"/>
      <c r="L286" s="9"/>
      <c r="M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11"/>
      <c r="G287" s="9"/>
      <c r="H287" s="9"/>
      <c r="I287" s="9"/>
      <c r="J287" s="9"/>
      <c r="K287" s="9"/>
      <c r="L287" s="9"/>
      <c r="M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11"/>
      <c r="G288" s="9"/>
      <c r="H288" s="9"/>
      <c r="I288" s="9"/>
      <c r="J288" s="9"/>
      <c r="K288" s="9"/>
      <c r="L288" s="9"/>
      <c r="M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11"/>
      <c r="G289" s="9"/>
      <c r="H289" s="9"/>
      <c r="I289" s="9"/>
      <c r="J289" s="9"/>
      <c r="K289" s="9"/>
      <c r="L289" s="9"/>
      <c r="M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11"/>
      <c r="G290" s="9"/>
      <c r="H290" s="9"/>
      <c r="I290" s="9"/>
      <c r="J290" s="9"/>
      <c r="K290" s="9"/>
      <c r="L290" s="9"/>
      <c r="M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11"/>
      <c r="G291" s="9"/>
      <c r="H291" s="9"/>
      <c r="I291" s="9"/>
      <c r="J291" s="9"/>
      <c r="K291" s="9"/>
      <c r="L291" s="9"/>
      <c r="M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11"/>
      <c r="G292" s="9"/>
      <c r="H292" s="9"/>
      <c r="I292" s="9"/>
      <c r="J292" s="9"/>
      <c r="K292" s="9"/>
      <c r="L292" s="9"/>
      <c r="M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11"/>
      <c r="G293" s="9"/>
      <c r="H293" s="9"/>
      <c r="I293" s="9"/>
      <c r="J293" s="9"/>
      <c r="K293" s="9"/>
      <c r="L293" s="9"/>
      <c r="M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11"/>
      <c r="G294" s="9"/>
      <c r="H294" s="9"/>
      <c r="I294" s="9"/>
      <c r="J294" s="9"/>
      <c r="K294" s="9"/>
      <c r="L294" s="9"/>
      <c r="M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11"/>
      <c r="G295" s="9"/>
      <c r="H295" s="9"/>
      <c r="I295" s="9"/>
      <c r="J295" s="9"/>
      <c r="K295" s="9"/>
      <c r="L295" s="9"/>
      <c r="M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11"/>
      <c r="G296" s="9"/>
      <c r="H296" s="9"/>
      <c r="I296" s="9"/>
      <c r="J296" s="9"/>
      <c r="K296" s="9"/>
      <c r="L296" s="9"/>
      <c r="M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11"/>
      <c r="G297" s="9"/>
      <c r="H297" s="9"/>
      <c r="I297" s="9"/>
      <c r="J297" s="9"/>
      <c r="K297" s="9"/>
      <c r="L297" s="9"/>
      <c r="M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11"/>
      <c r="G298" s="9"/>
      <c r="H298" s="9"/>
      <c r="I298" s="9"/>
      <c r="J298" s="9"/>
      <c r="K298" s="9"/>
      <c r="L298" s="9"/>
      <c r="M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11"/>
      <c r="G299" s="9"/>
      <c r="H299" s="9"/>
      <c r="I299" s="9"/>
      <c r="J299" s="9"/>
      <c r="K299" s="9"/>
      <c r="L299" s="9"/>
      <c r="M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11"/>
      <c r="G300" s="9"/>
      <c r="H300" s="9"/>
      <c r="I300" s="9"/>
      <c r="J300" s="9"/>
      <c r="K300" s="9"/>
      <c r="L300" s="9"/>
      <c r="M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11"/>
      <c r="G301" s="9"/>
      <c r="H301" s="9"/>
      <c r="I301" s="9"/>
      <c r="J301" s="9"/>
      <c r="K301" s="9"/>
      <c r="L301" s="9"/>
      <c r="M301" s="9"/>
    </row>
  </sheetData>
  <autoFilter ref="A1:M301"/>
  <dataValidations count="1">
    <dataValidation allowBlank="true" error="Valor no permitido. Use la lista desplegable." errorStyle="stop" errorTitle="DCIP 2.3" operator="between" showDropDown="false" showErrorMessage="false" showInputMessage="false" sqref="B2:B301" type="list">
      <formula1>16_LISTAS!$D$4:$D$9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K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7" t="s">
        <v>78</v>
      </c>
      <c r="B1" s="7" t="s">
        <v>813</v>
      </c>
      <c r="C1" s="7" t="s">
        <v>816</v>
      </c>
      <c r="D1" s="7" t="s">
        <v>817</v>
      </c>
      <c r="E1" s="7" t="s">
        <v>818</v>
      </c>
      <c r="F1" s="7" t="s">
        <v>819</v>
      </c>
      <c r="G1" s="7" t="s">
        <v>820</v>
      </c>
      <c r="H1" s="7" t="s">
        <v>821</v>
      </c>
      <c r="I1" s="7" t="s">
        <v>822</v>
      </c>
      <c r="J1" s="7" t="s">
        <v>631</v>
      </c>
      <c r="K1" s="7" t="s">
        <v>823</v>
      </c>
    </row>
    <row r="2" customFormat="false" ht="15" hidden="false" customHeight="false" outlineLevel="0" collapsed="false">
      <c r="A2" s="9"/>
      <c r="B2" s="11"/>
      <c r="C2" s="11"/>
      <c r="D2" s="9"/>
      <c r="E2" s="9"/>
      <c r="F2" s="9"/>
      <c r="G2" s="16" t="str">
        <f aca="false">IF(AND(ISNUMBER(E2),ISNUMBER(F2)),F2-E2,"")</f>
        <v/>
      </c>
      <c r="H2" s="9"/>
      <c r="I2" s="9"/>
      <c r="J2" s="9"/>
      <c r="K2" s="9"/>
    </row>
    <row r="3" customFormat="false" ht="15" hidden="false" customHeight="false" outlineLevel="0" collapsed="false">
      <c r="A3" s="9"/>
      <c r="B3" s="11"/>
      <c r="C3" s="11"/>
      <c r="D3" s="9"/>
      <c r="E3" s="9"/>
      <c r="F3" s="9"/>
      <c r="G3" s="16" t="str">
        <f aca="false">IF(AND(ISNUMBER(E3),ISNUMBER(F3)),F3-E3,"")</f>
        <v/>
      </c>
      <c r="H3" s="9"/>
      <c r="I3" s="9"/>
      <c r="J3" s="9"/>
      <c r="K3" s="9"/>
    </row>
    <row r="4" customFormat="false" ht="15" hidden="false" customHeight="false" outlineLevel="0" collapsed="false">
      <c r="A4" s="9"/>
      <c r="B4" s="11"/>
      <c r="C4" s="11"/>
      <c r="D4" s="9"/>
      <c r="E4" s="9"/>
      <c r="F4" s="9"/>
      <c r="G4" s="16" t="str">
        <f aca="false">IF(AND(ISNUMBER(E4),ISNUMBER(F4)),F4-E4,"")</f>
        <v/>
      </c>
      <c r="H4" s="9"/>
      <c r="I4" s="9"/>
      <c r="J4" s="9"/>
      <c r="K4" s="9"/>
    </row>
    <row r="5" customFormat="false" ht="15" hidden="false" customHeight="false" outlineLevel="0" collapsed="false">
      <c r="A5" s="9"/>
      <c r="B5" s="11"/>
      <c r="C5" s="11"/>
      <c r="D5" s="9"/>
      <c r="E5" s="9"/>
      <c r="F5" s="9"/>
      <c r="G5" s="16" t="str">
        <f aca="false">IF(AND(ISNUMBER(E5),ISNUMBER(F5)),F5-E5,"")</f>
        <v/>
      </c>
      <c r="H5" s="9"/>
      <c r="I5" s="9"/>
      <c r="J5" s="9"/>
      <c r="K5" s="9"/>
    </row>
    <row r="6" customFormat="false" ht="15" hidden="false" customHeight="false" outlineLevel="0" collapsed="false">
      <c r="A6" s="9"/>
      <c r="B6" s="11"/>
      <c r="C6" s="11"/>
      <c r="D6" s="9"/>
      <c r="E6" s="9"/>
      <c r="F6" s="9"/>
      <c r="G6" s="16" t="str">
        <f aca="false">IF(AND(ISNUMBER(E6),ISNUMBER(F6)),F6-E6,"")</f>
        <v/>
      </c>
      <c r="H6" s="9"/>
      <c r="I6" s="9"/>
      <c r="J6" s="9"/>
      <c r="K6" s="9"/>
    </row>
    <row r="7" customFormat="false" ht="15" hidden="false" customHeight="false" outlineLevel="0" collapsed="false">
      <c r="A7" s="9"/>
      <c r="B7" s="11"/>
      <c r="C7" s="11"/>
      <c r="D7" s="9"/>
      <c r="E7" s="9"/>
      <c r="F7" s="9"/>
      <c r="G7" s="16" t="str">
        <f aca="false">IF(AND(ISNUMBER(E7),ISNUMBER(F7)),F7-E7,"")</f>
        <v/>
      </c>
      <c r="H7" s="9"/>
      <c r="I7" s="9"/>
      <c r="J7" s="9"/>
      <c r="K7" s="9"/>
    </row>
    <row r="8" customFormat="false" ht="15" hidden="false" customHeight="false" outlineLevel="0" collapsed="false">
      <c r="A8" s="9"/>
      <c r="B8" s="11"/>
      <c r="C8" s="11"/>
      <c r="D8" s="9"/>
      <c r="E8" s="9"/>
      <c r="F8" s="9"/>
      <c r="G8" s="16" t="str">
        <f aca="false">IF(AND(ISNUMBER(E8),ISNUMBER(F8)),F8-E8,"")</f>
        <v/>
      </c>
      <c r="H8" s="9"/>
      <c r="I8" s="9"/>
      <c r="J8" s="9"/>
      <c r="K8" s="9"/>
    </row>
    <row r="9" customFormat="false" ht="15" hidden="false" customHeight="false" outlineLevel="0" collapsed="false">
      <c r="A9" s="9"/>
      <c r="B9" s="11"/>
      <c r="C9" s="11"/>
      <c r="D9" s="9"/>
      <c r="E9" s="9"/>
      <c r="F9" s="9"/>
      <c r="G9" s="16" t="str">
        <f aca="false">IF(AND(ISNUMBER(E9),ISNUMBER(F9)),F9-E9,"")</f>
        <v/>
      </c>
      <c r="H9" s="9"/>
      <c r="I9" s="9"/>
      <c r="J9" s="9"/>
      <c r="K9" s="9"/>
    </row>
    <row r="10" customFormat="false" ht="15" hidden="false" customHeight="false" outlineLevel="0" collapsed="false">
      <c r="A10" s="9"/>
      <c r="B10" s="11"/>
      <c r="C10" s="11"/>
      <c r="D10" s="9"/>
      <c r="E10" s="9"/>
      <c r="F10" s="9"/>
      <c r="G10" s="16" t="str">
        <f aca="false">IF(AND(ISNUMBER(E10),ISNUMBER(F10)),F10-E10,"")</f>
        <v/>
      </c>
      <c r="H10" s="9"/>
      <c r="I10" s="9"/>
      <c r="J10" s="9"/>
      <c r="K10" s="9"/>
    </row>
    <row r="11" customFormat="false" ht="15" hidden="false" customHeight="false" outlineLevel="0" collapsed="false">
      <c r="A11" s="9"/>
      <c r="B11" s="11"/>
      <c r="C11" s="11"/>
      <c r="D11" s="9"/>
      <c r="E11" s="9"/>
      <c r="F11" s="9"/>
      <c r="G11" s="16" t="str">
        <f aca="false">IF(AND(ISNUMBER(E11),ISNUMBER(F11)),F11-E11,"")</f>
        <v/>
      </c>
      <c r="H11" s="9"/>
      <c r="I11" s="9"/>
      <c r="J11" s="9"/>
      <c r="K11" s="9"/>
    </row>
    <row r="12" customFormat="false" ht="15" hidden="false" customHeight="false" outlineLevel="0" collapsed="false">
      <c r="A12" s="9"/>
      <c r="B12" s="11"/>
      <c r="C12" s="11"/>
      <c r="D12" s="9"/>
      <c r="E12" s="9"/>
      <c r="F12" s="9"/>
      <c r="G12" s="16" t="str">
        <f aca="false">IF(AND(ISNUMBER(E12),ISNUMBER(F12)),F12-E12,"")</f>
        <v/>
      </c>
      <c r="H12" s="9"/>
      <c r="I12" s="9"/>
      <c r="J12" s="9"/>
      <c r="K12" s="9"/>
    </row>
    <row r="13" customFormat="false" ht="15" hidden="false" customHeight="false" outlineLevel="0" collapsed="false">
      <c r="A13" s="9"/>
      <c r="B13" s="11"/>
      <c r="C13" s="11"/>
      <c r="D13" s="9"/>
      <c r="E13" s="9"/>
      <c r="F13" s="9"/>
      <c r="G13" s="16" t="str">
        <f aca="false">IF(AND(ISNUMBER(E13),ISNUMBER(F13)),F13-E13,"")</f>
        <v/>
      </c>
      <c r="H13" s="9"/>
      <c r="I13" s="9"/>
      <c r="J13" s="9"/>
      <c r="K13" s="9"/>
    </row>
    <row r="14" customFormat="false" ht="15" hidden="false" customHeight="false" outlineLevel="0" collapsed="false">
      <c r="A14" s="9"/>
      <c r="B14" s="11"/>
      <c r="C14" s="11"/>
      <c r="D14" s="9"/>
      <c r="E14" s="9"/>
      <c r="F14" s="9"/>
      <c r="G14" s="16" t="str">
        <f aca="false">IF(AND(ISNUMBER(E14),ISNUMBER(F14)),F14-E14,"")</f>
        <v/>
      </c>
      <c r="H14" s="9"/>
      <c r="I14" s="9"/>
      <c r="J14" s="9"/>
      <c r="K14" s="9"/>
    </row>
    <row r="15" customFormat="false" ht="15" hidden="false" customHeight="false" outlineLevel="0" collapsed="false">
      <c r="A15" s="9"/>
      <c r="B15" s="11"/>
      <c r="C15" s="11"/>
      <c r="D15" s="9"/>
      <c r="E15" s="9"/>
      <c r="F15" s="9"/>
      <c r="G15" s="16" t="str">
        <f aca="false">IF(AND(ISNUMBER(E15),ISNUMBER(F15)),F15-E15,"")</f>
        <v/>
      </c>
      <c r="H15" s="9"/>
      <c r="I15" s="9"/>
      <c r="J15" s="9"/>
      <c r="K15" s="9"/>
    </row>
    <row r="16" customFormat="false" ht="15" hidden="false" customHeight="false" outlineLevel="0" collapsed="false">
      <c r="A16" s="9"/>
      <c r="B16" s="11"/>
      <c r="C16" s="11"/>
      <c r="D16" s="9"/>
      <c r="E16" s="9"/>
      <c r="F16" s="9"/>
      <c r="G16" s="16" t="str">
        <f aca="false">IF(AND(ISNUMBER(E16),ISNUMBER(F16)),F16-E16,"")</f>
        <v/>
      </c>
      <c r="H16" s="9"/>
      <c r="I16" s="9"/>
      <c r="J16" s="9"/>
      <c r="K16" s="9"/>
    </row>
    <row r="17" customFormat="false" ht="15" hidden="false" customHeight="false" outlineLevel="0" collapsed="false">
      <c r="A17" s="9"/>
      <c r="B17" s="11"/>
      <c r="C17" s="11"/>
      <c r="D17" s="9"/>
      <c r="E17" s="9"/>
      <c r="F17" s="9"/>
      <c r="G17" s="16" t="str">
        <f aca="false">IF(AND(ISNUMBER(E17),ISNUMBER(F17)),F17-E17,"")</f>
        <v/>
      </c>
      <c r="H17" s="9"/>
      <c r="I17" s="9"/>
      <c r="J17" s="9"/>
      <c r="K17" s="9"/>
    </row>
    <row r="18" customFormat="false" ht="15" hidden="false" customHeight="false" outlineLevel="0" collapsed="false">
      <c r="A18" s="9"/>
      <c r="B18" s="11"/>
      <c r="C18" s="11"/>
      <c r="D18" s="9"/>
      <c r="E18" s="9"/>
      <c r="F18" s="9"/>
      <c r="G18" s="16" t="str">
        <f aca="false">IF(AND(ISNUMBER(E18),ISNUMBER(F18)),F18-E18,"")</f>
        <v/>
      </c>
      <c r="H18" s="9"/>
      <c r="I18" s="9"/>
      <c r="J18" s="9"/>
      <c r="K18" s="9"/>
    </row>
    <row r="19" customFormat="false" ht="15" hidden="false" customHeight="false" outlineLevel="0" collapsed="false">
      <c r="A19" s="9"/>
      <c r="B19" s="11"/>
      <c r="C19" s="11"/>
      <c r="D19" s="9"/>
      <c r="E19" s="9"/>
      <c r="F19" s="9"/>
      <c r="G19" s="16" t="str">
        <f aca="false">IF(AND(ISNUMBER(E19),ISNUMBER(F19)),F19-E19,"")</f>
        <v/>
      </c>
      <c r="H19" s="9"/>
      <c r="I19" s="9"/>
      <c r="J19" s="9"/>
      <c r="K19" s="9"/>
    </row>
    <row r="20" customFormat="false" ht="15" hidden="false" customHeight="false" outlineLevel="0" collapsed="false">
      <c r="A20" s="9"/>
      <c r="B20" s="11"/>
      <c r="C20" s="11"/>
      <c r="D20" s="9"/>
      <c r="E20" s="9"/>
      <c r="F20" s="9"/>
      <c r="G20" s="16" t="str">
        <f aca="false">IF(AND(ISNUMBER(E20),ISNUMBER(F20)),F20-E20,"")</f>
        <v/>
      </c>
      <c r="H20" s="9"/>
      <c r="I20" s="9"/>
      <c r="J20" s="9"/>
      <c r="K20" s="9"/>
    </row>
    <row r="21" customFormat="false" ht="15" hidden="false" customHeight="false" outlineLevel="0" collapsed="false">
      <c r="A21" s="9"/>
      <c r="B21" s="11"/>
      <c r="C21" s="11"/>
      <c r="D21" s="9"/>
      <c r="E21" s="9"/>
      <c r="F21" s="9"/>
      <c r="G21" s="16" t="str">
        <f aca="false">IF(AND(ISNUMBER(E21),ISNUMBER(F21)),F21-E21,"")</f>
        <v/>
      </c>
      <c r="H21" s="9"/>
      <c r="I21" s="9"/>
      <c r="J21" s="9"/>
      <c r="K21" s="9"/>
    </row>
    <row r="22" customFormat="false" ht="15" hidden="false" customHeight="false" outlineLevel="0" collapsed="false">
      <c r="A22" s="9"/>
      <c r="B22" s="11"/>
      <c r="C22" s="11"/>
      <c r="D22" s="9"/>
      <c r="E22" s="9"/>
      <c r="F22" s="9"/>
      <c r="G22" s="16" t="str">
        <f aca="false">IF(AND(ISNUMBER(E22),ISNUMBER(F22)),F22-E22,"")</f>
        <v/>
      </c>
      <c r="H22" s="9"/>
      <c r="I22" s="9"/>
      <c r="J22" s="9"/>
      <c r="K22" s="9"/>
    </row>
    <row r="23" customFormat="false" ht="15" hidden="false" customHeight="false" outlineLevel="0" collapsed="false">
      <c r="A23" s="9"/>
      <c r="B23" s="11"/>
      <c r="C23" s="11"/>
      <c r="D23" s="9"/>
      <c r="E23" s="9"/>
      <c r="F23" s="9"/>
      <c r="G23" s="16" t="str">
        <f aca="false">IF(AND(ISNUMBER(E23),ISNUMBER(F23)),F23-E23,"")</f>
        <v/>
      </c>
      <c r="H23" s="9"/>
      <c r="I23" s="9"/>
      <c r="J23" s="9"/>
      <c r="K23" s="9"/>
    </row>
    <row r="24" customFormat="false" ht="15" hidden="false" customHeight="false" outlineLevel="0" collapsed="false">
      <c r="A24" s="9"/>
      <c r="B24" s="11"/>
      <c r="C24" s="11"/>
      <c r="D24" s="9"/>
      <c r="E24" s="9"/>
      <c r="F24" s="9"/>
      <c r="G24" s="16" t="str">
        <f aca="false">IF(AND(ISNUMBER(E24),ISNUMBER(F24)),F24-E24,"")</f>
        <v/>
      </c>
      <c r="H24" s="9"/>
      <c r="I24" s="9"/>
      <c r="J24" s="9"/>
      <c r="K24" s="9"/>
    </row>
    <row r="25" customFormat="false" ht="15" hidden="false" customHeight="false" outlineLevel="0" collapsed="false">
      <c r="A25" s="9"/>
      <c r="B25" s="11"/>
      <c r="C25" s="11"/>
      <c r="D25" s="9"/>
      <c r="E25" s="9"/>
      <c r="F25" s="9"/>
      <c r="G25" s="16" t="str">
        <f aca="false">IF(AND(ISNUMBER(E25),ISNUMBER(F25)),F25-E25,"")</f>
        <v/>
      </c>
      <c r="H25" s="9"/>
      <c r="I25" s="9"/>
      <c r="J25" s="9"/>
      <c r="K25" s="9"/>
    </row>
    <row r="26" customFormat="false" ht="15" hidden="false" customHeight="false" outlineLevel="0" collapsed="false">
      <c r="A26" s="9"/>
      <c r="B26" s="11"/>
      <c r="C26" s="11"/>
      <c r="D26" s="9"/>
      <c r="E26" s="9"/>
      <c r="F26" s="9"/>
      <c r="G26" s="16" t="str">
        <f aca="false">IF(AND(ISNUMBER(E26),ISNUMBER(F26)),F26-E26,"")</f>
        <v/>
      </c>
      <c r="H26" s="9"/>
      <c r="I26" s="9"/>
      <c r="J26" s="9"/>
      <c r="K26" s="9"/>
    </row>
    <row r="27" customFormat="false" ht="15" hidden="false" customHeight="false" outlineLevel="0" collapsed="false">
      <c r="A27" s="9"/>
      <c r="B27" s="11"/>
      <c r="C27" s="11"/>
      <c r="D27" s="9"/>
      <c r="E27" s="9"/>
      <c r="F27" s="9"/>
      <c r="G27" s="16" t="str">
        <f aca="false">IF(AND(ISNUMBER(E27),ISNUMBER(F27)),F27-E27,"")</f>
        <v/>
      </c>
      <c r="H27" s="9"/>
      <c r="I27" s="9"/>
      <c r="J27" s="9"/>
      <c r="K27" s="9"/>
    </row>
    <row r="28" customFormat="false" ht="15" hidden="false" customHeight="false" outlineLevel="0" collapsed="false">
      <c r="A28" s="9"/>
      <c r="B28" s="11"/>
      <c r="C28" s="11"/>
      <c r="D28" s="9"/>
      <c r="E28" s="9"/>
      <c r="F28" s="9"/>
      <c r="G28" s="16" t="str">
        <f aca="false">IF(AND(ISNUMBER(E28),ISNUMBER(F28)),F28-E28,"")</f>
        <v/>
      </c>
      <c r="H28" s="9"/>
      <c r="I28" s="9"/>
      <c r="J28" s="9"/>
      <c r="K28" s="9"/>
    </row>
    <row r="29" customFormat="false" ht="15" hidden="false" customHeight="false" outlineLevel="0" collapsed="false">
      <c r="A29" s="9"/>
      <c r="B29" s="11"/>
      <c r="C29" s="11"/>
      <c r="D29" s="9"/>
      <c r="E29" s="9"/>
      <c r="F29" s="9"/>
      <c r="G29" s="16" t="str">
        <f aca="false">IF(AND(ISNUMBER(E29),ISNUMBER(F29)),F29-E29,"")</f>
        <v/>
      </c>
      <c r="H29" s="9"/>
      <c r="I29" s="9"/>
      <c r="J29" s="9"/>
      <c r="K29" s="9"/>
    </row>
    <row r="30" customFormat="false" ht="15" hidden="false" customHeight="false" outlineLevel="0" collapsed="false">
      <c r="A30" s="9"/>
      <c r="B30" s="11"/>
      <c r="C30" s="11"/>
      <c r="D30" s="9"/>
      <c r="E30" s="9"/>
      <c r="F30" s="9"/>
      <c r="G30" s="16" t="str">
        <f aca="false">IF(AND(ISNUMBER(E30),ISNUMBER(F30)),F30-E30,"")</f>
        <v/>
      </c>
      <c r="H30" s="9"/>
      <c r="I30" s="9"/>
      <c r="J30" s="9"/>
      <c r="K30" s="9"/>
    </row>
    <row r="31" customFormat="false" ht="15" hidden="false" customHeight="false" outlineLevel="0" collapsed="false">
      <c r="A31" s="9"/>
      <c r="B31" s="11"/>
      <c r="C31" s="11"/>
      <c r="D31" s="9"/>
      <c r="E31" s="9"/>
      <c r="F31" s="9"/>
      <c r="G31" s="16" t="str">
        <f aca="false">IF(AND(ISNUMBER(E31),ISNUMBER(F31)),F31-E31,"")</f>
        <v/>
      </c>
      <c r="H31" s="9"/>
      <c r="I31" s="9"/>
      <c r="J31" s="9"/>
      <c r="K31" s="9"/>
    </row>
    <row r="32" customFormat="false" ht="15" hidden="false" customHeight="false" outlineLevel="0" collapsed="false">
      <c r="A32" s="9"/>
      <c r="B32" s="11"/>
      <c r="C32" s="11"/>
      <c r="D32" s="9"/>
      <c r="E32" s="9"/>
      <c r="F32" s="9"/>
      <c r="G32" s="16" t="str">
        <f aca="false">IF(AND(ISNUMBER(E32),ISNUMBER(F32)),F32-E32,"")</f>
        <v/>
      </c>
      <c r="H32" s="9"/>
      <c r="I32" s="9"/>
      <c r="J32" s="9"/>
      <c r="K32" s="9"/>
    </row>
    <row r="33" customFormat="false" ht="15" hidden="false" customHeight="false" outlineLevel="0" collapsed="false">
      <c r="A33" s="9"/>
      <c r="B33" s="11"/>
      <c r="C33" s="11"/>
      <c r="D33" s="9"/>
      <c r="E33" s="9"/>
      <c r="F33" s="9"/>
      <c r="G33" s="16" t="str">
        <f aca="false">IF(AND(ISNUMBER(E33),ISNUMBER(F33)),F33-E33,"")</f>
        <v/>
      </c>
      <c r="H33" s="9"/>
      <c r="I33" s="9"/>
      <c r="J33" s="9"/>
      <c r="K33" s="9"/>
    </row>
    <row r="34" customFormat="false" ht="15" hidden="false" customHeight="false" outlineLevel="0" collapsed="false">
      <c r="A34" s="9"/>
      <c r="B34" s="11"/>
      <c r="C34" s="11"/>
      <c r="D34" s="9"/>
      <c r="E34" s="9"/>
      <c r="F34" s="9"/>
      <c r="G34" s="16" t="str">
        <f aca="false">IF(AND(ISNUMBER(E34),ISNUMBER(F34)),F34-E34,"")</f>
        <v/>
      </c>
      <c r="H34" s="9"/>
      <c r="I34" s="9"/>
      <c r="J34" s="9"/>
      <c r="K34" s="9"/>
    </row>
    <row r="35" customFormat="false" ht="15" hidden="false" customHeight="false" outlineLevel="0" collapsed="false">
      <c r="A35" s="9"/>
      <c r="B35" s="11"/>
      <c r="C35" s="11"/>
      <c r="D35" s="9"/>
      <c r="E35" s="9"/>
      <c r="F35" s="9"/>
      <c r="G35" s="16" t="str">
        <f aca="false">IF(AND(ISNUMBER(E35),ISNUMBER(F35)),F35-E35,"")</f>
        <v/>
      </c>
      <c r="H35" s="9"/>
      <c r="I35" s="9"/>
      <c r="J35" s="9"/>
      <c r="K35" s="9"/>
    </row>
    <row r="36" customFormat="false" ht="15" hidden="false" customHeight="false" outlineLevel="0" collapsed="false">
      <c r="A36" s="9"/>
      <c r="B36" s="11"/>
      <c r="C36" s="11"/>
      <c r="D36" s="9"/>
      <c r="E36" s="9"/>
      <c r="F36" s="9"/>
      <c r="G36" s="16" t="str">
        <f aca="false">IF(AND(ISNUMBER(E36),ISNUMBER(F36)),F36-E36,"")</f>
        <v/>
      </c>
      <c r="H36" s="9"/>
      <c r="I36" s="9"/>
      <c r="J36" s="9"/>
      <c r="K36" s="9"/>
    </row>
    <row r="37" customFormat="false" ht="15" hidden="false" customHeight="false" outlineLevel="0" collapsed="false">
      <c r="A37" s="9"/>
      <c r="B37" s="11"/>
      <c r="C37" s="11"/>
      <c r="D37" s="9"/>
      <c r="E37" s="9"/>
      <c r="F37" s="9"/>
      <c r="G37" s="16" t="str">
        <f aca="false">IF(AND(ISNUMBER(E37),ISNUMBER(F37)),F37-E37,"")</f>
        <v/>
      </c>
      <c r="H37" s="9"/>
      <c r="I37" s="9"/>
      <c r="J37" s="9"/>
      <c r="K37" s="9"/>
    </row>
    <row r="38" customFormat="false" ht="15" hidden="false" customHeight="false" outlineLevel="0" collapsed="false">
      <c r="A38" s="9"/>
      <c r="B38" s="11"/>
      <c r="C38" s="11"/>
      <c r="D38" s="9"/>
      <c r="E38" s="9"/>
      <c r="F38" s="9"/>
      <c r="G38" s="16" t="str">
        <f aca="false">IF(AND(ISNUMBER(E38),ISNUMBER(F38)),F38-E38,"")</f>
        <v/>
      </c>
      <c r="H38" s="9"/>
      <c r="I38" s="9"/>
      <c r="J38" s="9"/>
      <c r="K38" s="9"/>
    </row>
    <row r="39" customFormat="false" ht="15" hidden="false" customHeight="false" outlineLevel="0" collapsed="false">
      <c r="A39" s="9"/>
      <c r="B39" s="11"/>
      <c r="C39" s="11"/>
      <c r="D39" s="9"/>
      <c r="E39" s="9"/>
      <c r="F39" s="9"/>
      <c r="G39" s="16" t="str">
        <f aca="false">IF(AND(ISNUMBER(E39),ISNUMBER(F39)),F39-E39,"")</f>
        <v/>
      </c>
      <c r="H39" s="9"/>
      <c r="I39" s="9"/>
      <c r="J39" s="9"/>
      <c r="K39" s="9"/>
    </row>
    <row r="40" customFormat="false" ht="15" hidden="false" customHeight="false" outlineLevel="0" collapsed="false">
      <c r="A40" s="9"/>
      <c r="B40" s="11"/>
      <c r="C40" s="11"/>
      <c r="D40" s="9"/>
      <c r="E40" s="9"/>
      <c r="F40" s="9"/>
      <c r="G40" s="16" t="str">
        <f aca="false">IF(AND(ISNUMBER(E40),ISNUMBER(F40)),F40-E40,"")</f>
        <v/>
      </c>
      <c r="H40" s="9"/>
      <c r="I40" s="9"/>
      <c r="J40" s="9"/>
      <c r="K40" s="9"/>
    </row>
    <row r="41" customFormat="false" ht="15" hidden="false" customHeight="false" outlineLevel="0" collapsed="false">
      <c r="A41" s="9"/>
      <c r="B41" s="11"/>
      <c r="C41" s="11"/>
      <c r="D41" s="9"/>
      <c r="E41" s="9"/>
      <c r="F41" s="9"/>
      <c r="G41" s="16" t="str">
        <f aca="false">IF(AND(ISNUMBER(E41),ISNUMBER(F41)),F41-E41,"")</f>
        <v/>
      </c>
      <c r="H41" s="9"/>
      <c r="I41" s="9"/>
      <c r="J41" s="9"/>
      <c r="K41" s="9"/>
    </row>
    <row r="42" customFormat="false" ht="15" hidden="false" customHeight="false" outlineLevel="0" collapsed="false">
      <c r="A42" s="9"/>
      <c r="B42" s="11"/>
      <c r="C42" s="11"/>
      <c r="D42" s="9"/>
      <c r="E42" s="9"/>
      <c r="F42" s="9"/>
      <c r="G42" s="16" t="str">
        <f aca="false">IF(AND(ISNUMBER(E42),ISNUMBER(F42)),F42-E42,"")</f>
        <v/>
      </c>
      <c r="H42" s="9"/>
      <c r="I42" s="9"/>
      <c r="J42" s="9"/>
      <c r="K42" s="9"/>
    </row>
    <row r="43" customFormat="false" ht="15" hidden="false" customHeight="false" outlineLevel="0" collapsed="false">
      <c r="A43" s="9"/>
      <c r="B43" s="11"/>
      <c r="C43" s="11"/>
      <c r="D43" s="9"/>
      <c r="E43" s="9"/>
      <c r="F43" s="9"/>
      <c r="G43" s="16" t="str">
        <f aca="false">IF(AND(ISNUMBER(E43),ISNUMBER(F43)),F43-E43,"")</f>
        <v/>
      </c>
      <c r="H43" s="9"/>
      <c r="I43" s="9"/>
      <c r="J43" s="9"/>
      <c r="K43" s="9"/>
    </row>
    <row r="44" customFormat="false" ht="15" hidden="false" customHeight="false" outlineLevel="0" collapsed="false">
      <c r="A44" s="9"/>
      <c r="B44" s="11"/>
      <c r="C44" s="11"/>
      <c r="D44" s="9"/>
      <c r="E44" s="9"/>
      <c r="F44" s="9"/>
      <c r="G44" s="16" t="str">
        <f aca="false">IF(AND(ISNUMBER(E44),ISNUMBER(F44)),F44-E44,"")</f>
        <v/>
      </c>
      <c r="H44" s="9"/>
      <c r="I44" s="9"/>
      <c r="J44" s="9"/>
      <c r="K44" s="9"/>
    </row>
    <row r="45" customFormat="false" ht="15" hidden="false" customHeight="false" outlineLevel="0" collapsed="false">
      <c r="A45" s="9"/>
      <c r="B45" s="11"/>
      <c r="C45" s="11"/>
      <c r="D45" s="9"/>
      <c r="E45" s="9"/>
      <c r="F45" s="9"/>
      <c r="G45" s="16" t="str">
        <f aca="false">IF(AND(ISNUMBER(E45),ISNUMBER(F45)),F45-E45,"")</f>
        <v/>
      </c>
      <c r="H45" s="9"/>
      <c r="I45" s="9"/>
      <c r="J45" s="9"/>
      <c r="K45" s="9"/>
    </row>
    <row r="46" customFormat="false" ht="15" hidden="false" customHeight="false" outlineLevel="0" collapsed="false">
      <c r="A46" s="9"/>
      <c r="B46" s="11"/>
      <c r="C46" s="11"/>
      <c r="D46" s="9"/>
      <c r="E46" s="9"/>
      <c r="F46" s="9"/>
      <c r="G46" s="16" t="str">
        <f aca="false">IF(AND(ISNUMBER(E46),ISNUMBER(F46)),F46-E46,"")</f>
        <v/>
      </c>
      <c r="H46" s="9"/>
      <c r="I46" s="9"/>
      <c r="J46" s="9"/>
      <c r="K46" s="9"/>
    </row>
    <row r="47" customFormat="false" ht="15" hidden="false" customHeight="false" outlineLevel="0" collapsed="false">
      <c r="A47" s="9"/>
      <c r="B47" s="11"/>
      <c r="C47" s="11"/>
      <c r="D47" s="9"/>
      <c r="E47" s="9"/>
      <c r="F47" s="9"/>
      <c r="G47" s="16" t="str">
        <f aca="false">IF(AND(ISNUMBER(E47),ISNUMBER(F47)),F47-E47,"")</f>
        <v/>
      </c>
      <c r="H47" s="9"/>
      <c r="I47" s="9"/>
      <c r="J47" s="9"/>
      <c r="K47" s="9"/>
    </row>
    <row r="48" customFormat="false" ht="15" hidden="false" customHeight="false" outlineLevel="0" collapsed="false">
      <c r="A48" s="9"/>
      <c r="B48" s="11"/>
      <c r="C48" s="11"/>
      <c r="D48" s="9"/>
      <c r="E48" s="9"/>
      <c r="F48" s="9"/>
      <c r="G48" s="16" t="str">
        <f aca="false">IF(AND(ISNUMBER(E48),ISNUMBER(F48)),F48-E48,"")</f>
        <v/>
      </c>
      <c r="H48" s="9"/>
      <c r="I48" s="9"/>
      <c r="J48" s="9"/>
      <c r="K48" s="9"/>
    </row>
    <row r="49" customFormat="false" ht="15" hidden="false" customHeight="false" outlineLevel="0" collapsed="false">
      <c r="A49" s="9"/>
      <c r="B49" s="11"/>
      <c r="C49" s="11"/>
      <c r="D49" s="9"/>
      <c r="E49" s="9"/>
      <c r="F49" s="9"/>
      <c r="G49" s="16" t="str">
        <f aca="false">IF(AND(ISNUMBER(E49),ISNUMBER(F49)),F49-E49,"")</f>
        <v/>
      </c>
      <c r="H49" s="9"/>
      <c r="I49" s="9"/>
      <c r="J49" s="9"/>
      <c r="K49" s="9"/>
    </row>
    <row r="50" customFormat="false" ht="15" hidden="false" customHeight="false" outlineLevel="0" collapsed="false">
      <c r="A50" s="9"/>
      <c r="B50" s="11"/>
      <c r="C50" s="11"/>
      <c r="D50" s="9"/>
      <c r="E50" s="9"/>
      <c r="F50" s="9"/>
      <c r="G50" s="16" t="str">
        <f aca="false">IF(AND(ISNUMBER(E50),ISNUMBER(F50)),F50-E50,"")</f>
        <v/>
      </c>
      <c r="H50" s="9"/>
      <c r="I50" s="9"/>
      <c r="J50" s="9"/>
      <c r="K50" s="9"/>
    </row>
    <row r="51" customFormat="false" ht="15" hidden="false" customHeight="false" outlineLevel="0" collapsed="false">
      <c r="A51" s="9"/>
      <c r="B51" s="11"/>
      <c r="C51" s="11"/>
      <c r="D51" s="9"/>
      <c r="E51" s="9"/>
      <c r="F51" s="9"/>
      <c r="G51" s="16" t="str">
        <f aca="false">IF(AND(ISNUMBER(E51),ISNUMBER(F51)),F51-E51,"")</f>
        <v/>
      </c>
      <c r="H51" s="9"/>
      <c r="I51" s="9"/>
      <c r="J51" s="9"/>
      <c r="K51" s="9"/>
    </row>
    <row r="52" customFormat="false" ht="15" hidden="false" customHeight="false" outlineLevel="0" collapsed="false">
      <c r="A52" s="9"/>
      <c r="B52" s="11"/>
      <c r="C52" s="11"/>
      <c r="D52" s="9"/>
      <c r="E52" s="9"/>
      <c r="F52" s="9"/>
      <c r="G52" s="16" t="str">
        <f aca="false">IF(AND(ISNUMBER(E52),ISNUMBER(F52)),F52-E52,"")</f>
        <v/>
      </c>
      <c r="H52" s="9"/>
      <c r="I52" s="9"/>
      <c r="J52" s="9"/>
      <c r="K52" s="9"/>
    </row>
    <row r="53" customFormat="false" ht="15" hidden="false" customHeight="false" outlineLevel="0" collapsed="false">
      <c r="A53" s="9"/>
      <c r="B53" s="11"/>
      <c r="C53" s="11"/>
      <c r="D53" s="9"/>
      <c r="E53" s="9"/>
      <c r="F53" s="9"/>
      <c r="G53" s="16" t="str">
        <f aca="false">IF(AND(ISNUMBER(E53),ISNUMBER(F53)),F53-E53,"")</f>
        <v/>
      </c>
      <c r="H53" s="9"/>
      <c r="I53" s="9"/>
      <c r="J53" s="9"/>
      <c r="K53" s="9"/>
    </row>
    <row r="54" customFormat="false" ht="15" hidden="false" customHeight="false" outlineLevel="0" collapsed="false">
      <c r="A54" s="9"/>
      <c r="B54" s="11"/>
      <c r="C54" s="11"/>
      <c r="D54" s="9"/>
      <c r="E54" s="9"/>
      <c r="F54" s="9"/>
      <c r="G54" s="16" t="str">
        <f aca="false">IF(AND(ISNUMBER(E54),ISNUMBER(F54)),F54-E54,"")</f>
        <v/>
      </c>
      <c r="H54" s="9"/>
      <c r="I54" s="9"/>
      <c r="J54" s="9"/>
      <c r="K54" s="9"/>
    </row>
    <row r="55" customFormat="false" ht="15" hidden="false" customHeight="false" outlineLevel="0" collapsed="false">
      <c r="A55" s="9"/>
      <c r="B55" s="11"/>
      <c r="C55" s="11"/>
      <c r="D55" s="9"/>
      <c r="E55" s="9"/>
      <c r="F55" s="9"/>
      <c r="G55" s="16" t="str">
        <f aca="false">IF(AND(ISNUMBER(E55),ISNUMBER(F55)),F55-E55,"")</f>
        <v/>
      </c>
      <c r="H55" s="9"/>
      <c r="I55" s="9"/>
      <c r="J55" s="9"/>
      <c r="K55" s="9"/>
    </row>
    <row r="56" customFormat="false" ht="15" hidden="false" customHeight="false" outlineLevel="0" collapsed="false">
      <c r="A56" s="9"/>
      <c r="B56" s="11"/>
      <c r="C56" s="11"/>
      <c r="D56" s="9"/>
      <c r="E56" s="9"/>
      <c r="F56" s="9"/>
      <c r="G56" s="16" t="str">
        <f aca="false">IF(AND(ISNUMBER(E56),ISNUMBER(F56)),F56-E56,"")</f>
        <v/>
      </c>
      <c r="H56" s="9"/>
      <c r="I56" s="9"/>
      <c r="J56" s="9"/>
      <c r="K56" s="9"/>
    </row>
    <row r="57" customFormat="false" ht="15" hidden="false" customHeight="false" outlineLevel="0" collapsed="false">
      <c r="A57" s="9"/>
      <c r="B57" s="11"/>
      <c r="C57" s="11"/>
      <c r="D57" s="9"/>
      <c r="E57" s="9"/>
      <c r="F57" s="9"/>
      <c r="G57" s="16" t="str">
        <f aca="false">IF(AND(ISNUMBER(E57),ISNUMBER(F57)),F57-E57,"")</f>
        <v/>
      </c>
      <c r="H57" s="9"/>
      <c r="I57" s="9"/>
      <c r="J57" s="9"/>
      <c r="K57" s="9"/>
    </row>
    <row r="58" customFormat="false" ht="15" hidden="false" customHeight="false" outlineLevel="0" collapsed="false">
      <c r="A58" s="9"/>
      <c r="B58" s="11"/>
      <c r="C58" s="11"/>
      <c r="D58" s="9"/>
      <c r="E58" s="9"/>
      <c r="F58" s="9"/>
      <c r="G58" s="16" t="str">
        <f aca="false">IF(AND(ISNUMBER(E58),ISNUMBER(F58)),F58-E58,"")</f>
        <v/>
      </c>
      <c r="H58" s="9"/>
      <c r="I58" s="9"/>
      <c r="J58" s="9"/>
      <c r="K58" s="9"/>
    </row>
    <row r="59" customFormat="false" ht="15" hidden="false" customHeight="false" outlineLevel="0" collapsed="false">
      <c r="A59" s="9"/>
      <c r="B59" s="11"/>
      <c r="C59" s="11"/>
      <c r="D59" s="9"/>
      <c r="E59" s="9"/>
      <c r="F59" s="9"/>
      <c r="G59" s="16" t="str">
        <f aca="false">IF(AND(ISNUMBER(E59),ISNUMBER(F59)),F59-E59,"")</f>
        <v/>
      </c>
      <c r="H59" s="9"/>
      <c r="I59" s="9"/>
      <c r="J59" s="9"/>
      <c r="K59" s="9"/>
    </row>
    <row r="60" customFormat="false" ht="15" hidden="false" customHeight="false" outlineLevel="0" collapsed="false">
      <c r="A60" s="9"/>
      <c r="B60" s="11"/>
      <c r="C60" s="11"/>
      <c r="D60" s="9"/>
      <c r="E60" s="9"/>
      <c r="F60" s="9"/>
      <c r="G60" s="16" t="str">
        <f aca="false">IF(AND(ISNUMBER(E60),ISNUMBER(F60)),F60-E60,"")</f>
        <v/>
      </c>
      <c r="H60" s="9"/>
      <c r="I60" s="9"/>
      <c r="J60" s="9"/>
      <c r="K60" s="9"/>
    </row>
    <row r="61" customFormat="false" ht="15" hidden="false" customHeight="false" outlineLevel="0" collapsed="false">
      <c r="A61" s="9"/>
      <c r="B61" s="11"/>
      <c r="C61" s="11"/>
      <c r="D61" s="9"/>
      <c r="E61" s="9"/>
      <c r="F61" s="9"/>
      <c r="G61" s="16" t="str">
        <f aca="false">IF(AND(ISNUMBER(E61),ISNUMBER(F61)),F61-E61,"")</f>
        <v/>
      </c>
      <c r="H61" s="9"/>
      <c r="I61" s="9"/>
      <c r="J61" s="9"/>
      <c r="K61" s="9"/>
    </row>
    <row r="62" customFormat="false" ht="15" hidden="false" customHeight="false" outlineLevel="0" collapsed="false">
      <c r="A62" s="9"/>
      <c r="B62" s="11"/>
      <c r="C62" s="11"/>
      <c r="D62" s="9"/>
      <c r="E62" s="9"/>
      <c r="F62" s="9"/>
      <c r="G62" s="16" t="str">
        <f aca="false">IF(AND(ISNUMBER(E62),ISNUMBER(F62)),F62-E62,"")</f>
        <v/>
      </c>
      <c r="H62" s="9"/>
      <c r="I62" s="9"/>
      <c r="J62" s="9"/>
      <c r="K62" s="9"/>
    </row>
    <row r="63" customFormat="false" ht="15" hidden="false" customHeight="false" outlineLevel="0" collapsed="false">
      <c r="A63" s="9"/>
      <c r="B63" s="11"/>
      <c r="C63" s="11"/>
      <c r="D63" s="9"/>
      <c r="E63" s="9"/>
      <c r="F63" s="9"/>
      <c r="G63" s="16" t="str">
        <f aca="false">IF(AND(ISNUMBER(E63),ISNUMBER(F63)),F63-E63,"")</f>
        <v/>
      </c>
      <c r="H63" s="9"/>
      <c r="I63" s="9"/>
      <c r="J63" s="9"/>
      <c r="K63" s="9"/>
    </row>
    <row r="64" customFormat="false" ht="15" hidden="false" customHeight="false" outlineLevel="0" collapsed="false">
      <c r="A64" s="9"/>
      <c r="B64" s="11"/>
      <c r="C64" s="11"/>
      <c r="D64" s="9"/>
      <c r="E64" s="9"/>
      <c r="F64" s="9"/>
      <c r="G64" s="16" t="str">
        <f aca="false">IF(AND(ISNUMBER(E64),ISNUMBER(F64)),F64-E64,"")</f>
        <v/>
      </c>
      <c r="H64" s="9"/>
      <c r="I64" s="9"/>
      <c r="J64" s="9"/>
      <c r="K64" s="9"/>
    </row>
    <row r="65" customFormat="false" ht="15" hidden="false" customHeight="false" outlineLevel="0" collapsed="false">
      <c r="A65" s="9"/>
      <c r="B65" s="11"/>
      <c r="C65" s="11"/>
      <c r="D65" s="9"/>
      <c r="E65" s="9"/>
      <c r="F65" s="9"/>
      <c r="G65" s="16" t="str">
        <f aca="false">IF(AND(ISNUMBER(E65),ISNUMBER(F65)),F65-E65,"")</f>
        <v/>
      </c>
      <c r="H65" s="9"/>
      <c r="I65" s="9"/>
      <c r="J65" s="9"/>
      <c r="K65" s="9"/>
    </row>
    <row r="66" customFormat="false" ht="15" hidden="false" customHeight="false" outlineLevel="0" collapsed="false">
      <c r="A66" s="9"/>
      <c r="B66" s="11"/>
      <c r="C66" s="11"/>
      <c r="D66" s="9"/>
      <c r="E66" s="9"/>
      <c r="F66" s="9"/>
      <c r="G66" s="16" t="str">
        <f aca="false">IF(AND(ISNUMBER(E66),ISNUMBER(F66)),F66-E66,"")</f>
        <v/>
      </c>
      <c r="H66" s="9"/>
      <c r="I66" s="9"/>
      <c r="J66" s="9"/>
      <c r="K66" s="9"/>
    </row>
    <row r="67" customFormat="false" ht="15" hidden="false" customHeight="false" outlineLevel="0" collapsed="false">
      <c r="A67" s="9"/>
      <c r="B67" s="11"/>
      <c r="C67" s="11"/>
      <c r="D67" s="9"/>
      <c r="E67" s="9"/>
      <c r="F67" s="9"/>
      <c r="G67" s="16" t="str">
        <f aca="false">IF(AND(ISNUMBER(E67),ISNUMBER(F67)),F67-E67,"")</f>
        <v/>
      </c>
      <c r="H67" s="9"/>
      <c r="I67" s="9"/>
      <c r="J67" s="9"/>
      <c r="K67" s="9"/>
    </row>
    <row r="68" customFormat="false" ht="15" hidden="false" customHeight="false" outlineLevel="0" collapsed="false">
      <c r="A68" s="9"/>
      <c r="B68" s="11"/>
      <c r="C68" s="11"/>
      <c r="D68" s="9"/>
      <c r="E68" s="9"/>
      <c r="F68" s="9"/>
      <c r="G68" s="16" t="str">
        <f aca="false">IF(AND(ISNUMBER(E68),ISNUMBER(F68)),F68-E68,"")</f>
        <v/>
      </c>
      <c r="H68" s="9"/>
      <c r="I68" s="9"/>
      <c r="J68" s="9"/>
      <c r="K68" s="9"/>
    </row>
    <row r="69" customFormat="false" ht="15" hidden="false" customHeight="false" outlineLevel="0" collapsed="false">
      <c r="A69" s="9"/>
      <c r="B69" s="11"/>
      <c r="C69" s="11"/>
      <c r="D69" s="9"/>
      <c r="E69" s="9"/>
      <c r="F69" s="9"/>
      <c r="G69" s="16" t="str">
        <f aca="false">IF(AND(ISNUMBER(E69),ISNUMBER(F69)),F69-E69,"")</f>
        <v/>
      </c>
      <c r="H69" s="9"/>
      <c r="I69" s="9"/>
      <c r="J69" s="9"/>
      <c r="K69" s="9"/>
    </row>
    <row r="70" customFormat="false" ht="15" hidden="false" customHeight="false" outlineLevel="0" collapsed="false">
      <c r="A70" s="9"/>
      <c r="B70" s="11"/>
      <c r="C70" s="11"/>
      <c r="D70" s="9"/>
      <c r="E70" s="9"/>
      <c r="F70" s="9"/>
      <c r="G70" s="16" t="str">
        <f aca="false">IF(AND(ISNUMBER(E70),ISNUMBER(F70)),F70-E70,"")</f>
        <v/>
      </c>
      <c r="H70" s="9"/>
      <c r="I70" s="9"/>
      <c r="J70" s="9"/>
      <c r="K70" s="9"/>
    </row>
    <row r="71" customFormat="false" ht="15" hidden="false" customHeight="false" outlineLevel="0" collapsed="false">
      <c r="A71" s="9"/>
      <c r="B71" s="11"/>
      <c r="C71" s="11"/>
      <c r="D71" s="9"/>
      <c r="E71" s="9"/>
      <c r="F71" s="9"/>
      <c r="G71" s="16" t="str">
        <f aca="false">IF(AND(ISNUMBER(E71),ISNUMBER(F71)),F71-E71,"")</f>
        <v/>
      </c>
      <c r="H71" s="9"/>
      <c r="I71" s="9"/>
      <c r="J71" s="9"/>
      <c r="K71" s="9"/>
    </row>
    <row r="72" customFormat="false" ht="15" hidden="false" customHeight="false" outlineLevel="0" collapsed="false">
      <c r="A72" s="9"/>
      <c r="B72" s="11"/>
      <c r="C72" s="11"/>
      <c r="D72" s="9"/>
      <c r="E72" s="9"/>
      <c r="F72" s="9"/>
      <c r="G72" s="16" t="str">
        <f aca="false">IF(AND(ISNUMBER(E72),ISNUMBER(F72)),F72-E72,"")</f>
        <v/>
      </c>
      <c r="H72" s="9"/>
      <c r="I72" s="9"/>
      <c r="J72" s="9"/>
      <c r="K72" s="9"/>
    </row>
    <row r="73" customFormat="false" ht="15" hidden="false" customHeight="false" outlineLevel="0" collapsed="false">
      <c r="A73" s="9"/>
      <c r="B73" s="11"/>
      <c r="C73" s="11"/>
      <c r="D73" s="9"/>
      <c r="E73" s="9"/>
      <c r="F73" s="9"/>
      <c r="G73" s="16" t="str">
        <f aca="false">IF(AND(ISNUMBER(E73),ISNUMBER(F73)),F73-E73,"")</f>
        <v/>
      </c>
      <c r="H73" s="9"/>
      <c r="I73" s="9"/>
      <c r="J73" s="9"/>
      <c r="K73" s="9"/>
    </row>
    <row r="74" customFormat="false" ht="15" hidden="false" customHeight="false" outlineLevel="0" collapsed="false">
      <c r="A74" s="9"/>
      <c r="B74" s="11"/>
      <c r="C74" s="11"/>
      <c r="D74" s="9"/>
      <c r="E74" s="9"/>
      <c r="F74" s="9"/>
      <c r="G74" s="16" t="str">
        <f aca="false">IF(AND(ISNUMBER(E74),ISNUMBER(F74)),F74-E74,"")</f>
        <v/>
      </c>
      <c r="H74" s="9"/>
      <c r="I74" s="9"/>
      <c r="J74" s="9"/>
      <c r="K74" s="9"/>
    </row>
    <row r="75" customFormat="false" ht="15" hidden="false" customHeight="false" outlineLevel="0" collapsed="false">
      <c r="A75" s="9"/>
      <c r="B75" s="11"/>
      <c r="C75" s="11"/>
      <c r="D75" s="9"/>
      <c r="E75" s="9"/>
      <c r="F75" s="9"/>
      <c r="G75" s="16" t="str">
        <f aca="false">IF(AND(ISNUMBER(E75),ISNUMBER(F75)),F75-E75,"")</f>
        <v/>
      </c>
      <c r="H75" s="9"/>
      <c r="I75" s="9"/>
      <c r="J75" s="9"/>
      <c r="K75" s="9"/>
    </row>
    <row r="76" customFormat="false" ht="15" hidden="false" customHeight="false" outlineLevel="0" collapsed="false">
      <c r="A76" s="9"/>
      <c r="B76" s="11"/>
      <c r="C76" s="11"/>
      <c r="D76" s="9"/>
      <c r="E76" s="9"/>
      <c r="F76" s="9"/>
      <c r="G76" s="16" t="str">
        <f aca="false">IF(AND(ISNUMBER(E76),ISNUMBER(F76)),F76-E76,"")</f>
        <v/>
      </c>
      <c r="H76" s="9"/>
      <c r="I76" s="9"/>
      <c r="J76" s="9"/>
      <c r="K76" s="9"/>
    </row>
    <row r="77" customFormat="false" ht="15" hidden="false" customHeight="false" outlineLevel="0" collapsed="false">
      <c r="A77" s="9"/>
      <c r="B77" s="11"/>
      <c r="C77" s="11"/>
      <c r="D77" s="9"/>
      <c r="E77" s="9"/>
      <c r="F77" s="9"/>
      <c r="G77" s="16" t="str">
        <f aca="false">IF(AND(ISNUMBER(E77),ISNUMBER(F77)),F77-E77,"")</f>
        <v/>
      </c>
      <c r="H77" s="9"/>
      <c r="I77" s="9"/>
      <c r="J77" s="9"/>
      <c r="K77" s="9"/>
    </row>
    <row r="78" customFormat="false" ht="15" hidden="false" customHeight="false" outlineLevel="0" collapsed="false">
      <c r="A78" s="9"/>
      <c r="B78" s="11"/>
      <c r="C78" s="11"/>
      <c r="D78" s="9"/>
      <c r="E78" s="9"/>
      <c r="F78" s="9"/>
      <c r="G78" s="16" t="str">
        <f aca="false">IF(AND(ISNUMBER(E78),ISNUMBER(F78)),F78-E78,"")</f>
        <v/>
      </c>
      <c r="H78" s="9"/>
      <c r="I78" s="9"/>
      <c r="J78" s="9"/>
      <c r="K78" s="9"/>
    </row>
    <row r="79" customFormat="false" ht="15" hidden="false" customHeight="false" outlineLevel="0" collapsed="false">
      <c r="A79" s="9"/>
      <c r="B79" s="11"/>
      <c r="C79" s="11"/>
      <c r="D79" s="9"/>
      <c r="E79" s="9"/>
      <c r="F79" s="9"/>
      <c r="G79" s="16" t="str">
        <f aca="false">IF(AND(ISNUMBER(E79),ISNUMBER(F79)),F79-E79,"")</f>
        <v/>
      </c>
      <c r="H79" s="9"/>
      <c r="I79" s="9"/>
      <c r="J79" s="9"/>
      <c r="K79" s="9"/>
    </row>
    <row r="80" customFormat="false" ht="15" hidden="false" customHeight="false" outlineLevel="0" collapsed="false">
      <c r="A80" s="9"/>
      <c r="B80" s="11"/>
      <c r="C80" s="11"/>
      <c r="D80" s="9"/>
      <c r="E80" s="9"/>
      <c r="F80" s="9"/>
      <c r="G80" s="16" t="str">
        <f aca="false">IF(AND(ISNUMBER(E80),ISNUMBER(F80)),F80-E80,"")</f>
        <v/>
      </c>
      <c r="H80" s="9"/>
      <c r="I80" s="9"/>
      <c r="J80" s="9"/>
      <c r="K80" s="9"/>
    </row>
    <row r="81" customFormat="false" ht="15" hidden="false" customHeight="false" outlineLevel="0" collapsed="false">
      <c r="A81" s="9"/>
      <c r="B81" s="11"/>
      <c r="C81" s="11"/>
      <c r="D81" s="9"/>
      <c r="E81" s="9"/>
      <c r="F81" s="9"/>
      <c r="G81" s="16" t="str">
        <f aca="false">IF(AND(ISNUMBER(E81),ISNUMBER(F81)),F81-E81,"")</f>
        <v/>
      </c>
      <c r="H81" s="9"/>
      <c r="I81" s="9"/>
      <c r="J81" s="9"/>
      <c r="K81" s="9"/>
    </row>
    <row r="82" customFormat="false" ht="15" hidden="false" customHeight="false" outlineLevel="0" collapsed="false">
      <c r="A82" s="9"/>
      <c r="B82" s="11"/>
      <c r="C82" s="11"/>
      <c r="D82" s="9"/>
      <c r="E82" s="9"/>
      <c r="F82" s="9"/>
      <c r="G82" s="16" t="str">
        <f aca="false">IF(AND(ISNUMBER(E82),ISNUMBER(F82)),F82-E82,"")</f>
        <v/>
      </c>
      <c r="H82" s="9"/>
      <c r="I82" s="9"/>
      <c r="J82" s="9"/>
      <c r="K82" s="9"/>
    </row>
    <row r="83" customFormat="false" ht="15" hidden="false" customHeight="false" outlineLevel="0" collapsed="false">
      <c r="A83" s="9"/>
      <c r="B83" s="11"/>
      <c r="C83" s="11"/>
      <c r="D83" s="9"/>
      <c r="E83" s="9"/>
      <c r="F83" s="9"/>
      <c r="G83" s="16" t="str">
        <f aca="false">IF(AND(ISNUMBER(E83),ISNUMBER(F83)),F83-E83,"")</f>
        <v/>
      </c>
      <c r="H83" s="9"/>
      <c r="I83" s="9"/>
      <c r="J83" s="9"/>
      <c r="K83" s="9"/>
    </row>
    <row r="84" customFormat="false" ht="15" hidden="false" customHeight="false" outlineLevel="0" collapsed="false">
      <c r="A84" s="9"/>
      <c r="B84" s="11"/>
      <c r="C84" s="11"/>
      <c r="D84" s="9"/>
      <c r="E84" s="9"/>
      <c r="F84" s="9"/>
      <c r="G84" s="16" t="str">
        <f aca="false">IF(AND(ISNUMBER(E84),ISNUMBER(F84)),F84-E84,"")</f>
        <v/>
      </c>
      <c r="H84" s="9"/>
      <c r="I84" s="9"/>
      <c r="J84" s="9"/>
      <c r="K84" s="9"/>
    </row>
    <row r="85" customFormat="false" ht="15" hidden="false" customHeight="false" outlineLevel="0" collapsed="false">
      <c r="A85" s="9"/>
      <c r="B85" s="11"/>
      <c r="C85" s="11"/>
      <c r="D85" s="9"/>
      <c r="E85" s="9"/>
      <c r="F85" s="9"/>
      <c r="G85" s="16" t="str">
        <f aca="false">IF(AND(ISNUMBER(E85),ISNUMBER(F85)),F85-E85,"")</f>
        <v/>
      </c>
      <c r="H85" s="9"/>
      <c r="I85" s="9"/>
      <c r="J85" s="9"/>
      <c r="K85" s="9"/>
    </row>
    <row r="86" customFormat="false" ht="15" hidden="false" customHeight="false" outlineLevel="0" collapsed="false">
      <c r="A86" s="9"/>
      <c r="B86" s="11"/>
      <c r="C86" s="11"/>
      <c r="D86" s="9"/>
      <c r="E86" s="9"/>
      <c r="F86" s="9"/>
      <c r="G86" s="16" t="str">
        <f aca="false">IF(AND(ISNUMBER(E86),ISNUMBER(F86)),F86-E86,"")</f>
        <v/>
      </c>
      <c r="H86" s="9"/>
      <c r="I86" s="9"/>
      <c r="J86" s="9"/>
      <c r="K86" s="9"/>
    </row>
    <row r="87" customFormat="false" ht="15" hidden="false" customHeight="false" outlineLevel="0" collapsed="false">
      <c r="A87" s="9"/>
      <c r="B87" s="11"/>
      <c r="C87" s="11"/>
      <c r="D87" s="9"/>
      <c r="E87" s="9"/>
      <c r="F87" s="9"/>
      <c r="G87" s="16" t="str">
        <f aca="false">IF(AND(ISNUMBER(E87),ISNUMBER(F87)),F87-E87,"")</f>
        <v/>
      </c>
      <c r="H87" s="9"/>
      <c r="I87" s="9"/>
      <c r="J87" s="9"/>
      <c r="K87" s="9"/>
    </row>
    <row r="88" customFormat="false" ht="15" hidden="false" customHeight="false" outlineLevel="0" collapsed="false">
      <c r="A88" s="9"/>
      <c r="B88" s="11"/>
      <c r="C88" s="11"/>
      <c r="D88" s="9"/>
      <c r="E88" s="9"/>
      <c r="F88" s="9"/>
      <c r="G88" s="16" t="str">
        <f aca="false">IF(AND(ISNUMBER(E88),ISNUMBER(F88)),F88-E88,"")</f>
        <v/>
      </c>
      <c r="H88" s="9"/>
      <c r="I88" s="9"/>
      <c r="J88" s="9"/>
      <c r="K88" s="9"/>
    </row>
    <row r="89" customFormat="false" ht="15" hidden="false" customHeight="false" outlineLevel="0" collapsed="false">
      <c r="A89" s="9"/>
      <c r="B89" s="11"/>
      <c r="C89" s="11"/>
      <c r="D89" s="9"/>
      <c r="E89" s="9"/>
      <c r="F89" s="9"/>
      <c r="G89" s="16" t="str">
        <f aca="false">IF(AND(ISNUMBER(E89),ISNUMBER(F89)),F89-E89,"")</f>
        <v/>
      </c>
      <c r="H89" s="9"/>
      <c r="I89" s="9"/>
      <c r="J89" s="9"/>
      <c r="K89" s="9"/>
    </row>
    <row r="90" customFormat="false" ht="15" hidden="false" customHeight="false" outlineLevel="0" collapsed="false">
      <c r="A90" s="9"/>
      <c r="B90" s="11"/>
      <c r="C90" s="11"/>
      <c r="D90" s="9"/>
      <c r="E90" s="9"/>
      <c r="F90" s="9"/>
      <c r="G90" s="16" t="str">
        <f aca="false">IF(AND(ISNUMBER(E90),ISNUMBER(F90)),F90-E90,"")</f>
        <v/>
      </c>
      <c r="H90" s="9"/>
      <c r="I90" s="9"/>
      <c r="J90" s="9"/>
      <c r="K90" s="9"/>
    </row>
    <row r="91" customFormat="false" ht="15" hidden="false" customHeight="false" outlineLevel="0" collapsed="false">
      <c r="A91" s="9"/>
      <c r="B91" s="11"/>
      <c r="C91" s="11"/>
      <c r="D91" s="9"/>
      <c r="E91" s="9"/>
      <c r="F91" s="9"/>
      <c r="G91" s="16" t="str">
        <f aca="false">IF(AND(ISNUMBER(E91),ISNUMBER(F91)),F91-E91,"")</f>
        <v/>
      </c>
      <c r="H91" s="9"/>
      <c r="I91" s="9"/>
      <c r="J91" s="9"/>
      <c r="K91" s="9"/>
    </row>
    <row r="92" customFormat="false" ht="15" hidden="false" customHeight="false" outlineLevel="0" collapsed="false">
      <c r="A92" s="9"/>
      <c r="B92" s="11"/>
      <c r="C92" s="11"/>
      <c r="D92" s="9"/>
      <c r="E92" s="9"/>
      <c r="F92" s="9"/>
      <c r="G92" s="16" t="str">
        <f aca="false">IF(AND(ISNUMBER(E92),ISNUMBER(F92)),F92-E92,"")</f>
        <v/>
      </c>
      <c r="H92" s="9"/>
      <c r="I92" s="9"/>
      <c r="J92" s="9"/>
      <c r="K92" s="9"/>
    </row>
    <row r="93" customFormat="false" ht="15" hidden="false" customHeight="false" outlineLevel="0" collapsed="false">
      <c r="A93" s="9"/>
      <c r="B93" s="11"/>
      <c r="C93" s="11"/>
      <c r="D93" s="9"/>
      <c r="E93" s="9"/>
      <c r="F93" s="9"/>
      <c r="G93" s="16" t="str">
        <f aca="false">IF(AND(ISNUMBER(E93),ISNUMBER(F93)),F93-E93,"")</f>
        <v/>
      </c>
      <c r="H93" s="9"/>
      <c r="I93" s="9"/>
      <c r="J93" s="9"/>
      <c r="K93" s="9"/>
    </row>
    <row r="94" customFormat="false" ht="15" hidden="false" customHeight="false" outlineLevel="0" collapsed="false">
      <c r="A94" s="9"/>
      <c r="B94" s="11"/>
      <c r="C94" s="11"/>
      <c r="D94" s="9"/>
      <c r="E94" s="9"/>
      <c r="F94" s="9"/>
      <c r="G94" s="16" t="str">
        <f aca="false">IF(AND(ISNUMBER(E94),ISNUMBER(F94)),F94-E94,"")</f>
        <v/>
      </c>
      <c r="H94" s="9"/>
      <c r="I94" s="9"/>
      <c r="J94" s="9"/>
      <c r="K94" s="9"/>
    </row>
    <row r="95" customFormat="false" ht="15" hidden="false" customHeight="false" outlineLevel="0" collapsed="false">
      <c r="A95" s="9"/>
      <c r="B95" s="11"/>
      <c r="C95" s="11"/>
      <c r="D95" s="9"/>
      <c r="E95" s="9"/>
      <c r="F95" s="9"/>
      <c r="G95" s="16" t="str">
        <f aca="false">IF(AND(ISNUMBER(E95),ISNUMBER(F95)),F95-E95,"")</f>
        <v/>
      </c>
      <c r="H95" s="9"/>
      <c r="I95" s="9"/>
      <c r="J95" s="9"/>
      <c r="K95" s="9"/>
    </row>
    <row r="96" customFormat="false" ht="15" hidden="false" customHeight="false" outlineLevel="0" collapsed="false">
      <c r="A96" s="9"/>
      <c r="B96" s="11"/>
      <c r="C96" s="11"/>
      <c r="D96" s="9"/>
      <c r="E96" s="9"/>
      <c r="F96" s="9"/>
      <c r="G96" s="16" t="str">
        <f aca="false">IF(AND(ISNUMBER(E96),ISNUMBER(F96)),F96-E96,"")</f>
        <v/>
      </c>
      <c r="H96" s="9"/>
      <c r="I96" s="9"/>
      <c r="J96" s="9"/>
      <c r="K96" s="9"/>
    </row>
    <row r="97" customFormat="false" ht="15" hidden="false" customHeight="false" outlineLevel="0" collapsed="false">
      <c r="A97" s="9"/>
      <c r="B97" s="11"/>
      <c r="C97" s="11"/>
      <c r="D97" s="9"/>
      <c r="E97" s="9"/>
      <c r="F97" s="9"/>
      <c r="G97" s="16" t="str">
        <f aca="false">IF(AND(ISNUMBER(E97),ISNUMBER(F97)),F97-E97,"")</f>
        <v/>
      </c>
      <c r="H97" s="9"/>
      <c r="I97" s="9"/>
      <c r="J97" s="9"/>
      <c r="K97" s="9"/>
    </row>
    <row r="98" customFormat="false" ht="15" hidden="false" customHeight="false" outlineLevel="0" collapsed="false">
      <c r="A98" s="9"/>
      <c r="B98" s="11"/>
      <c r="C98" s="11"/>
      <c r="D98" s="9"/>
      <c r="E98" s="9"/>
      <c r="F98" s="9"/>
      <c r="G98" s="16" t="str">
        <f aca="false">IF(AND(ISNUMBER(E98),ISNUMBER(F98)),F98-E98,"")</f>
        <v/>
      </c>
      <c r="H98" s="9"/>
      <c r="I98" s="9"/>
      <c r="J98" s="9"/>
      <c r="K98" s="9"/>
    </row>
    <row r="99" customFormat="false" ht="15" hidden="false" customHeight="false" outlineLevel="0" collapsed="false">
      <c r="A99" s="9"/>
      <c r="B99" s="11"/>
      <c r="C99" s="11"/>
      <c r="D99" s="9"/>
      <c r="E99" s="9"/>
      <c r="F99" s="9"/>
      <c r="G99" s="16" t="str">
        <f aca="false">IF(AND(ISNUMBER(E99),ISNUMBER(F99)),F99-E99,"")</f>
        <v/>
      </c>
      <c r="H99" s="9"/>
      <c r="I99" s="9"/>
      <c r="J99" s="9"/>
      <c r="K99" s="9"/>
    </row>
    <row r="100" customFormat="false" ht="15" hidden="false" customHeight="false" outlineLevel="0" collapsed="false">
      <c r="A100" s="9"/>
      <c r="B100" s="11"/>
      <c r="C100" s="11"/>
      <c r="D100" s="9"/>
      <c r="E100" s="9"/>
      <c r="F100" s="9"/>
      <c r="G100" s="16" t="str">
        <f aca="false">IF(AND(ISNUMBER(E100),ISNUMBER(F100)),F100-E100,"")</f>
        <v/>
      </c>
      <c r="H100" s="9"/>
      <c r="I100" s="9"/>
      <c r="J100" s="9"/>
      <c r="K100" s="9"/>
    </row>
    <row r="101" customFormat="false" ht="15" hidden="false" customHeight="false" outlineLevel="0" collapsed="false">
      <c r="A101" s="9"/>
      <c r="B101" s="11"/>
      <c r="C101" s="11"/>
      <c r="D101" s="9"/>
      <c r="E101" s="9"/>
      <c r="F101" s="9"/>
      <c r="G101" s="16" t="str">
        <f aca="false">IF(AND(ISNUMBER(E101),ISNUMBER(F101)),F101-E101,"")</f>
        <v/>
      </c>
      <c r="H101" s="9"/>
      <c r="I101" s="9"/>
      <c r="J101" s="9"/>
      <c r="K101" s="9"/>
    </row>
    <row r="102" customFormat="false" ht="15" hidden="false" customHeight="false" outlineLevel="0" collapsed="false">
      <c r="A102" s="9"/>
      <c r="B102" s="11"/>
      <c r="C102" s="11"/>
      <c r="D102" s="9"/>
      <c r="E102" s="9"/>
      <c r="F102" s="9"/>
      <c r="G102" s="16" t="str">
        <f aca="false">IF(AND(ISNUMBER(E102),ISNUMBER(F102)),F102-E102,"")</f>
        <v/>
      </c>
      <c r="H102" s="9"/>
      <c r="I102" s="9"/>
      <c r="J102" s="9"/>
      <c r="K102" s="9"/>
    </row>
    <row r="103" customFormat="false" ht="15" hidden="false" customHeight="false" outlineLevel="0" collapsed="false">
      <c r="A103" s="9"/>
      <c r="B103" s="11"/>
      <c r="C103" s="11"/>
      <c r="D103" s="9"/>
      <c r="E103" s="9"/>
      <c r="F103" s="9"/>
      <c r="G103" s="16" t="str">
        <f aca="false">IF(AND(ISNUMBER(E103),ISNUMBER(F103)),F103-E103,"")</f>
        <v/>
      </c>
      <c r="H103" s="9"/>
      <c r="I103" s="9"/>
      <c r="J103" s="9"/>
      <c r="K103" s="9"/>
    </row>
    <row r="104" customFormat="false" ht="15" hidden="false" customHeight="false" outlineLevel="0" collapsed="false">
      <c r="A104" s="9"/>
      <c r="B104" s="11"/>
      <c r="C104" s="11"/>
      <c r="D104" s="9"/>
      <c r="E104" s="9"/>
      <c r="F104" s="9"/>
      <c r="G104" s="16" t="str">
        <f aca="false">IF(AND(ISNUMBER(E104),ISNUMBER(F104)),F104-E104,"")</f>
        <v/>
      </c>
      <c r="H104" s="9"/>
      <c r="I104" s="9"/>
      <c r="J104" s="9"/>
      <c r="K104" s="9"/>
    </row>
    <row r="105" customFormat="false" ht="15" hidden="false" customHeight="false" outlineLevel="0" collapsed="false">
      <c r="A105" s="9"/>
      <c r="B105" s="11"/>
      <c r="C105" s="11"/>
      <c r="D105" s="9"/>
      <c r="E105" s="9"/>
      <c r="F105" s="9"/>
      <c r="G105" s="16" t="str">
        <f aca="false">IF(AND(ISNUMBER(E105),ISNUMBER(F105)),F105-E105,"")</f>
        <v/>
      </c>
      <c r="H105" s="9"/>
      <c r="I105" s="9"/>
      <c r="J105" s="9"/>
      <c r="K105" s="9"/>
    </row>
    <row r="106" customFormat="false" ht="15" hidden="false" customHeight="false" outlineLevel="0" collapsed="false">
      <c r="A106" s="9"/>
      <c r="B106" s="11"/>
      <c r="C106" s="11"/>
      <c r="D106" s="9"/>
      <c r="E106" s="9"/>
      <c r="F106" s="9"/>
      <c r="G106" s="16" t="str">
        <f aca="false">IF(AND(ISNUMBER(E106),ISNUMBER(F106)),F106-E106,"")</f>
        <v/>
      </c>
      <c r="H106" s="9"/>
      <c r="I106" s="9"/>
      <c r="J106" s="9"/>
      <c r="K106" s="9"/>
    </row>
    <row r="107" customFormat="false" ht="15" hidden="false" customHeight="false" outlineLevel="0" collapsed="false">
      <c r="A107" s="9"/>
      <c r="B107" s="11"/>
      <c r="C107" s="11"/>
      <c r="D107" s="9"/>
      <c r="E107" s="9"/>
      <c r="F107" s="9"/>
      <c r="G107" s="16" t="str">
        <f aca="false">IF(AND(ISNUMBER(E107),ISNUMBER(F107)),F107-E107,"")</f>
        <v/>
      </c>
      <c r="H107" s="9"/>
      <c r="I107" s="9"/>
      <c r="J107" s="9"/>
      <c r="K107" s="9"/>
    </row>
    <row r="108" customFormat="false" ht="15" hidden="false" customHeight="false" outlineLevel="0" collapsed="false">
      <c r="A108" s="9"/>
      <c r="B108" s="11"/>
      <c r="C108" s="11"/>
      <c r="D108" s="9"/>
      <c r="E108" s="9"/>
      <c r="F108" s="9"/>
      <c r="G108" s="16" t="str">
        <f aca="false">IF(AND(ISNUMBER(E108),ISNUMBER(F108)),F108-E108,"")</f>
        <v/>
      </c>
      <c r="H108" s="9"/>
      <c r="I108" s="9"/>
      <c r="J108" s="9"/>
      <c r="K108" s="9"/>
    </row>
    <row r="109" customFormat="false" ht="15" hidden="false" customHeight="false" outlineLevel="0" collapsed="false">
      <c r="A109" s="9"/>
      <c r="B109" s="11"/>
      <c r="C109" s="11"/>
      <c r="D109" s="9"/>
      <c r="E109" s="9"/>
      <c r="F109" s="9"/>
      <c r="G109" s="16" t="str">
        <f aca="false">IF(AND(ISNUMBER(E109),ISNUMBER(F109)),F109-E109,"")</f>
        <v/>
      </c>
      <c r="H109" s="9"/>
      <c r="I109" s="9"/>
      <c r="J109" s="9"/>
      <c r="K109" s="9"/>
    </row>
    <row r="110" customFormat="false" ht="15" hidden="false" customHeight="false" outlineLevel="0" collapsed="false">
      <c r="A110" s="9"/>
      <c r="B110" s="11"/>
      <c r="C110" s="11"/>
      <c r="D110" s="9"/>
      <c r="E110" s="9"/>
      <c r="F110" s="9"/>
      <c r="G110" s="16" t="str">
        <f aca="false">IF(AND(ISNUMBER(E110),ISNUMBER(F110)),F110-E110,"")</f>
        <v/>
      </c>
      <c r="H110" s="9"/>
      <c r="I110" s="9"/>
      <c r="J110" s="9"/>
      <c r="K110" s="9"/>
    </row>
    <row r="111" customFormat="false" ht="15" hidden="false" customHeight="false" outlineLevel="0" collapsed="false">
      <c r="A111" s="9"/>
      <c r="B111" s="11"/>
      <c r="C111" s="11"/>
      <c r="D111" s="9"/>
      <c r="E111" s="9"/>
      <c r="F111" s="9"/>
      <c r="G111" s="16" t="str">
        <f aca="false">IF(AND(ISNUMBER(E111),ISNUMBER(F111)),F111-E111,"")</f>
        <v/>
      </c>
      <c r="H111" s="9"/>
      <c r="I111" s="9"/>
      <c r="J111" s="9"/>
      <c r="K111" s="9"/>
    </row>
    <row r="112" customFormat="false" ht="15" hidden="false" customHeight="false" outlineLevel="0" collapsed="false">
      <c r="A112" s="9"/>
      <c r="B112" s="11"/>
      <c r="C112" s="11"/>
      <c r="D112" s="9"/>
      <c r="E112" s="9"/>
      <c r="F112" s="9"/>
      <c r="G112" s="16" t="str">
        <f aca="false">IF(AND(ISNUMBER(E112),ISNUMBER(F112)),F112-E112,"")</f>
        <v/>
      </c>
      <c r="H112" s="9"/>
      <c r="I112" s="9"/>
      <c r="J112" s="9"/>
      <c r="K112" s="9"/>
    </row>
    <row r="113" customFormat="false" ht="15" hidden="false" customHeight="false" outlineLevel="0" collapsed="false">
      <c r="A113" s="9"/>
      <c r="B113" s="11"/>
      <c r="C113" s="11"/>
      <c r="D113" s="9"/>
      <c r="E113" s="9"/>
      <c r="F113" s="9"/>
      <c r="G113" s="16" t="str">
        <f aca="false">IF(AND(ISNUMBER(E113),ISNUMBER(F113)),F113-E113,"")</f>
        <v/>
      </c>
      <c r="H113" s="9"/>
      <c r="I113" s="9"/>
      <c r="J113" s="9"/>
      <c r="K113" s="9"/>
    </row>
    <row r="114" customFormat="false" ht="15" hidden="false" customHeight="false" outlineLevel="0" collapsed="false">
      <c r="A114" s="9"/>
      <c r="B114" s="11"/>
      <c r="C114" s="11"/>
      <c r="D114" s="9"/>
      <c r="E114" s="9"/>
      <c r="F114" s="9"/>
      <c r="G114" s="16" t="str">
        <f aca="false">IF(AND(ISNUMBER(E114),ISNUMBER(F114)),F114-E114,"")</f>
        <v/>
      </c>
      <c r="H114" s="9"/>
      <c r="I114" s="9"/>
      <c r="J114" s="9"/>
      <c r="K114" s="9"/>
    </row>
    <row r="115" customFormat="false" ht="15" hidden="false" customHeight="false" outlineLevel="0" collapsed="false">
      <c r="A115" s="9"/>
      <c r="B115" s="11"/>
      <c r="C115" s="11"/>
      <c r="D115" s="9"/>
      <c r="E115" s="9"/>
      <c r="F115" s="9"/>
      <c r="G115" s="16" t="str">
        <f aca="false">IF(AND(ISNUMBER(E115),ISNUMBER(F115)),F115-E115,"")</f>
        <v/>
      </c>
      <c r="H115" s="9"/>
      <c r="I115" s="9"/>
      <c r="J115" s="9"/>
      <c r="K115" s="9"/>
    </row>
    <row r="116" customFormat="false" ht="15" hidden="false" customHeight="false" outlineLevel="0" collapsed="false">
      <c r="A116" s="9"/>
      <c r="B116" s="11"/>
      <c r="C116" s="11"/>
      <c r="D116" s="9"/>
      <c r="E116" s="9"/>
      <c r="F116" s="9"/>
      <c r="G116" s="16" t="str">
        <f aca="false">IF(AND(ISNUMBER(E116),ISNUMBER(F116)),F116-E116,"")</f>
        <v/>
      </c>
      <c r="H116" s="9"/>
      <c r="I116" s="9"/>
      <c r="J116" s="9"/>
      <c r="K116" s="9"/>
    </row>
    <row r="117" customFormat="false" ht="15" hidden="false" customHeight="false" outlineLevel="0" collapsed="false">
      <c r="A117" s="9"/>
      <c r="B117" s="11"/>
      <c r="C117" s="11"/>
      <c r="D117" s="9"/>
      <c r="E117" s="9"/>
      <c r="F117" s="9"/>
      <c r="G117" s="16" t="str">
        <f aca="false">IF(AND(ISNUMBER(E117),ISNUMBER(F117)),F117-E117,"")</f>
        <v/>
      </c>
      <c r="H117" s="9"/>
      <c r="I117" s="9"/>
      <c r="J117" s="9"/>
      <c r="K117" s="9"/>
    </row>
    <row r="118" customFormat="false" ht="15" hidden="false" customHeight="false" outlineLevel="0" collapsed="false">
      <c r="A118" s="9"/>
      <c r="B118" s="11"/>
      <c r="C118" s="11"/>
      <c r="D118" s="9"/>
      <c r="E118" s="9"/>
      <c r="F118" s="9"/>
      <c r="G118" s="16" t="str">
        <f aca="false">IF(AND(ISNUMBER(E118),ISNUMBER(F118)),F118-E118,"")</f>
        <v/>
      </c>
      <c r="H118" s="9"/>
      <c r="I118" s="9"/>
      <c r="J118" s="9"/>
      <c r="K118" s="9"/>
    </row>
    <row r="119" customFormat="false" ht="15" hidden="false" customHeight="false" outlineLevel="0" collapsed="false">
      <c r="A119" s="9"/>
      <c r="B119" s="11"/>
      <c r="C119" s="11"/>
      <c r="D119" s="9"/>
      <c r="E119" s="9"/>
      <c r="F119" s="9"/>
      <c r="G119" s="16" t="str">
        <f aca="false">IF(AND(ISNUMBER(E119),ISNUMBER(F119)),F119-E119,"")</f>
        <v/>
      </c>
      <c r="H119" s="9"/>
      <c r="I119" s="9"/>
      <c r="J119" s="9"/>
      <c r="K119" s="9"/>
    </row>
    <row r="120" customFormat="false" ht="15" hidden="false" customHeight="false" outlineLevel="0" collapsed="false">
      <c r="A120" s="9"/>
      <c r="B120" s="11"/>
      <c r="C120" s="11"/>
      <c r="D120" s="9"/>
      <c r="E120" s="9"/>
      <c r="F120" s="9"/>
      <c r="G120" s="16" t="str">
        <f aca="false">IF(AND(ISNUMBER(E120),ISNUMBER(F120)),F120-E120,"")</f>
        <v/>
      </c>
      <c r="H120" s="9"/>
      <c r="I120" s="9"/>
      <c r="J120" s="9"/>
      <c r="K120" s="9"/>
    </row>
    <row r="121" customFormat="false" ht="15" hidden="false" customHeight="false" outlineLevel="0" collapsed="false">
      <c r="A121" s="9"/>
      <c r="B121" s="11"/>
      <c r="C121" s="11"/>
      <c r="D121" s="9"/>
      <c r="E121" s="9"/>
      <c r="F121" s="9"/>
      <c r="G121" s="16" t="str">
        <f aca="false">IF(AND(ISNUMBER(E121),ISNUMBER(F121)),F121-E121,"")</f>
        <v/>
      </c>
      <c r="H121" s="9"/>
      <c r="I121" s="9"/>
      <c r="J121" s="9"/>
      <c r="K121" s="9"/>
    </row>
    <row r="122" customFormat="false" ht="15" hidden="false" customHeight="false" outlineLevel="0" collapsed="false">
      <c r="A122" s="9"/>
      <c r="B122" s="11"/>
      <c r="C122" s="11"/>
      <c r="D122" s="9"/>
      <c r="E122" s="9"/>
      <c r="F122" s="9"/>
      <c r="G122" s="16" t="str">
        <f aca="false">IF(AND(ISNUMBER(E122),ISNUMBER(F122)),F122-E122,"")</f>
        <v/>
      </c>
      <c r="H122" s="9"/>
      <c r="I122" s="9"/>
      <c r="J122" s="9"/>
      <c r="K122" s="9"/>
    </row>
    <row r="123" customFormat="false" ht="15" hidden="false" customHeight="false" outlineLevel="0" collapsed="false">
      <c r="A123" s="9"/>
      <c r="B123" s="11"/>
      <c r="C123" s="11"/>
      <c r="D123" s="9"/>
      <c r="E123" s="9"/>
      <c r="F123" s="9"/>
      <c r="G123" s="16" t="str">
        <f aca="false">IF(AND(ISNUMBER(E123),ISNUMBER(F123)),F123-E123,"")</f>
        <v/>
      </c>
      <c r="H123" s="9"/>
      <c r="I123" s="9"/>
      <c r="J123" s="9"/>
      <c r="K123" s="9"/>
    </row>
    <row r="124" customFormat="false" ht="15" hidden="false" customHeight="false" outlineLevel="0" collapsed="false">
      <c r="A124" s="9"/>
      <c r="B124" s="11"/>
      <c r="C124" s="11"/>
      <c r="D124" s="9"/>
      <c r="E124" s="9"/>
      <c r="F124" s="9"/>
      <c r="G124" s="16" t="str">
        <f aca="false">IF(AND(ISNUMBER(E124),ISNUMBER(F124)),F124-E124,"")</f>
        <v/>
      </c>
      <c r="H124" s="9"/>
      <c r="I124" s="9"/>
      <c r="J124" s="9"/>
      <c r="K124" s="9"/>
    </row>
    <row r="125" customFormat="false" ht="15" hidden="false" customHeight="false" outlineLevel="0" collapsed="false">
      <c r="A125" s="9"/>
      <c r="B125" s="11"/>
      <c r="C125" s="11"/>
      <c r="D125" s="9"/>
      <c r="E125" s="9"/>
      <c r="F125" s="9"/>
      <c r="G125" s="16" t="str">
        <f aca="false">IF(AND(ISNUMBER(E125),ISNUMBER(F125)),F125-E125,"")</f>
        <v/>
      </c>
      <c r="H125" s="9"/>
      <c r="I125" s="9"/>
      <c r="J125" s="9"/>
      <c r="K125" s="9"/>
    </row>
    <row r="126" customFormat="false" ht="15" hidden="false" customHeight="false" outlineLevel="0" collapsed="false">
      <c r="A126" s="9"/>
      <c r="B126" s="11"/>
      <c r="C126" s="11"/>
      <c r="D126" s="9"/>
      <c r="E126" s="9"/>
      <c r="F126" s="9"/>
      <c r="G126" s="16" t="str">
        <f aca="false">IF(AND(ISNUMBER(E126),ISNUMBER(F126)),F126-E126,"")</f>
        <v/>
      </c>
      <c r="H126" s="9"/>
      <c r="I126" s="9"/>
      <c r="J126" s="9"/>
      <c r="K126" s="9"/>
    </row>
    <row r="127" customFormat="false" ht="15" hidden="false" customHeight="false" outlineLevel="0" collapsed="false">
      <c r="A127" s="9"/>
      <c r="B127" s="11"/>
      <c r="C127" s="11"/>
      <c r="D127" s="9"/>
      <c r="E127" s="9"/>
      <c r="F127" s="9"/>
      <c r="G127" s="16" t="str">
        <f aca="false">IF(AND(ISNUMBER(E127),ISNUMBER(F127)),F127-E127,"")</f>
        <v/>
      </c>
      <c r="H127" s="9"/>
      <c r="I127" s="9"/>
      <c r="J127" s="9"/>
      <c r="K127" s="9"/>
    </row>
    <row r="128" customFormat="false" ht="15" hidden="false" customHeight="false" outlineLevel="0" collapsed="false">
      <c r="A128" s="9"/>
      <c r="B128" s="11"/>
      <c r="C128" s="11"/>
      <c r="D128" s="9"/>
      <c r="E128" s="9"/>
      <c r="F128" s="9"/>
      <c r="G128" s="16" t="str">
        <f aca="false">IF(AND(ISNUMBER(E128),ISNUMBER(F128)),F128-E128,"")</f>
        <v/>
      </c>
      <c r="H128" s="9"/>
      <c r="I128" s="9"/>
      <c r="J128" s="9"/>
      <c r="K128" s="9"/>
    </row>
    <row r="129" customFormat="false" ht="15" hidden="false" customHeight="false" outlineLevel="0" collapsed="false">
      <c r="A129" s="9"/>
      <c r="B129" s="11"/>
      <c r="C129" s="11"/>
      <c r="D129" s="9"/>
      <c r="E129" s="9"/>
      <c r="F129" s="9"/>
      <c r="G129" s="16" t="str">
        <f aca="false">IF(AND(ISNUMBER(E129),ISNUMBER(F129)),F129-E129,"")</f>
        <v/>
      </c>
      <c r="H129" s="9"/>
      <c r="I129" s="9"/>
      <c r="J129" s="9"/>
      <c r="K129" s="9"/>
    </row>
    <row r="130" customFormat="false" ht="15" hidden="false" customHeight="false" outlineLevel="0" collapsed="false">
      <c r="A130" s="9"/>
      <c r="B130" s="11"/>
      <c r="C130" s="11"/>
      <c r="D130" s="9"/>
      <c r="E130" s="9"/>
      <c r="F130" s="9"/>
      <c r="G130" s="16" t="str">
        <f aca="false">IF(AND(ISNUMBER(E130),ISNUMBER(F130)),F130-E130,"")</f>
        <v/>
      </c>
      <c r="H130" s="9"/>
      <c r="I130" s="9"/>
      <c r="J130" s="9"/>
      <c r="K130" s="9"/>
    </row>
    <row r="131" customFormat="false" ht="15" hidden="false" customHeight="false" outlineLevel="0" collapsed="false">
      <c r="A131" s="9"/>
      <c r="B131" s="11"/>
      <c r="C131" s="11"/>
      <c r="D131" s="9"/>
      <c r="E131" s="9"/>
      <c r="F131" s="9"/>
      <c r="G131" s="16" t="str">
        <f aca="false">IF(AND(ISNUMBER(E131),ISNUMBER(F131)),F131-E131,"")</f>
        <v/>
      </c>
      <c r="H131" s="9"/>
      <c r="I131" s="9"/>
      <c r="J131" s="9"/>
      <c r="K131" s="9"/>
    </row>
    <row r="132" customFormat="false" ht="15" hidden="false" customHeight="false" outlineLevel="0" collapsed="false">
      <c r="A132" s="9"/>
      <c r="B132" s="11"/>
      <c r="C132" s="11"/>
      <c r="D132" s="9"/>
      <c r="E132" s="9"/>
      <c r="F132" s="9"/>
      <c r="G132" s="16" t="str">
        <f aca="false">IF(AND(ISNUMBER(E132),ISNUMBER(F132)),F132-E132,"")</f>
        <v/>
      </c>
      <c r="H132" s="9"/>
      <c r="I132" s="9"/>
      <c r="J132" s="9"/>
      <c r="K132" s="9"/>
    </row>
    <row r="133" customFormat="false" ht="15" hidden="false" customHeight="false" outlineLevel="0" collapsed="false">
      <c r="A133" s="9"/>
      <c r="B133" s="11"/>
      <c r="C133" s="11"/>
      <c r="D133" s="9"/>
      <c r="E133" s="9"/>
      <c r="F133" s="9"/>
      <c r="G133" s="16" t="str">
        <f aca="false">IF(AND(ISNUMBER(E133),ISNUMBER(F133)),F133-E133,"")</f>
        <v/>
      </c>
      <c r="H133" s="9"/>
      <c r="I133" s="9"/>
      <c r="J133" s="9"/>
      <c r="K133" s="9"/>
    </row>
    <row r="134" customFormat="false" ht="15" hidden="false" customHeight="false" outlineLevel="0" collapsed="false">
      <c r="A134" s="9"/>
      <c r="B134" s="11"/>
      <c r="C134" s="11"/>
      <c r="D134" s="9"/>
      <c r="E134" s="9"/>
      <c r="F134" s="9"/>
      <c r="G134" s="16" t="str">
        <f aca="false">IF(AND(ISNUMBER(E134),ISNUMBER(F134)),F134-E134,"")</f>
        <v/>
      </c>
      <c r="H134" s="9"/>
      <c r="I134" s="9"/>
      <c r="J134" s="9"/>
      <c r="K134" s="9"/>
    </row>
    <row r="135" customFormat="false" ht="15" hidden="false" customHeight="false" outlineLevel="0" collapsed="false">
      <c r="A135" s="9"/>
      <c r="B135" s="11"/>
      <c r="C135" s="11"/>
      <c r="D135" s="9"/>
      <c r="E135" s="9"/>
      <c r="F135" s="9"/>
      <c r="G135" s="16" t="str">
        <f aca="false">IF(AND(ISNUMBER(E135),ISNUMBER(F135)),F135-E135,"")</f>
        <v/>
      </c>
      <c r="H135" s="9"/>
      <c r="I135" s="9"/>
      <c r="J135" s="9"/>
      <c r="K135" s="9"/>
    </row>
    <row r="136" customFormat="false" ht="15" hidden="false" customHeight="false" outlineLevel="0" collapsed="false">
      <c r="A136" s="9"/>
      <c r="B136" s="11"/>
      <c r="C136" s="11"/>
      <c r="D136" s="9"/>
      <c r="E136" s="9"/>
      <c r="F136" s="9"/>
      <c r="G136" s="16" t="str">
        <f aca="false">IF(AND(ISNUMBER(E136),ISNUMBER(F136)),F136-E136,"")</f>
        <v/>
      </c>
      <c r="H136" s="9"/>
      <c r="I136" s="9"/>
      <c r="J136" s="9"/>
      <c r="K136" s="9"/>
    </row>
    <row r="137" customFormat="false" ht="15" hidden="false" customHeight="false" outlineLevel="0" collapsed="false">
      <c r="A137" s="9"/>
      <c r="B137" s="11"/>
      <c r="C137" s="11"/>
      <c r="D137" s="9"/>
      <c r="E137" s="9"/>
      <c r="F137" s="9"/>
      <c r="G137" s="16" t="str">
        <f aca="false">IF(AND(ISNUMBER(E137),ISNUMBER(F137)),F137-E137,"")</f>
        <v/>
      </c>
      <c r="H137" s="9"/>
      <c r="I137" s="9"/>
      <c r="J137" s="9"/>
      <c r="K137" s="9"/>
    </row>
    <row r="138" customFormat="false" ht="15" hidden="false" customHeight="false" outlineLevel="0" collapsed="false">
      <c r="A138" s="9"/>
      <c r="B138" s="11"/>
      <c r="C138" s="11"/>
      <c r="D138" s="9"/>
      <c r="E138" s="9"/>
      <c r="F138" s="9"/>
      <c r="G138" s="16" t="str">
        <f aca="false">IF(AND(ISNUMBER(E138),ISNUMBER(F138)),F138-E138,"")</f>
        <v/>
      </c>
      <c r="H138" s="9"/>
      <c r="I138" s="9"/>
      <c r="J138" s="9"/>
      <c r="K138" s="9"/>
    </row>
    <row r="139" customFormat="false" ht="15" hidden="false" customHeight="false" outlineLevel="0" collapsed="false">
      <c r="A139" s="9"/>
      <c r="B139" s="11"/>
      <c r="C139" s="11"/>
      <c r="D139" s="9"/>
      <c r="E139" s="9"/>
      <c r="F139" s="9"/>
      <c r="G139" s="16" t="str">
        <f aca="false">IF(AND(ISNUMBER(E139),ISNUMBER(F139)),F139-E139,"")</f>
        <v/>
      </c>
      <c r="H139" s="9"/>
      <c r="I139" s="9"/>
      <c r="J139" s="9"/>
      <c r="K139" s="9"/>
    </row>
    <row r="140" customFormat="false" ht="15" hidden="false" customHeight="false" outlineLevel="0" collapsed="false">
      <c r="A140" s="9"/>
      <c r="B140" s="11"/>
      <c r="C140" s="11"/>
      <c r="D140" s="9"/>
      <c r="E140" s="9"/>
      <c r="F140" s="9"/>
      <c r="G140" s="16" t="str">
        <f aca="false">IF(AND(ISNUMBER(E140),ISNUMBER(F140)),F140-E140,"")</f>
        <v/>
      </c>
      <c r="H140" s="9"/>
      <c r="I140" s="9"/>
      <c r="J140" s="9"/>
      <c r="K140" s="9"/>
    </row>
    <row r="141" customFormat="false" ht="15" hidden="false" customHeight="false" outlineLevel="0" collapsed="false">
      <c r="A141" s="9"/>
      <c r="B141" s="11"/>
      <c r="C141" s="11"/>
      <c r="D141" s="9"/>
      <c r="E141" s="9"/>
      <c r="F141" s="9"/>
      <c r="G141" s="16" t="str">
        <f aca="false">IF(AND(ISNUMBER(E141),ISNUMBER(F141)),F141-E141,"")</f>
        <v/>
      </c>
      <c r="H141" s="9"/>
      <c r="I141" s="9"/>
      <c r="J141" s="9"/>
      <c r="K141" s="9"/>
    </row>
    <row r="142" customFormat="false" ht="15" hidden="false" customHeight="false" outlineLevel="0" collapsed="false">
      <c r="A142" s="9"/>
      <c r="B142" s="11"/>
      <c r="C142" s="11"/>
      <c r="D142" s="9"/>
      <c r="E142" s="9"/>
      <c r="F142" s="9"/>
      <c r="G142" s="16" t="str">
        <f aca="false">IF(AND(ISNUMBER(E142),ISNUMBER(F142)),F142-E142,"")</f>
        <v/>
      </c>
      <c r="H142" s="9"/>
      <c r="I142" s="9"/>
      <c r="J142" s="9"/>
      <c r="K142" s="9"/>
    </row>
    <row r="143" customFormat="false" ht="15" hidden="false" customHeight="false" outlineLevel="0" collapsed="false">
      <c r="A143" s="9"/>
      <c r="B143" s="11"/>
      <c r="C143" s="11"/>
      <c r="D143" s="9"/>
      <c r="E143" s="9"/>
      <c r="F143" s="9"/>
      <c r="G143" s="16" t="str">
        <f aca="false">IF(AND(ISNUMBER(E143),ISNUMBER(F143)),F143-E143,"")</f>
        <v/>
      </c>
      <c r="H143" s="9"/>
      <c r="I143" s="9"/>
      <c r="J143" s="9"/>
      <c r="K143" s="9"/>
    </row>
    <row r="144" customFormat="false" ht="15" hidden="false" customHeight="false" outlineLevel="0" collapsed="false">
      <c r="A144" s="9"/>
      <c r="B144" s="11"/>
      <c r="C144" s="11"/>
      <c r="D144" s="9"/>
      <c r="E144" s="9"/>
      <c r="F144" s="9"/>
      <c r="G144" s="16" t="str">
        <f aca="false">IF(AND(ISNUMBER(E144),ISNUMBER(F144)),F144-E144,"")</f>
        <v/>
      </c>
      <c r="H144" s="9"/>
      <c r="I144" s="9"/>
      <c r="J144" s="9"/>
      <c r="K144" s="9"/>
    </row>
    <row r="145" customFormat="false" ht="15" hidden="false" customHeight="false" outlineLevel="0" collapsed="false">
      <c r="A145" s="9"/>
      <c r="B145" s="11"/>
      <c r="C145" s="11"/>
      <c r="D145" s="9"/>
      <c r="E145" s="9"/>
      <c r="F145" s="9"/>
      <c r="G145" s="16" t="str">
        <f aca="false">IF(AND(ISNUMBER(E145),ISNUMBER(F145)),F145-E145,"")</f>
        <v/>
      </c>
      <c r="H145" s="9"/>
      <c r="I145" s="9"/>
      <c r="J145" s="9"/>
      <c r="K145" s="9"/>
    </row>
    <row r="146" customFormat="false" ht="15" hidden="false" customHeight="false" outlineLevel="0" collapsed="false">
      <c r="A146" s="9"/>
      <c r="B146" s="11"/>
      <c r="C146" s="11"/>
      <c r="D146" s="9"/>
      <c r="E146" s="9"/>
      <c r="F146" s="9"/>
      <c r="G146" s="16" t="str">
        <f aca="false">IF(AND(ISNUMBER(E146),ISNUMBER(F146)),F146-E146,"")</f>
        <v/>
      </c>
      <c r="H146" s="9"/>
      <c r="I146" s="9"/>
      <c r="J146" s="9"/>
      <c r="K146" s="9"/>
    </row>
    <row r="147" customFormat="false" ht="15" hidden="false" customHeight="false" outlineLevel="0" collapsed="false">
      <c r="A147" s="9"/>
      <c r="B147" s="11"/>
      <c r="C147" s="11"/>
      <c r="D147" s="9"/>
      <c r="E147" s="9"/>
      <c r="F147" s="9"/>
      <c r="G147" s="16" t="str">
        <f aca="false">IF(AND(ISNUMBER(E147),ISNUMBER(F147)),F147-E147,"")</f>
        <v/>
      </c>
      <c r="H147" s="9"/>
      <c r="I147" s="9"/>
      <c r="J147" s="9"/>
      <c r="K147" s="9"/>
    </row>
    <row r="148" customFormat="false" ht="15" hidden="false" customHeight="false" outlineLevel="0" collapsed="false">
      <c r="A148" s="9"/>
      <c r="B148" s="11"/>
      <c r="C148" s="11"/>
      <c r="D148" s="9"/>
      <c r="E148" s="9"/>
      <c r="F148" s="9"/>
      <c r="G148" s="16" t="str">
        <f aca="false">IF(AND(ISNUMBER(E148),ISNUMBER(F148)),F148-E148,"")</f>
        <v/>
      </c>
      <c r="H148" s="9"/>
      <c r="I148" s="9"/>
      <c r="J148" s="9"/>
      <c r="K148" s="9"/>
    </row>
    <row r="149" customFormat="false" ht="15" hidden="false" customHeight="false" outlineLevel="0" collapsed="false">
      <c r="A149" s="9"/>
      <c r="B149" s="11"/>
      <c r="C149" s="11"/>
      <c r="D149" s="9"/>
      <c r="E149" s="9"/>
      <c r="F149" s="9"/>
      <c r="G149" s="16" t="str">
        <f aca="false">IF(AND(ISNUMBER(E149),ISNUMBER(F149)),F149-E149,"")</f>
        <v/>
      </c>
      <c r="H149" s="9"/>
      <c r="I149" s="9"/>
      <c r="J149" s="9"/>
      <c r="K149" s="9"/>
    </row>
    <row r="150" customFormat="false" ht="15" hidden="false" customHeight="false" outlineLevel="0" collapsed="false">
      <c r="A150" s="9"/>
      <c r="B150" s="11"/>
      <c r="C150" s="11"/>
      <c r="D150" s="9"/>
      <c r="E150" s="9"/>
      <c r="F150" s="9"/>
      <c r="G150" s="16" t="str">
        <f aca="false">IF(AND(ISNUMBER(E150),ISNUMBER(F150)),F150-E150,"")</f>
        <v/>
      </c>
      <c r="H150" s="9"/>
      <c r="I150" s="9"/>
      <c r="J150" s="9"/>
      <c r="K150" s="9"/>
    </row>
    <row r="151" customFormat="false" ht="15" hidden="false" customHeight="false" outlineLevel="0" collapsed="false">
      <c r="A151" s="9"/>
      <c r="B151" s="11"/>
      <c r="C151" s="11"/>
      <c r="D151" s="9"/>
      <c r="E151" s="9"/>
      <c r="F151" s="9"/>
      <c r="G151" s="16" t="str">
        <f aca="false">IF(AND(ISNUMBER(E151),ISNUMBER(F151)),F151-E151,"")</f>
        <v/>
      </c>
      <c r="H151" s="9"/>
      <c r="I151" s="9"/>
      <c r="J151" s="9"/>
      <c r="K151" s="9"/>
    </row>
    <row r="152" customFormat="false" ht="15" hidden="false" customHeight="false" outlineLevel="0" collapsed="false">
      <c r="A152" s="9"/>
      <c r="B152" s="11"/>
      <c r="C152" s="11"/>
      <c r="D152" s="9"/>
      <c r="E152" s="9"/>
      <c r="F152" s="9"/>
      <c r="G152" s="16" t="str">
        <f aca="false">IF(AND(ISNUMBER(E152),ISNUMBER(F152)),F152-E152,"")</f>
        <v/>
      </c>
      <c r="H152" s="9"/>
      <c r="I152" s="9"/>
      <c r="J152" s="9"/>
      <c r="K152" s="9"/>
    </row>
    <row r="153" customFormat="false" ht="15" hidden="false" customHeight="false" outlineLevel="0" collapsed="false">
      <c r="A153" s="9"/>
      <c r="B153" s="11"/>
      <c r="C153" s="11"/>
      <c r="D153" s="9"/>
      <c r="E153" s="9"/>
      <c r="F153" s="9"/>
      <c r="G153" s="16" t="str">
        <f aca="false">IF(AND(ISNUMBER(E153),ISNUMBER(F153)),F153-E153,"")</f>
        <v/>
      </c>
      <c r="H153" s="9"/>
      <c r="I153" s="9"/>
      <c r="J153" s="9"/>
      <c r="K153" s="9"/>
    </row>
    <row r="154" customFormat="false" ht="15" hidden="false" customHeight="false" outlineLevel="0" collapsed="false">
      <c r="A154" s="9"/>
      <c r="B154" s="11"/>
      <c r="C154" s="11"/>
      <c r="D154" s="9"/>
      <c r="E154" s="9"/>
      <c r="F154" s="9"/>
      <c r="G154" s="16" t="str">
        <f aca="false">IF(AND(ISNUMBER(E154),ISNUMBER(F154)),F154-E154,"")</f>
        <v/>
      </c>
      <c r="H154" s="9"/>
      <c r="I154" s="9"/>
      <c r="J154" s="9"/>
      <c r="K154" s="9"/>
    </row>
    <row r="155" customFormat="false" ht="15" hidden="false" customHeight="false" outlineLevel="0" collapsed="false">
      <c r="A155" s="9"/>
      <c r="B155" s="11"/>
      <c r="C155" s="11"/>
      <c r="D155" s="9"/>
      <c r="E155" s="9"/>
      <c r="F155" s="9"/>
      <c r="G155" s="16" t="str">
        <f aca="false">IF(AND(ISNUMBER(E155),ISNUMBER(F155)),F155-E155,"")</f>
        <v/>
      </c>
      <c r="H155" s="9"/>
      <c r="I155" s="9"/>
      <c r="J155" s="9"/>
      <c r="K155" s="9"/>
    </row>
    <row r="156" customFormat="false" ht="15" hidden="false" customHeight="false" outlineLevel="0" collapsed="false">
      <c r="A156" s="9"/>
      <c r="B156" s="11"/>
      <c r="C156" s="11"/>
      <c r="D156" s="9"/>
      <c r="E156" s="9"/>
      <c r="F156" s="9"/>
      <c r="G156" s="16" t="str">
        <f aca="false">IF(AND(ISNUMBER(E156),ISNUMBER(F156)),F156-E156,"")</f>
        <v/>
      </c>
      <c r="H156" s="9"/>
      <c r="I156" s="9"/>
      <c r="J156" s="9"/>
      <c r="K156" s="9"/>
    </row>
    <row r="157" customFormat="false" ht="15" hidden="false" customHeight="false" outlineLevel="0" collapsed="false">
      <c r="A157" s="9"/>
      <c r="B157" s="11"/>
      <c r="C157" s="11"/>
      <c r="D157" s="9"/>
      <c r="E157" s="9"/>
      <c r="F157" s="9"/>
      <c r="G157" s="16" t="str">
        <f aca="false">IF(AND(ISNUMBER(E157),ISNUMBER(F157)),F157-E157,"")</f>
        <v/>
      </c>
      <c r="H157" s="9"/>
      <c r="I157" s="9"/>
      <c r="J157" s="9"/>
      <c r="K157" s="9"/>
    </row>
    <row r="158" customFormat="false" ht="15" hidden="false" customHeight="false" outlineLevel="0" collapsed="false">
      <c r="A158" s="9"/>
      <c r="B158" s="11"/>
      <c r="C158" s="11"/>
      <c r="D158" s="9"/>
      <c r="E158" s="9"/>
      <c r="F158" s="9"/>
      <c r="G158" s="16" t="str">
        <f aca="false">IF(AND(ISNUMBER(E158),ISNUMBER(F158)),F158-E158,"")</f>
        <v/>
      </c>
      <c r="H158" s="9"/>
      <c r="I158" s="9"/>
      <c r="J158" s="9"/>
      <c r="K158" s="9"/>
    </row>
    <row r="159" customFormat="false" ht="15" hidden="false" customHeight="false" outlineLevel="0" collapsed="false">
      <c r="A159" s="9"/>
      <c r="B159" s="11"/>
      <c r="C159" s="11"/>
      <c r="D159" s="9"/>
      <c r="E159" s="9"/>
      <c r="F159" s="9"/>
      <c r="G159" s="16" t="str">
        <f aca="false">IF(AND(ISNUMBER(E159),ISNUMBER(F159)),F159-E159,"")</f>
        <v/>
      </c>
      <c r="H159" s="9"/>
      <c r="I159" s="9"/>
      <c r="J159" s="9"/>
      <c r="K159" s="9"/>
    </row>
    <row r="160" customFormat="false" ht="15" hidden="false" customHeight="false" outlineLevel="0" collapsed="false">
      <c r="A160" s="9"/>
      <c r="B160" s="11"/>
      <c r="C160" s="11"/>
      <c r="D160" s="9"/>
      <c r="E160" s="9"/>
      <c r="F160" s="9"/>
      <c r="G160" s="16" t="str">
        <f aca="false">IF(AND(ISNUMBER(E160),ISNUMBER(F160)),F160-E160,"")</f>
        <v/>
      </c>
      <c r="H160" s="9"/>
      <c r="I160" s="9"/>
      <c r="J160" s="9"/>
      <c r="K160" s="9"/>
    </row>
    <row r="161" customFormat="false" ht="15" hidden="false" customHeight="false" outlineLevel="0" collapsed="false">
      <c r="A161" s="9"/>
      <c r="B161" s="11"/>
      <c r="C161" s="11"/>
      <c r="D161" s="9"/>
      <c r="E161" s="9"/>
      <c r="F161" s="9"/>
      <c r="G161" s="16" t="str">
        <f aca="false">IF(AND(ISNUMBER(E161),ISNUMBER(F161)),F161-E161,"")</f>
        <v/>
      </c>
      <c r="H161" s="9"/>
      <c r="I161" s="9"/>
      <c r="J161" s="9"/>
      <c r="K161" s="9"/>
    </row>
    <row r="162" customFormat="false" ht="15" hidden="false" customHeight="false" outlineLevel="0" collapsed="false">
      <c r="A162" s="9"/>
      <c r="B162" s="11"/>
      <c r="C162" s="11"/>
      <c r="D162" s="9"/>
      <c r="E162" s="9"/>
      <c r="F162" s="9"/>
      <c r="G162" s="16" t="str">
        <f aca="false">IF(AND(ISNUMBER(E162),ISNUMBER(F162)),F162-E162,"")</f>
        <v/>
      </c>
      <c r="H162" s="9"/>
      <c r="I162" s="9"/>
      <c r="J162" s="9"/>
      <c r="K162" s="9"/>
    </row>
    <row r="163" customFormat="false" ht="15" hidden="false" customHeight="false" outlineLevel="0" collapsed="false">
      <c r="A163" s="9"/>
      <c r="B163" s="11"/>
      <c r="C163" s="11"/>
      <c r="D163" s="9"/>
      <c r="E163" s="9"/>
      <c r="F163" s="9"/>
      <c r="G163" s="16" t="str">
        <f aca="false">IF(AND(ISNUMBER(E163),ISNUMBER(F163)),F163-E163,"")</f>
        <v/>
      </c>
      <c r="H163" s="9"/>
      <c r="I163" s="9"/>
      <c r="J163" s="9"/>
      <c r="K163" s="9"/>
    </row>
    <row r="164" customFormat="false" ht="15" hidden="false" customHeight="false" outlineLevel="0" collapsed="false">
      <c r="A164" s="9"/>
      <c r="B164" s="11"/>
      <c r="C164" s="11"/>
      <c r="D164" s="9"/>
      <c r="E164" s="9"/>
      <c r="F164" s="9"/>
      <c r="G164" s="16" t="str">
        <f aca="false">IF(AND(ISNUMBER(E164),ISNUMBER(F164)),F164-E164,"")</f>
        <v/>
      </c>
      <c r="H164" s="9"/>
      <c r="I164" s="9"/>
      <c r="J164" s="9"/>
      <c r="K164" s="9"/>
    </row>
    <row r="165" customFormat="false" ht="15" hidden="false" customHeight="false" outlineLevel="0" collapsed="false">
      <c r="A165" s="9"/>
      <c r="B165" s="11"/>
      <c r="C165" s="11"/>
      <c r="D165" s="9"/>
      <c r="E165" s="9"/>
      <c r="F165" s="9"/>
      <c r="G165" s="16" t="str">
        <f aca="false">IF(AND(ISNUMBER(E165),ISNUMBER(F165)),F165-E165,"")</f>
        <v/>
      </c>
      <c r="H165" s="9"/>
      <c r="I165" s="9"/>
      <c r="J165" s="9"/>
      <c r="K165" s="9"/>
    </row>
    <row r="166" customFormat="false" ht="15" hidden="false" customHeight="false" outlineLevel="0" collapsed="false">
      <c r="A166" s="9"/>
      <c r="B166" s="11"/>
      <c r="C166" s="11"/>
      <c r="D166" s="9"/>
      <c r="E166" s="9"/>
      <c r="F166" s="9"/>
      <c r="G166" s="16" t="str">
        <f aca="false">IF(AND(ISNUMBER(E166),ISNUMBER(F166)),F166-E166,"")</f>
        <v/>
      </c>
      <c r="H166" s="9"/>
      <c r="I166" s="9"/>
      <c r="J166" s="9"/>
      <c r="K166" s="9"/>
    </row>
    <row r="167" customFormat="false" ht="15" hidden="false" customHeight="false" outlineLevel="0" collapsed="false">
      <c r="A167" s="9"/>
      <c r="B167" s="11"/>
      <c r="C167" s="11"/>
      <c r="D167" s="9"/>
      <c r="E167" s="9"/>
      <c r="F167" s="9"/>
      <c r="G167" s="16" t="str">
        <f aca="false">IF(AND(ISNUMBER(E167),ISNUMBER(F167)),F167-E167,"")</f>
        <v/>
      </c>
      <c r="H167" s="9"/>
      <c r="I167" s="9"/>
      <c r="J167" s="9"/>
      <c r="K167" s="9"/>
    </row>
    <row r="168" customFormat="false" ht="15" hidden="false" customHeight="false" outlineLevel="0" collapsed="false">
      <c r="A168" s="9"/>
      <c r="B168" s="11"/>
      <c r="C168" s="11"/>
      <c r="D168" s="9"/>
      <c r="E168" s="9"/>
      <c r="F168" s="9"/>
      <c r="G168" s="16" t="str">
        <f aca="false">IF(AND(ISNUMBER(E168),ISNUMBER(F168)),F168-E168,"")</f>
        <v/>
      </c>
      <c r="H168" s="9"/>
      <c r="I168" s="9"/>
      <c r="J168" s="9"/>
      <c r="K168" s="9"/>
    </row>
    <row r="169" customFormat="false" ht="15" hidden="false" customHeight="false" outlineLevel="0" collapsed="false">
      <c r="A169" s="9"/>
      <c r="B169" s="11"/>
      <c r="C169" s="11"/>
      <c r="D169" s="9"/>
      <c r="E169" s="9"/>
      <c r="F169" s="9"/>
      <c r="G169" s="16" t="str">
        <f aca="false">IF(AND(ISNUMBER(E169),ISNUMBER(F169)),F169-E169,"")</f>
        <v/>
      </c>
      <c r="H169" s="9"/>
      <c r="I169" s="9"/>
      <c r="J169" s="9"/>
      <c r="K169" s="9"/>
    </row>
    <row r="170" customFormat="false" ht="15" hidden="false" customHeight="false" outlineLevel="0" collapsed="false">
      <c r="A170" s="9"/>
      <c r="B170" s="11"/>
      <c r="C170" s="11"/>
      <c r="D170" s="9"/>
      <c r="E170" s="9"/>
      <c r="F170" s="9"/>
      <c r="G170" s="16" t="str">
        <f aca="false">IF(AND(ISNUMBER(E170),ISNUMBER(F170)),F170-E170,"")</f>
        <v/>
      </c>
      <c r="H170" s="9"/>
      <c r="I170" s="9"/>
      <c r="J170" s="9"/>
      <c r="K170" s="9"/>
    </row>
    <row r="171" customFormat="false" ht="15" hidden="false" customHeight="false" outlineLevel="0" collapsed="false">
      <c r="A171" s="9"/>
      <c r="B171" s="11"/>
      <c r="C171" s="11"/>
      <c r="D171" s="9"/>
      <c r="E171" s="9"/>
      <c r="F171" s="9"/>
      <c r="G171" s="16" t="str">
        <f aca="false">IF(AND(ISNUMBER(E171),ISNUMBER(F171)),F171-E171,"")</f>
        <v/>
      </c>
      <c r="H171" s="9"/>
      <c r="I171" s="9"/>
      <c r="J171" s="9"/>
      <c r="K171" s="9"/>
    </row>
    <row r="172" customFormat="false" ht="15" hidden="false" customHeight="false" outlineLevel="0" collapsed="false">
      <c r="A172" s="9"/>
      <c r="B172" s="11"/>
      <c r="C172" s="11"/>
      <c r="D172" s="9"/>
      <c r="E172" s="9"/>
      <c r="F172" s="9"/>
      <c r="G172" s="16" t="str">
        <f aca="false">IF(AND(ISNUMBER(E172),ISNUMBER(F172)),F172-E172,"")</f>
        <v/>
      </c>
      <c r="H172" s="9"/>
      <c r="I172" s="9"/>
      <c r="J172" s="9"/>
      <c r="K172" s="9"/>
    </row>
    <row r="173" customFormat="false" ht="15" hidden="false" customHeight="false" outlineLevel="0" collapsed="false">
      <c r="A173" s="9"/>
      <c r="B173" s="11"/>
      <c r="C173" s="11"/>
      <c r="D173" s="9"/>
      <c r="E173" s="9"/>
      <c r="F173" s="9"/>
      <c r="G173" s="16" t="str">
        <f aca="false">IF(AND(ISNUMBER(E173),ISNUMBER(F173)),F173-E173,"")</f>
        <v/>
      </c>
      <c r="H173" s="9"/>
      <c r="I173" s="9"/>
      <c r="J173" s="9"/>
      <c r="K173" s="9"/>
    </row>
    <row r="174" customFormat="false" ht="15" hidden="false" customHeight="false" outlineLevel="0" collapsed="false">
      <c r="A174" s="9"/>
      <c r="B174" s="11"/>
      <c r="C174" s="11"/>
      <c r="D174" s="9"/>
      <c r="E174" s="9"/>
      <c r="F174" s="9"/>
      <c r="G174" s="16" t="str">
        <f aca="false">IF(AND(ISNUMBER(E174),ISNUMBER(F174)),F174-E174,"")</f>
        <v/>
      </c>
      <c r="H174" s="9"/>
      <c r="I174" s="9"/>
      <c r="J174" s="9"/>
      <c r="K174" s="9"/>
    </row>
    <row r="175" customFormat="false" ht="15" hidden="false" customHeight="false" outlineLevel="0" collapsed="false">
      <c r="A175" s="9"/>
      <c r="B175" s="11"/>
      <c r="C175" s="11"/>
      <c r="D175" s="9"/>
      <c r="E175" s="9"/>
      <c r="F175" s="9"/>
      <c r="G175" s="16" t="str">
        <f aca="false">IF(AND(ISNUMBER(E175),ISNUMBER(F175)),F175-E175,"")</f>
        <v/>
      </c>
      <c r="H175" s="9"/>
      <c r="I175" s="9"/>
      <c r="J175" s="9"/>
      <c r="K175" s="9"/>
    </row>
    <row r="176" customFormat="false" ht="15" hidden="false" customHeight="false" outlineLevel="0" collapsed="false">
      <c r="A176" s="9"/>
      <c r="B176" s="11"/>
      <c r="C176" s="11"/>
      <c r="D176" s="9"/>
      <c r="E176" s="9"/>
      <c r="F176" s="9"/>
      <c r="G176" s="16" t="str">
        <f aca="false">IF(AND(ISNUMBER(E176),ISNUMBER(F176)),F176-E176,"")</f>
        <v/>
      </c>
      <c r="H176" s="9"/>
      <c r="I176" s="9"/>
      <c r="J176" s="9"/>
      <c r="K176" s="9"/>
    </row>
    <row r="177" customFormat="false" ht="15" hidden="false" customHeight="false" outlineLevel="0" collapsed="false">
      <c r="A177" s="9"/>
      <c r="B177" s="11"/>
      <c r="C177" s="11"/>
      <c r="D177" s="9"/>
      <c r="E177" s="9"/>
      <c r="F177" s="9"/>
      <c r="G177" s="16" t="str">
        <f aca="false">IF(AND(ISNUMBER(E177),ISNUMBER(F177)),F177-E177,"")</f>
        <v/>
      </c>
      <c r="H177" s="9"/>
      <c r="I177" s="9"/>
      <c r="J177" s="9"/>
      <c r="K177" s="9"/>
    </row>
    <row r="178" customFormat="false" ht="15" hidden="false" customHeight="false" outlineLevel="0" collapsed="false">
      <c r="A178" s="9"/>
      <c r="B178" s="11"/>
      <c r="C178" s="11"/>
      <c r="D178" s="9"/>
      <c r="E178" s="9"/>
      <c r="F178" s="9"/>
      <c r="G178" s="16" t="str">
        <f aca="false">IF(AND(ISNUMBER(E178),ISNUMBER(F178)),F178-E178,"")</f>
        <v/>
      </c>
      <c r="H178" s="9"/>
      <c r="I178" s="9"/>
      <c r="J178" s="9"/>
      <c r="K178" s="9"/>
    </row>
    <row r="179" customFormat="false" ht="15" hidden="false" customHeight="false" outlineLevel="0" collapsed="false">
      <c r="A179" s="9"/>
      <c r="B179" s="11"/>
      <c r="C179" s="11"/>
      <c r="D179" s="9"/>
      <c r="E179" s="9"/>
      <c r="F179" s="9"/>
      <c r="G179" s="16" t="str">
        <f aca="false">IF(AND(ISNUMBER(E179),ISNUMBER(F179)),F179-E179,"")</f>
        <v/>
      </c>
      <c r="H179" s="9"/>
      <c r="I179" s="9"/>
      <c r="J179" s="9"/>
      <c r="K179" s="9"/>
    </row>
    <row r="180" customFormat="false" ht="15" hidden="false" customHeight="false" outlineLevel="0" collapsed="false">
      <c r="A180" s="9"/>
      <c r="B180" s="11"/>
      <c r="C180" s="11"/>
      <c r="D180" s="9"/>
      <c r="E180" s="9"/>
      <c r="F180" s="9"/>
      <c r="G180" s="16" t="str">
        <f aca="false">IF(AND(ISNUMBER(E180),ISNUMBER(F180)),F180-E180,"")</f>
        <v/>
      </c>
      <c r="H180" s="9"/>
      <c r="I180" s="9"/>
      <c r="J180" s="9"/>
      <c r="K180" s="9"/>
    </row>
    <row r="181" customFormat="false" ht="15" hidden="false" customHeight="false" outlineLevel="0" collapsed="false">
      <c r="A181" s="9"/>
      <c r="B181" s="11"/>
      <c r="C181" s="11"/>
      <c r="D181" s="9"/>
      <c r="E181" s="9"/>
      <c r="F181" s="9"/>
      <c r="G181" s="16" t="str">
        <f aca="false">IF(AND(ISNUMBER(E181),ISNUMBER(F181)),F181-E181,"")</f>
        <v/>
      </c>
      <c r="H181" s="9"/>
      <c r="I181" s="9"/>
      <c r="J181" s="9"/>
      <c r="K181" s="9"/>
    </row>
    <row r="182" customFormat="false" ht="15" hidden="false" customHeight="false" outlineLevel="0" collapsed="false">
      <c r="A182" s="9"/>
      <c r="B182" s="11"/>
      <c r="C182" s="11"/>
      <c r="D182" s="9"/>
      <c r="E182" s="9"/>
      <c r="F182" s="9"/>
      <c r="G182" s="16" t="str">
        <f aca="false">IF(AND(ISNUMBER(E182),ISNUMBER(F182)),F182-E182,"")</f>
        <v/>
      </c>
      <c r="H182" s="9"/>
      <c r="I182" s="9"/>
      <c r="J182" s="9"/>
      <c r="K182" s="9"/>
    </row>
    <row r="183" customFormat="false" ht="15" hidden="false" customHeight="false" outlineLevel="0" collapsed="false">
      <c r="A183" s="9"/>
      <c r="B183" s="11"/>
      <c r="C183" s="11"/>
      <c r="D183" s="9"/>
      <c r="E183" s="9"/>
      <c r="F183" s="9"/>
      <c r="G183" s="16" t="str">
        <f aca="false">IF(AND(ISNUMBER(E183),ISNUMBER(F183)),F183-E183,"")</f>
        <v/>
      </c>
      <c r="H183" s="9"/>
      <c r="I183" s="9"/>
      <c r="J183" s="9"/>
      <c r="K183" s="9"/>
    </row>
    <row r="184" customFormat="false" ht="15" hidden="false" customHeight="false" outlineLevel="0" collapsed="false">
      <c r="A184" s="9"/>
      <c r="B184" s="11"/>
      <c r="C184" s="11"/>
      <c r="D184" s="9"/>
      <c r="E184" s="9"/>
      <c r="F184" s="9"/>
      <c r="G184" s="16" t="str">
        <f aca="false">IF(AND(ISNUMBER(E184),ISNUMBER(F184)),F184-E184,"")</f>
        <v/>
      </c>
      <c r="H184" s="9"/>
      <c r="I184" s="9"/>
      <c r="J184" s="9"/>
      <c r="K184" s="9"/>
    </row>
    <row r="185" customFormat="false" ht="15" hidden="false" customHeight="false" outlineLevel="0" collapsed="false">
      <c r="A185" s="9"/>
      <c r="B185" s="11"/>
      <c r="C185" s="11"/>
      <c r="D185" s="9"/>
      <c r="E185" s="9"/>
      <c r="F185" s="9"/>
      <c r="G185" s="16" t="str">
        <f aca="false">IF(AND(ISNUMBER(E185),ISNUMBER(F185)),F185-E185,"")</f>
        <v/>
      </c>
      <c r="H185" s="9"/>
      <c r="I185" s="9"/>
      <c r="J185" s="9"/>
      <c r="K185" s="9"/>
    </row>
    <row r="186" customFormat="false" ht="15" hidden="false" customHeight="false" outlineLevel="0" collapsed="false">
      <c r="A186" s="9"/>
      <c r="B186" s="11"/>
      <c r="C186" s="11"/>
      <c r="D186" s="9"/>
      <c r="E186" s="9"/>
      <c r="F186" s="9"/>
      <c r="G186" s="16" t="str">
        <f aca="false">IF(AND(ISNUMBER(E186),ISNUMBER(F186)),F186-E186,"")</f>
        <v/>
      </c>
      <c r="H186" s="9"/>
      <c r="I186" s="9"/>
      <c r="J186" s="9"/>
      <c r="K186" s="9"/>
    </row>
    <row r="187" customFormat="false" ht="15" hidden="false" customHeight="false" outlineLevel="0" collapsed="false">
      <c r="A187" s="9"/>
      <c r="B187" s="11"/>
      <c r="C187" s="11"/>
      <c r="D187" s="9"/>
      <c r="E187" s="9"/>
      <c r="F187" s="9"/>
      <c r="G187" s="16" t="str">
        <f aca="false">IF(AND(ISNUMBER(E187),ISNUMBER(F187)),F187-E187,"")</f>
        <v/>
      </c>
      <c r="H187" s="9"/>
      <c r="I187" s="9"/>
      <c r="J187" s="9"/>
      <c r="K187" s="9"/>
    </row>
    <row r="188" customFormat="false" ht="15" hidden="false" customHeight="false" outlineLevel="0" collapsed="false">
      <c r="A188" s="9"/>
      <c r="B188" s="11"/>
      <c r="C188" s="11"/>
      <c r="D188" s="9"/>
      <c r="E188" s="9"/>
      <c r="F188" s="9"/>
      <c r="G188" s="16" t="str">
        <f aca="false">IF(AND(ISNUMBER(E188),ISNUMBER(F188)),F188-E188,"")</f>
        <v/>
      </c>
      <c r="H188" s="9"/>
      <c r="I188" s="9"/>
      <c r="J188" s="9"/>
      <c r="K188" s="9"/>
    </row>
    <row r="189" customFormat="false" ht="15" hidden="false" customHeight="false" outlineLevel="0" collapsed="false">
      <c r="A189" s="9"/>
      <c r="B189" s="11"/>
      <c r="C189" s="11"/>
      <c r="D189" s="9"/>
      <c r="E189" s="9"/>
      <c r="F189" s="9"/>
      <c r="G189" s="16" t="str">
        <f aca="false">IF(AND(ISNUMBER(E189),ISNUMBER(F189)),F189-E189,"")</f>
        <v/>
      </c>
      <c r="H189" s="9"/>
      <c r="I189" s="9"/>
      <c r="J189" s="9"/>
      <c r="K189" s="9"/>
    </row>
    <row r="190" customFormat="false" ht="15" hidden="false" customHeight="false" outlineLevel="0" collapsed="false">
      <c r="A190" s="9"/>
      <c r="B190" s="11"/>
      <c r="C190" s="11"/>
      <c r="D190" s="9"/>
      <c r="E190" s="9"/>
      <c r="F190" s="9"/>
      <c r="G190" s="16" t="str">
        <f aca="false">IF(AND(ISNUMBER(E190),ISNUMBER(F190)),F190-E190,"")</f>
        <v/>
      </c>
      <c r="H190" s="9"/>
      <c r="I190" s="9"/>
      <c r="J190" s="9"/>
      <c r="K190" s="9"/>
    </row>
    <row r="191" customFormat="false" ht="15" hidden="false" customHeight="false" outlineLevel="0" collapsed="false">
      <c r="A191" s="9"/>
      <c r="B191" s="11"/>
      <c r="C191" s="11"/>
      <c r="D191" s="9"/>
      <c r="E191" s="9"/>
      <c r="F191" s="9"/>
      <c r="G191" s="16" t="str">
        <f aca="false">IF(AND(ISNUMBER(E191),ISNUMBER(F191)),F191-E191,"")</f>
        <v/>
      </c>
      <c r="H191" s="9"/>
      <c r="I191" s="9"/>
      <c r="J191" s="9"/>
      <c r="K191" s="9"/>
    </row>
    <row r="192" customFormat="false" ht="15" hidden="false" customHeight="false" outlineLevel="0" collapsed="false">
      <c r="A192" s="9"/>
      <c r="B192" s="11"/>
      <c r="C192" s="11"/>
      <c r="D192" s="9"/>
      <c r="E192" s="9"/>
      <c r="F192" s="9"/>
      <c r="G192" s="16" t="str">
        <f aca="false">IF(AND(ISNUMBER(E192),ISNUMBER(F192)),F192-E192,"")</f>
        <v/>
      </c>
      <c r="H192" s="9"/>
      <c r="I192" s="9"/>
      <c r="J192" s="9"/>
      <c r="K192" s="9"/>
    </row>
    <row r="193" customFormat="false" ht="15" hidden="false" customHeight="false" outlineLevel="0" collapsed="false">
      <c r="A193" s="9"/>
      <c r="B193" s="11"/>
      <c r="C193" s="11"/>
      <c r="D193" s="9"/>
      <c r="E193" s="9"/>
      <c r="F193" s="9"/>
      <c r="G193" s="16" t="str">
        <f aca="false">IF(AND(ISNUMBER(E193),ISNUMBER(F193)),F193-E193,"")</f>
        <v/>
      </c>
      <c r="H193" s="9"/>
      <c r="I193" s="9"/>
      <c r="J193" s="9"/>
      <c r="K193" s="9"/>
    </row>
    <row r="194" customFormat="false" ht="15" hidden="false" customHeight="false" outlineLevel="0" collapsed="false">
      <c r="A194" s="9"/>
      <c r="B194" s="11"/>
      <c r="C194" s="11"/>
      <c r="D194" s="9"/>
      <c r="E194" s="9"/>
      <c r="F194" s="9"/>
      <c r="G194" s="16" t="str">
        <f aca="false">IF(AND(ISNUMBER(E194),ISNUMBER(F194)),F194-E194,"")</f>
        <v/>
      </c>
      <c r="H194" s="9"/>
      <c r="I194" s="9"/>
      <c r="J194" s="9"/>
      <c r="K194" s="9"/>
    </row>
    <row r="195" customFormat="false" ht="15" hidden="false" customHeight="false" outlineLevel="0" collapsed="false">
      <c r="A195" s="9"/>
      <c r="B195" s="11"/>
      <c r="C195" s="11"/>
      <c r="D195" s="9"/>
      <c r="E195" s="9"/>
      <c r="F195" s="9"/>
      <c r="G195" s="16" t="str">
        <f aca="false">IF(AND(ISNUMBER(E195),ISNUMBER(F195)),F195-E195,"")</f>
        <v/>
      </c>
      <c r="H195" s="9"/>
      <c r="I195" s="9"/>
      <c r="J195" s="9"/>
      <c r="K195" s="9"/>
    </row>
    <row r="196" customFormat="false" ht="15" hidden="false" customHeight="false" outlineLevel="0" collapsed="false">
      <c r="A196" s="9"/>
      <c r="B196" s="11"/>
      <c r="C196" s="11"/>
      <c r="D196" s="9"/>
      <c r="E196" s="9"/>
      <c r="F196" s="9"/>
      <c r="G196" s="16" t="str">
        <f aca="false">IF(AND(ISNUMBER(E196),ISNUMBER(F196)),F196-E196,"")</f>
        <v/>
      </c>
      <c r="H196" s="9"/>
      <c r="I196" s="9"/>
      <c r="J196" s="9"/>
      <c r="K196" s="9"/>
    </row>
    <row r="197" customFormat="false" ht="15" hidden="false" customHeight="false" outlineLevel="0" collapsed="false">
      <c r="A197" s="9"/>
      <c r="B197" s="11"/>
      <c r="C197" s="11"/>
      <c r="D197" s="9"/>
      <c r="E197" s="9"/>
      <c r="F197" s="9"/>
      <c r="G197" s="16" t="str">
        <f aca="false">IF(AND(ISNUMBER(E197),ISNUMBER(F197)),F197-E197,"")</f>
        <v/>
      </c>
      <c r="H197" s="9"/>
      <c r="I197" s="9"/>
      <c r="J197" s="9"/>
      <c r="K197" s="9"/>
    </row>
    <row r="198" customFormat="false" ht="15" hidden="false" customHeight="false" outlineLevel="0" collapsed="false">
      <c r="A198" s="9"/>
      <c r="B198" s="11"/>
      <c r="C198" s="11"/>
      <c r="D198" s="9"/>
      <c r="E198" s="9"/>
      <c r="F198" s="9"/>
      <c r="G198" s="16" t="str">
        <f aca="false">IF(AND(ISNUMBER(E198),ISNUMBER(F198)),F198-E198,"")</f>
        <v/>
      </c>
      <c r="H198" s="9"/>
      <c r="I198" s="9"/>
      <c r="J198" s="9"/>
      <c r="K198" s="9"/>
    </row>
    <row r="199" customFormat="false" ht="15" hidden="false" customHeight="false" outlineLevel="0" collapsed="false">
      <c r="A199" s="9"/>
      <c r="B199" s="11"/>
      <c r="C199" s="11"/>
      <c r="D199" s="9"/>
      <c r="E199" s="9"/>
      <c r="F199" s="9"/>
      <c r="G199" s="16" t="str">
        <f aca="false">IF(AND(ISNUMBER(E199),ISNUMBER(F199)),F199-E199,"")</f>
        <v/>
      </c>
      <c r="H199" s="9"/>
      <c r="I199" s="9"/>
      <c r="J199" s="9"/>
      <c r="K199" s="9"/>
    </row>
    <row r="200" customFormat="false" ht="15" hidden="false" customHeight="false" outlineLevel="0" collapsed="false">
      <c r="A200" s="9"/>
      <c r="B200" s="11"/>
      <c r="C200" s="11"/>
      <c r="D200" s="9"/>
      <c r="E200" s="9"/>
      <c r="F200" s="9"/>
      <c r="G200" s="16" t="str">
        <f aca="false">IF(AND(ISNUMBER(E200),ISNUMBER(F200)),F200-E200,"")</f>
        <v/>
      </c>
      <c r="H200" s="9"/>
      <c r="I200" s="9"/>
      <c r="J200" s="9"/>
      <c r="K200" s="9"/>
    </row>
    <row r="201" customFormat="false" ht="15" hidden="false" customHeight="false" outlineLevel="0" collapsed="false">
      <c r="A201" s="9"/>
      <c r="B201" s="11"/>
      <c r="C201" s="11"/>
      <c r="D201" s="9"/>
      <c r="E201" s="9"/>
      <c r="F201" s="9"/>
      <c r="G201" s="16" t="str">
        <f aca="false">IF(AND(ISNUMBER(E201),ISNUMBER(F201)),F201-E201,"")</f>
        <v/>
      </c>
      <c r="H201" s="9"/>
      <c r="I201" s="9"/>
      <c r="J201" s="9"/>
      <c r="K201" s="9"/>
    </row>
  </sheetData>
  <dataValidations count="2">
    <dataValidation allowBlank="true" error="Valor no permitido. Use la lista desplegable." errorStyle="stop" errorTitle="DCIP 2.3" operator="between" showDropDown="false" showErrorMessage="false" showInputMessage="false" sqref="H2:H201" type="list">
      <formula1>16_LISTAS!$A$13:$A$14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I2:I201" type="list">
      <formula1>16_LISTAS!$Q$4:$Q$8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M2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6"/>
    <col collapsed="false" customWidth="true" hidden="false" outlineLevel="0" max="11" min="9" style="0" width="10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23.85" hidden="false" customHeight="false" outlineLevel="0" collapsed="false">
      <c r="A1" s="7" t="s">
        <v>40</v>
      </c>
      <c r="B1" s="7" t="s">
        <v>42</v>
      </c>
      <c r="C1" s="7" t="s">
        <v>46</v>
      </c>
      <c r="D1" s="7" t="s">
        <v>824</v>
      </c>
      <c r="E1" s="7" t="s">
        <v>632</v>
      </c>
      <c r="F1" s="7" t="s">
        <v>85</v>
      </c>
      <c r="G1" s="7" t="s">
        <v>86</v>
      </c>
      <c r="H1" s="7" t="s">
        <v>87</v>
      </c>
      <c r="I1" s="7" t="s">
        <v>544</v>
      </c>
      <c r="J1" s="7" t="s">
        <v>549</v>
      </c>
      <c r="K1" s="7" t="s">
        <v>556</v>
      </c>
      <c r="L1" s="7" t="s">
        <v>551</v>
      </c>
      <c r="M1" s="7" t="s">
        <v>561</v>
      </c>
    </row>
    <row r="2" customFormat="false" ht="15" hidden="false" customHeight="false" outlineLevel="0" collapsed="false">
      <c r="A2" s="9"/>
      <c r="B2" s="9"/>
      <c r="C2" s="11"/>
      <c r="D2" s="9"/>
      <c r="E2" s="9"/>
      <c r="F2" s="22" t="str">
        <f aca="false">IF(E2="","",IFERROR(INDEX(02_INDICADORES!$B$2:$B$42,MATCH(E2,02_INDICADORES!$A$2:$A$42,0)),"ID?"))</f>
        <v/>
      </c>
      <c r="G2" s="21" t="str">
        <f aca="false">IF(E2="","",IFERROR(INDEX(02_INDICADORES!$C$2:$C$42,MATCH(E2,02_INDICADORES!$A$2:$A$42,0)),"ID?"))</f>
        <v/>
      </c>
      <c r="H2" s="22" t="str">
        <f aca="false">IF(E2="","",IFERROR(INDEX(02_INDICADORES!$D$2:$D$42,MATCH(E2,02_INDICADORES!$A$2:$A$42,0)),""))</f>
        <v/>
      </c>
      <c r="I2" s="9"/>
      <c r="J2" s="16" t="str">
        <f aca="false">IF(OR(I2="",H2=""),"",I2*H2)</f>
        <v/>
      </c>
      <c r="K2" s="9"/>
      <c r="L2" s="9"/>
      <c r="M2" s="9"/>
    </row>
    <row r="3" customFormat="false" ht="15" hidden="false" customHeight="false" outlineLevel="0" collapsed="false">
      <c r="A3" s="9"/>
      <c r="B3" s="9"/>
      <c r="C3" s="11"/>
      <c r="D3" s="9"/>
      <c r="E3" s="9"/>
      <c r="F3" s="22" t="str">
        <f aca="false">IF(E3="","",IFERROR(INDEX(02_INDICADORES!$B$2:$B$42,MATCH(E3,02_INDICADORES!$A$2:$A$42,0)),"ID?"))</f>
        <v/>
      </c>
      <c r="G3" s="21" t="str">
        <f aca="false">IF(E3="","",IFERROR(INDEX(02_INDICADORES!$C$2:$C$42,MATCH(E3,02_INDICADORES!$A$2:$A$42,0)),"ID?"))</f>
        <v/>
      </c>
      <c r="H3" s="22" t="str">
        <f aca="false">IF(E3="","",IFERROR(INDEX(02_INDICADORES!$D$2:$D$42,MATCH(E3,02_INDICADORES!$A$2:$A$42,0)),""))</f>
        <v/>
      </c>
      <c r="I3" s="9"/>
      <c r="J3" s="16" t="str">
        <f aca="false">IF(OR(I3="",H3=""),"",I3*H3)</f>
        <v/>
      </c>
      <c r="K3" s="9"/>
      <c r="L3" s="9"/>
      <c r="M3" s="9"/>
    </row>
    <row r="4" customFormat="false" ht="15" hidden="false" customHeight="false" outlineLevel="0" collapsed="false">
      <c r="A4" s="9"/>
      <c r="B4" s="9"/>
      <c r="C4" s="11"/>
      <c r="D4" s="9"/>
      <c r="E4" s="9"/>
      <c r="F4" s="22" t="str">
        <f aca="false">IF(E4="","",IFERROR(INDEX(02_INDICADORES!$B$2:$B$42,MATCH(E4,02_INDICADORES!$A$2:$A$42,0)),"ID?"))</f>
        <v/>
      </c>
      <c r="G4" s="21" t="str">
        <f aca="false">IF(E4="","",IFERROR(INDEX(02_INDICADORES!$C$2:$C$42,MATCH(E4,02_INDICADORES!$A$2:$A$42,0)),"ID?"))</f>
        <v/>
      </c>
      <c r="H4" s="22" t="str">
        <f aca="false">IF(E4="","",IFERROR(INDEX(02_INDICADORES!$D$2:$D$42,MATCH(E4,02_INDICADORES!$A$2:$A$42,0)),""))</f>
        <v/>
      </c>
      <c r="I4" s="9"/>
      <c r="J4" s="16" t="str">
        <f aca="false">IF(OR(I4="",H4=""),"",I4*H4)</f>
        <v/>
      </c>
      <c r="K4" s="9"/>
      <c r="L4" s="9"/>
      <c r="M4" s="9"/>
    </row>
    <row r="5" customFormat="false" ht="15" hidden="false" customHeight="false" outlineLevel="0" collapsed="false">
      <c r="A5" s="9"/>
      <c r="B5" s="9"/>
      <c r="C5" s="11"/>
      <c r="D5" s="9"/>
      <c r="E5" s="9"/>
      <c r="F5" s="22" t="str">
        <f aca="false">IF(E5="","",IFERROR(INDEX(02_INDICADORES!$B$2:$B$42,MATCH(E5,02_INDICADORES!$A$2:$A$42,0)),"ID?"))</f>
        <v/>
      </c>
      <c r="G5" s="21" t="str">
        <f aca="false">IF(E5="","",IFERROR(INDEX(02_INDICADORES!$C$2:$C$42,MATCH(E5,02_INDICADORES!$A$2:$A$42,0)),"ID?"))</f>
        <v/>
      </c>
      <c r="H5" s="22" t="str">
        <f aca="false">IF(E5="","",IFERROR(INDEX(02_INDICADORES!$D$2:$D$42,MATCH(E5,02_INDICADORES!$A$2:$A$42,0)),""))</f>
        <v/>
      </c>
      <c r="I5" s="9"/>
      <c r="J5" s="16" t="str">
        <f aca="false">IF(OR(I5="",H5=""),"",I5*H5)</f>
        <v/>
      </c>
      <c r="K5" s="9"/>
      <c r="L5" s="9"/>
      <c r="M5" s="9"/>
    </row>
    <row r="6" customFormat="false" ht="15" hidden="false" customHeight="false" outlineLevel="0" collapsed="false">
      <c r="A6" s="9"/>
      <c r="B6" s="9"/>
      <c r="C6" s="11"/>
      <c r="D6" s="9"/>
      <c r="E6" s="9"/>
      <c r="F6" s="22" t="str">
        <f aca="false">IF(E6="","",IFERROR(INDEX(02_INDICADORES!$B$2:$B$42,MATCH(E6,02_INDICADORES!$A$2:$A$42,0)),"ID?"))</f>
        <v/>
      </c>
      <c r="G6" s="21" t="str">
        <f aca="false">IF(E6="","",IFERROR(INDEX(02_INDICADORES!$C$2:$C$42,MATCH(E6,02_INDICADORES!$A$2:$A$42,0)),"ID?"))</f>
        <v/>
      </c>
      <c r="H6" s="22" t="str">
        <f aca="false">IF(E6="","",IFERROR(INDEX(02_INDICADORES!$D$2:$D$42,MATCH(E6,02_INDICADORES!$A$2:$A$42,0)),""))</f>
        <v/>
      </c>
      <c r="I6" s="9"/>
      <c r="J6" s="16" t="str">
        <f aca="false">IF(OR(I6="",H6=""),"",I6*H6)</f>
        <v/>
      </c>
      <c r="K6" s="9"/>
      <c r="L6" s="9"/>
      <c r="M6" s="9"/>
    </row>
    <row r="7" customFormat="false" ht="15" hidden="false" customHeight="false" outlineLevel="0" collapsed="false">
      <c r="A7" s="9"/>
      <c r="B7" s="9"/>
      <c r="C7" s="11"/>
      <c r="D7" s="9"/>
      <c r="E7" s="9"/>
      <c r="F7" s="22" t="str">
        <f aca="false">IF(E7="","",IFERROR(INDEX(02_INDICADORES!$B$2:$B$42,MATCH(E7,02_INDICADORES!$A$2:$A$42,0)),"ID?"))</f>
        <v/>
      </c>
      <c r="G7" s="21" t="str">
        <f aca="false">IF(E7="","",IFERROR(INDEX(02_INDICADORES!$C$2:$C$42,MATCH(E7,02_INDICADORES!$A$2:$A$42,0)),"ID?"))</f>
        <v/>
      </c>
      <c r="H7" s="22" t="str">
        <f aca="false">IF(E7="","",IFERROR(INDEX(02_INDICADORES!$D$2:$D$42,MATCH(E7,02_INDICADORES!$A$2:$A$42,0)),""))</f>
        <v/>
      </c>
      <c r="I7" s="9"/>
      <c r="J7" s="16" t="str">
        <f aca="false">IF(OR(I7="",H7=""),"",I7*H7)</f>
        <v/>
      </c>
      <c r="K7" s="9"/>
      <c r="L7" s="9"/>
      <c r="M7" s="9"/>
    </row>
    <row r="8" customFormat="false" ht="15" hidden="false" customHeight="false" outlineLevel="0" collapsed="false">
      <c r="A8" s="9"/>
      <c r="B8" s="9"/>
      <c r="C8" s="11"/>
      <c r="D8" s="9"/>
      <c r="E8" s="9"/>
      <c r="F8" s="22" t="str">
        <f aca="false">IF(E8="","",IFERROR(INDEX(02_INDICADORES!$B$2:$B$42,MATCH(E8,02_INDICADORES!$A$2:$A$42,0)),"ID?"))</f>
        <v/>
      </c>
      <c r="G8" s="21" t="str">
        <f aca="false">IF(E8="","",IFERROR(INDEX(02_INDICADORES!$C$2:$C$42,MATCH(E8,02_INDICADORES!$A$2:$A$42,0)),"ID?"))</f>
        <v/>
      </c>
      <c r="H8" s="22" t="str">
        <f aca="false">IF(E8="","",IFERROR(INDEX(02_INDICADORES!$D$2:$D$42,MATCH(E8,02_INDICADORES!$A$2:$A$42,0)),""))</f>
        <v/>
      </c>
      <c r="I8" s="9"/>
      <c r="J8" s="16" t="str">
        <f aca="false">IF(OR(I8="",H8=""),"",I8*H8)</f>
        <v/>
      </c>
      <c r="K8" s="9"/>
      <c r="L8" s="9"/>
      <c r="M8" s="9"/>
    </row>
    <row r="9" customFormat="false" ht="15" hidden="false" customHeight="false" outlineLevel="0" collapsed="false">
      <c r="A9" s="9"/>
      <c r="B9" s="9"/>
      <c r="C9" s="11"/>
      <c r="D9" s="9"/>
      <c r="E9" s="9"/>
      <c r="F9" s="22" t="str">
        <f aca="false">IF(E9="","",IFERROR(INDEX(02_INDICADORES!$B$2:$B$42,MATCH(E9,02_INDICADORES!$A$2:$A$42,0)),"ID?"))</f>
        <v/>
      </c>
      <c r="G9" s="21" t="str">
        <f aca="false">IF(E9="","",IFERROR(INDEX(02_INDICADORES!$C$2:$C$42,MATCH(E9,02_INDICADORES!$A$2:$A$42,0)),"ID?"))</f>
        <v/>
      </c>
      <c r="H9" s="22" t="str">
        <f aca="false">IF(E9="","",IFERROR(INDEX(02_INDICADORES!$D$2:$D$42,MATCH(E9,02_INDICADORES!$A$2:$A$42,0)),""))</f>
        <v/>
      </c>
      <c r="I9" s="9"/>
      <c r="J9" s="16" t="str">
        <f aca="false">IF(OR(I9="",H9=""),"",I9*H9)</f>
        <v/>
      </c>
      <c r="K9" s="9"/>
      <c r="L9" s="9"/>
      <c r="M9" s="9"/>
    </row>
    <row r="10" customFormat="false" ht="15" hidden="false" customHeight="false" outlineLevel="0" collapsed="false">
      <c r="A10" s="9"/>
      <c r="B10" s="9"/>
      <c r="C10" s="11"/>
      <c r="D10" s="9"/>
      <c r="E10" s="9"/>
      <c r="F10" s="22" t="str">
        <f aca="false">IF(E10="","",IFERROR(INDEX(02_INDICADORES!$B$2:$B$42,MATCH(E10,02_INDICADORES!$A$2:$A$42,0)),"ID?"))</f>
        <v/>
      </c>
      <c r="G10" s="21" t="str">
        <f aca="false">IF(E10="","",IFERROR(INDEX(02_INDICADORES!$C$2:$C$42,MATCH(E10,02_INDICADORES!$A$2:$A$42,0)),"ID?"))</f>
        <v/>
      </c>
      <c r="H10" s="22" t="str">
        <f aca="false">IF(E10="","",IFERROR(INDEX(02_INDICADORES!$D$2:$D$42,MATCH(E10,02_INDICADORES!$A$2:$A$42,0)),""))</f>
        <v/>
      </c>
      <c r="I10" s="9"/>
      <c r="J10" s="16" t="str">
        <f aca="false">IF(OR(I10="",H10=""),"",I10*H10)</f>
        <v/>
      </c>
      <c r="K10" s="9"/>
      <c r="L10" s="9"/>
      <c r="M10" s="9"/>
    </row>
    <row r="11" customFormat="false" ht="15" hidden="false" customHeight="false" outlineLevel="0" collapsed="false">
      <c r="A11" s="9"/>
      <c r="B11" s="9"/>
      <c r="C11" s="11"/>
      <c r="D11" s="9"/>
      <c r="E11" s="9"/>
      <c r="F11" s="22" t="str">
        <f aca="false">IF(E11="","",IFERROR(INDEX(02_INDICADORES!$B$2:$B$42,MATCH(E11,02_INDICADORES!$A$2:$A$42,0)),"ID?"))</f>
        <v/>
      </c>
      <c r="G11" s="21" t="str">
        <f aca="false">IF(E11="","",IFERROR(INDEX(02_INDICADORES!$C$2:$C$42,MATCH(E11,02_INDICADORES!$A$2:$A$42,0)),"ID?"))</f>
        <v/>
      </c>
      <c r="H11" s="22" t="str">
        <f aca="false">IF(E11="","",IFERROR(INDEX(02_INDICADORES!$D$2:$D$42,MATCH(E11,02_INDICADORES!$A$2:$A$42,0)),""))</f>
        <v/>
      </c>
      <c r="I11" s="9"/>
      <c r="J11" s="16" t="str">
        <f aca="false">IF(OR(I11="",H11=""),"",I11*H11)</f>
        <v/>
      </c>
      <c r="K11" s="9"/>
      <c r="L11" s="9"/>
      <c r="M11" s="9"/>
    </row>
    <row r="12" customFormat="false" ht="15" hidden="false" customHeight="false" outlineLevel="0" collapsed="false">
      <c r="A12" s="9"/>
      <c r="B12" s="9"/>
      <c r="C12" s="11"/>
      <c r="D12" s="9"/>
      <c r="E12" s="9"/>
      <c r="F12" s="22" t="str">
        <f aca="false">IF(E12="","",IFERROR(INDEX(02_INDICADORES!$B$2:$B$42,MATCH(E12,02_INDICADORES!$A$2:$A$42,0)),"ID?"))</f>
        <v/>
      </c>
      <c r="G12" s="21" t="str">
        <f aca="false">IF(E12="","",IFERROR(INDEX(02_INDICADORES!$C$2:$C$42,MATCH(E12,02_INDICADORES!$A$2:$A$42,0)),"ID?"))</f>
        <v/>
      </c>
      <c r="H12" s="22" t="str">
        <f aca="false">IF(E12="","",IFERROR(INDEX(02_INDICADORES!$D$2:$D$42,MATCH(E12,02_INDICADORES!$A$2:$A$42,0)),""))</f>
        <v/>
      </c>
      <c r="I12" s="9"/>
      <c r="J12" s="16" t="str">
        <f aca="false">IF(OR(I12="",H12=""),"",I12*H12)</f>
        <v/>
      </c>
      <c r="K12" s="9"/>
      <c r="L12" s="9"/>
      <c r="M12" s="9"/>
    </row>
    <row r="13" customFormat="false" ht="15" hidden="false" customHeight="false" outlineLevel="0" collapsed="false">
      <c r="A13" s="9"/>
      <c r="B13" s="9"/>
      <c r="C13" s="11"/>
      <c r="D13" s="9"/>
      <c r="E13" s="9"/>
      <c r="F13" s="22" t="str">
        <f aca="false">IF(E13="","",IFERROR(INDEX(02_INDICADORES!$B$2:$B$42,MATCH(E13,02_INDICADORES!$A$2:$A$42,0)),"ID?"))</f>
        <v/>
      </c>
      <c r="G13" s="21" t="str">
        <f aca="false">IF(E13="","",IFERROR(INDEX(02_INDICADORES!$C$2:$C$42,MATCH(E13,02_INDICADORES!$A$2:$A$42,0)),"ID?"))</f>
        <v/>
      </c>
      <c r="H13" s="22" t="str">
        <f aca="false">IF(E13="","",IFERROR(INDEX(02_INDICADORES!$D$2:$D$42,MATCH(E13,02_INDICADORES!$A$2:$A$42,0)),""))</f>
        <v/>
      </c>
      <c r="I13" s="9"/>
      <c r="J13" s="16" t="str">
        <f aca="false">IF(OR(I13="",H13=""),"",I13*H13)</f>
        <v/>
      </c>
      <c r="K13" s="9"/>
      <c r="L13" s="9"/>
      <c r="M13" s="9"/>
    </row>
    <row r="14" customFormat="false" ht="15" hidden="false" customHeight="false" outlineLevel="0" collapsed="false">
      <c r="A14" s="9"/>
      <c r="B14" s="9"/>
      <c r="C14" s="11"/>
      <c r="D14" s="9"/>
      <c r="E14" s="9"/>
      <c r="F14" s="22" t="str">
        <f aca="false">IF(E14="","",IFERROR(INDEX(02_INDICADORES!$B$2:$B$42,MATCH(E14,02_INDICADORES!$A$2:$A$42,0)),"ID?"))</f>
        <v/>
      </c>
      <c r="G14" s="21" t="str">
        <f aca="false">IF(E14="","",IFERROR(INDEX(02_INDICADORES!$C$2:$C$42,MATCH(E14,02_INDICADORES!$A$2:$A$42,0)),"ID?"))</f>
        <v/>
      </c>
      <c r="H14" s="22" t="str">
        <f aca="false">IF(E14="","",IFERROR(INDEX(02_INDICADORES!$D$2:$D$42,MATCH(E14,02_INDICADORES!$A$2:$A$42,0)),""))</f>
        <v/>
      </c>
      <c r="I14" s="9"/>
      <c r="J14" s="16" t="str">
        <f aca="false">IF(OR(I14="",H14=""),"",I14*H14)</f>
        <v/>
      </c>
      <c r="K14" s="9"/>
      <c r="L14" s="9"/>
      <c r="M14" s="9"/>
    </row>
    <row r="15" customFormat="false" ht="15" hidden="false" customHeight="false" outlineLevel="0" collapsed="false">
      <c r="A15" s="9"/>
      <c r="B15" s="9"/>
      <c r="C15" s="11"/>
      <c r="D15" s="9"/>
      <c r="E15" s="9"/>
      <c r="F15" s="22" t="str">
        <f aca="false">IF(E15="","",IFERROR(INDEX(02_INDICADORES!$B$2:$B$42,MATCH(E15,02_INDICADORES!$A$2:$A$42,0)),"ID?"))</f>
        <v/>
      </c>
      <c r="G15" s="21" t="str">
        <f aca="false">IF(E15="","",IFERROR(INDEX(02_INDICADORES!$C$2:$C$42,MATCH(E15,02_INDICADORES!$A$2:$A$42,0)),"ID?"))</f>
        <v/>
      </c>
      <c r="H15" s="22" t="str">
        <f aca="false">IF(E15="","",IFERROR(INDEX(02_INDICADORES!$D$2:$D$42,MATCH(E15,02_INDICADORES!$A$2:$A$42,0)),""))</f>
        <v/>
      </c>
      <c r="I15" s="9"/>
      <c r="J15" s="16" t="str">
        <f aca="false">IF(OR(I15="",H15=""),"",I15*H15)</f>
        <v/>
      </c>
      <c r="K15" s="9"/>
      <c r="L15" s="9"/>
      <c r="M15" s="9"/>
    </row>
    <row r="16" customFormat="false" ht="15" hidden="false" customHeight="false" outlineLevel="0" collapsed="false">
      <c r="A16" s="9"/>
      <c r="B16" s="9"/>
      <c r="C16" s="11"/>
      <c r="D16" s="9"/>
      <c r="E16" s="9"/>
      <c r="F16" s="22" t="str">
        <f aca="false">IF(E16="","",IFERROR(INDEX(02_INDICADORES!$B$2:$B$42,MATCH(E16,02_INDICADORES!$A$2:$A$42,0)),"ID?"))</f>
        <v/>
      </c>
      <c r="G16" s="21" t="str">
        <f aca="false">IF(E16="","",IFERROR(INDEX(02_INDICADORES!$C$2:$C$42,MATCH(E16,02_INDICADORES!$A$2:$A$42,0)),"ID?"))</f>
        <v/>
      </c>
      <c r="H16" s="22" t="str">
        <f aca="false">IF(E16="","",IFERROR(INDEX(02_INDICADORES!$D$2:$D$42,MATCH(E16,02_INDICADORES!$A$2:$A$42,0)),""))</f>
        <v/>
      </c>
      <c r="I16" s="9"/>
      <c r="J16" s="16" t="str">
        <f aca="false">IF(OR(I16="",H16=""),"",I16*H16)</f>
        <v/>
      </c>
      <c r="K16" s="9"/>
      <c r="L16" s="9"/>
      <c r="M16" s="9"/>
    </row>
    <row r="17" customFormat="false" ht="15" hidden="false" customHeight="false" outlineLevel="0" collapsed="false">
      <c r="A17" s="9"/>
      <c r="B17" s="9"/>
      <c r="C17" s="11"/>
      <c r="D17" s="9"/>
      <c r="E17" s="9"/>
      <c r="F17" s="22" t="str">
        <f aca="false">IF(E17="","",IFERROR(INDEX(02_INDICADORES!$B$2:$B$42,MATCH(E17,02_INDICADORES!$A$2:$A$42,0)),"ID?"))</f>
        <v/>
      </c>
      <c r="G17" s="21" t="str">
        <f aca="false">IF(E17="","",IFERROR(INDEX(02_INDICADORES!$C$2:$C$42,MATCH(E17,02_INDICADORES!$A$2:$A$42,0)),"ID?"))</f>
        <v/>
      </c>
      <c r="H17" s="22" t="str">
        <f aca="false">IF(E17="","",IFERROR(INDEX(02_INDICADORES!$D$2:$D$42,MATCH(E17,02_INDICADORES!$A$2:$A$42,0)),""))</f>
        <v/>
      </c>
      <c r="I17" s="9"/>
      <c r="J17" s="16" t="str">
        <f aca="false">IF(OR(I17="",H17=""),"",I17*H17)</f>
        <v/>
      </c>
      <c r="K17" s="9"/>
      <c r="L17" s="9"/>
      <c r="M17" s="9"/>
    </row>
    <row r="18" customFormat="false" ht="15" hidden="false" customHeight="false" outlineLevel="0" collapsed="false">
      <c r="A18" s="9"/>
      <c r="B18" s="9"/>
      <c r="C18" s="11"/>
      <c r="D18" s="9"/>
      <c r="E18" s="9"/>
      <c r="F18" s="22" t="str">
        <f aca="false">IF(E18="","",IFERROR(INDEX(02_INDICADORES!$B$2:$B$42,MATCH(E18,02_INDICADORES!$A$2:$A$42,0)),"ID?"))</f>
        <v/>
      </c>
      <c r="G18" s="21" t="str">
        <f aca="false">IF(E18="","",IFERROR(INDEX(02_INDICADORES!$C$2:$C$42,MATCH(E18,02_INDICADORES!$A$2:$A$42,0)),"ID?"))</f>
        <v/>
      </c>
      <c r="H18" s="22" t="str">
        <f aca="false">IF(E18="","",IFERROR(INDEX(02_INDICADORES!$D$2:$D$42,MATCH(E18,02_INDICADORES!$A$2:$A$42,0)),""))</f>
        <v/>
      </c>
      <c r="I18" s="9"/>
      <c r="J18" s="16" t="str">
        <f aca="false">IF(OR(I18="",H18=""),"",I18*H18)</f>
        <v/>
      </c>
      <c r="K18" s="9"/>
      <c r="L18" s="9"/>
      <c r="M18" s="9"/>
    </row>
    <row r="19" customFormat="false" ht="15" hidden="false" customHeight="false" outlineLevel="0" collapsed="false">
      <c r="A19" s="9"/>
      <c r="B19" s="9"/>
      <c r="C19" s="11"/>
      <c r="D19" s="9"/>
      <c r="E19" s="9"/>
      <c r="F19" s="22" t="str">
        <f aca="false">IF(E19="","",IFERROR(INDEX(02_INDICADORES!$B$2:$B$42,MATCH(E19,02_INDICADORES!$A$2:$A$42,0)),"ID?"))</f>
        <v/>
      </c>
      <c r="G19" s="21" t="str">
        <f aca="false">IF(E19="","",IFERROR(INDEX(02_INDICADORES!$C$2:$C$42,MATCH(E19,02_INDICADORES!$A$2:$A$42,0)),"ID?"))</f>
        <v/>
      </c>
      <c r="H19" s="22" t="str">
        <f aca="false">IF(E19="","",IFERROR(INDEX(02_INDICADORES!$D$2:$D$42,MATCH(E19,02_INDICADORES!$A$2:$A$42,0)),""))</f>
        <v/>
      </c>
      <c r="I19" s="9"/>
      <c r="J19" s="16" t="str">
        <f aca="false">IF(OR(I19="",H19=""),"",I19*H19)</f>
        <v/>
      </c>
      <c r="K19" s="9"/>
      <c r="L19" s="9"/>
      <c r="M19" s="9"/>
    </row>
    <row r="20" customFormat="false" ht="15" hidden="false" customHeight="false" outlineLevel="0" collapsed="false">
      <c r="A20" s="9"/>
      <c r="B20" s="9"/>
      <c r="C20" s="11"/>
      <c r="D20" s="9"/>
      <c r="E20" s="9"/>
      <c r="F20" s="22" t="str">
        <f aca="false">IF(E20="","",IFERROR(INDEX(02_INDICADORES!$B$2:$B$42,MATCH(E20,02_INDICADORES!$A$2:$A$42,0)),"ID?"))</f>
        <v/>
      </c>
      <c r="G20" s="21" t="str">
        <f aca="false">IF(E20="","",IFERROR(INDEX(02_INDICADORES!$C$2:$C$42,MATCH(E20,02_INDICADORES!$A$2:$A$42,0)),"ID?"))</f>
        <v/>
      </c>
      <c r="H20" s="22" t="str">
        <f aca="false">IF(E20="","",IFERROR(INDEX(02_INDICADORES!$D$2:$D$42,MATCH(E20,02_INDICADORES!$A$2:$A$42,0)),""))</f>
        <v/>
      </c>
      <c r="I20" s="9"/>
      <c r="J20" s="16" t="str">
        <f aca="false">IF(OR(I20="",H20=""),"",I20*H20)</f>
        <v/>
      </c>
      <c r="K20" s="9"/>
      <c r="L20" s="9"/>
      <c r="M20" s="9"/>
    </row>
    <row r="21" customFormat="false" ht="15" hidden="false" customHeight="false" outlineLevel="0" collapsed="false">
      <c r="A21" s="9"/>
      <c r="B21" s="9"/>
      <c r="C21" s="11"/>
      <c r="D21" s="9"/>
      <c r="E21" s="9"/>
      <c r="F21" s="22" t="str">
        <f aca="false">IF(E21="","",IFERROR(INDEX(02_INDICADORES!$B$2:$B$42,MATCH(E21,02_INDICADORES!$A$2:$A$42,0)),"ID?"))</f>
        <v/>
      </c>
      <c r="G21" s="21" t="str">
        <f aca="false">IF(E21="","",IFERROR(INDEX(02_INDICADORES!$C$2:$C$42,MATCH(E21,02_INDICADORES!$A$2:$A$42,0)),"ID?"))</f>
        <v/>
      </c>
      <c r="H21" s="22" t="str">
        <f aca="false">IF(E21="","",IFERROR(INDEX(02_INDICADORES!$D$2:$D$42,MATCH(E21,02_INDICADORES!$A$2:$A$42,0)),""))</f>
        <v/>
      </c>
      <c r="I21" s="9"/>
      <c r="J21" s="16" t="str">
        <f aca="false">IF(OR(I21="",H21=""),"",I21*H21)</f>
        <v/>
      </c>
      <c r="K21" s="9"/>
      <c r="L21" s="9"/>
      <c r="M21" s="9"/>
    </row>
    <row r="22" customFormat="false" ht="15" hidden="false" customHeight="false" outlineLevel="0" collapsed="false">
      <c r="A22" s="9"/>
      <c r="B22" s="9"/>
      <c r="C22" s="11"/>
      <c r="D22" s="9"/>
      <c r="E22" s="9"/>
      <c r="F22" s="22" t="str">
        <f aca="false">IF(E22="","",IFERROR(INDEX(02_INDICADORES!$B$2:$B$42,MATCH(E22,02_INDICADORES!$A$2:$A$42,0)),"ID?"))</f>
        <v/>
      </c>
      <c r="G22" s="21" t="str">
        <f aca="false">IF(E22="","",IFERROR(INDEX(02_INDICADORES!$C$2:$C$42,MATCH(E22,02_INDICADORES!$A$2:$A$42,0)),"ID?"))</f>
        <v/>
      </c>
      <c r="H22" s="22" t="str">
        <f aca="false">IF(E22="","",IFERROR(INDEX(02_INDICADORES!$D$2:$D$42,MATCH(E22,02_INDICADORES!$A$2:$A$42,0)),""))</f>
        <v/>
      </c>
      <c r="I22" s="9"/>
      <c r="J22" s="16" t="str">
        <f aca="false">IF(OR(I22="",H22=""),"",I22*H22)</f>
        <v/>
      </c>
      <c r="K22" s="9"/>
      <c r="L22" s="9"/>
      <c r="M22" s="9"/>
    </row>
    <row r="23" customFormat="false" ht="15" hidden="false" customHeight="false" outlineLevel="0" collapsed="false">
      <c r="A23" s="9"/>
      <c r="B23" s="9"/>
      <c r="C23" s="11"/>
      <c r="D23" s="9"/>
      <c r="E23" s="9"/>
      <c r="F23" s="22" t="str">
        <f aca="false">IF(E23="","",IFERROR(INDEX(02_INDICADORES!$B$2:$B$42,MATCH(E23,02_INDICADORES!$A$2:$A$42,0)),"ID?"))</f>
        <v/>
      </c>
      <c r="G23" s="21" t="str">
        <f aca="false">IF(E23="","",IFERROR(INDEX(02_INDICADORES!$C$2:$C$42,MATCH(E23,02_INDICADORES!$A$2:$A$42,0)),"ID?"))</f>
        <v/>
      </c>
      <c r="H23" s="22" t="str">
        <f aca="false">IF(E23="","",IFERROR(INDEX(02_INDICADORES!$D$2:$D$42,MATCH(E23,02_INDICADORES!$A$2:$A$42,0)),""))</f>
        <v/>
      </c>
      <c r="I23" s="9"/>
      <c r="J23" s="16" t="str">
        <f aca="false">IF(OR(I23="",H23=""),"",I23*H23)</f>
        <v/>
      </c>
      <c r="K23" s="9"/>
      <c r="L23" s="9"/>
      <c r="M23" s="9"/>
    </row>
    <row r="24" customFormat="false" ht="15" hidden="false" customHeight="false" outlineLevel="0" collapsed="false">
      <c r="A24" s="9"/>
      <c r="B24" s="9"/>
      <c r="C24" s="11"/>
      <c r="D24" s="9"/>
      <c r="E24" s="9"/>
      <c r="F24" s="22" t="str">
        <f aca="false">IF(E24="","",IFERROR(INDEX(02_INDICADORES!$B$2:$B$42,MATCH(E24,02_INDICADORES!$A$2:$A$42,0)),"ID?"))</f>
        <v/>
      </c>
      <c r="G24" s="21" t="str">
        <f aca="false">IF(E24="","",IFERROR(INDEX(02_INDICADORES!$C$2:$C$42,MATCH(E24,02_INDICADORES!$A$2:$A$42,0)),"ID?"))</f>
        <v/>
      </c>
      <c r="H24" s="22" t="str">
        <f aca="false">IF(E24="","",IFERROR(INDEX(02_INDICADORES!$D$2:$D$42,MATCH(E24,02_INDICADORES!$A$2:$A$42,0)),""))</f>
        <v/>
      </c>
      <c r="I24" s="9"/>
      <c r="J24" s="16" t="str">
        <f aca="false">IF(OR(I24="",H24=""),"",I24*H24)</f>
        <v/>
      </c>
      <c r="K24" s="9"/>
      <c r="L24" s="9"/>
      <c r="M24" s="9"/>
    </row>
    <row r="25" customFormat="false" ht="15" hidden="false" customHeight="false" outlineLevel="0" collapsed="false">
      <c r="A25" s="9"/>
      <c r="B25" s="9"/>
      <c r="C25" s="11"/>
      <c r="D25" s="9"/>
      <c r="E25" s="9"/>
      <c r="F25" s="22" t="str">
        <f aca="false">IF(E25="","",IFERROR(INDEX(02_INDICADORES!$B$2:$B$42,MATCH(E25,02_INDICADORES!$A$2:$A$42,0)),"ID?"))</f>
        <v/>
      </c>
      <c r="G25" s="21" t="str">
        <f aca="false">IF(E25="","",IFERROR(INDEX(02_INDICADORES!$C$2:$C$42,MATCH(E25,02_INDICADORES!$A$2:$A$42,0)),"ID?"))</f>
        <v/>
      </c>
      <c r="H25" s="22" t="str">
        <f aca="false">IF(E25="","",IFERROR(INDEX(02_INDICADORES!$D$2:$D$42,MATCH(E25,02_INDICADORES!$A$2:$A$42,0)),""))</f>
        <v/>
      </c>
      <c r="I25" s="9"/>
      <c r="J25" s="16" t="str">
        <f aca="false">IF(OR(I25="",H25=""),"",I25*H25)</f>
        <v/>
      </c>
      <c r="K25" s="9"/>
      <c r="L25" s="9"/>
      <c r="M25" s="9"/>
    </row>
    <row r="26" customFormat="false" ht="15" hidden="false" customHeight="false" outlineLevel="0" collapsed="false">
      <c r="A26" s="9"/>
      <c r="B26" s="9"/>
      <c r="C26" s="11"/>
      <c r="D26" s="9"/>
      <c r="E26" s="9"/>
      <c r="F26" s="22" t="str">
        <f aca="false">IF(E26="","",IFERROR(INDEX(02_INDICADORES!$B$2:$B$42,MATCH(E26,02_INDICADORES!$A$2:$A$42,0)),"ID?"))</f>
        <v/>
      </c>
      <c r="G26" s="21" t="str">
        <f aca="false">IF(E26="","",IFERROR(INDEX(02_INDICADORES!$C$2:$C$42,MATCH(E26,02_INDICADORES!$A$2:$A$42,0)),"ID?"))</f>
        <v/>
      </c>
      <c r="H26" s="22" t="str">
        <f aca="false">IF(E26="","",IFERROR(INDEX(02_INDICADORES!$D$2:$D$42,MATCH(E26,02_INDICADORES!$A$2:$A$42,0)),""))</f>
        <v/>
      </c>
      <c r="I26" s="9"/>
      <c r="J26" s="16" t="str">
        <f aca="false">IF(OR(I26="",H26=""),"",I26*H26)</f>
        <v/>
      </c>
      <c r="K26" s="9"/>
      <c r="L26" s="9"/>
      <c r="M26" s="9"/>
    </row>
    <row r="27" customFormat="false" ht="15" hidden="false" customHeight="false" outlineLevel="0" collapsed="false">
      <c r="A27" s="9"/>
      <c r="B27" s="9"/>
      <c r="C27" s="11"/>
      <c r="D27" s="9"/>
      <c r="E27" s="9"/>
      <c r="F27" s="22" t="str">
        <f aca="false">IF(E27="","",IFERROR(INDEX(02_INDICADORES!$B$2:$B$42,MATCH(E27,02_INDICADORES!$A$2:$A$42,0)),"ID?"))</f>
        <v/>
      </c>
      <c r="G27" s="21" t="str">
        <f aca="false">IF(E27="","",IFERROR(INDEX(02_INDICADORES!$C$2:$C$42,MATCH(E27,02_INDICADORES!$A$2:$A$42,0)),"ID?"))</f>
        <v/>
      </c>
      <c r="H27" s="22" t="str">
        <f aca="false">IF(E27="","",IFERROR(INDEX(02_INDICADORES!$D$2:$D$42,MATCH(E27,02_INDICADORES!$A$2:$A$42,0)),""))</f>
        <v/>
      </c>
      <c r="I27" s="9"/>
      <c r="J27" s="16" t="str">
        <f aca="false">IF(OR(I27="",H27=""),"",I27*H27)</f>
        <v/>
      </c>
      <c r="K27" s="9"/>
      <c r="L27" s="9"/>
      <c r="M27" s="9"/>
    </row>
    <row r="28" customFormat="false" ht="15" hidden="false" customHeight="false" outlineLevel="0" collapsed="false">
      <c r="A28" s="9"/>
      <c r="B28" s="9"/>
      <c r="C28" s="11"/>
      <c r="D28" s="9"/>
      <c r="E28" s="9"/>
      <c r="F28" s="22" t="str">
        <f aca="false">IF(E28="","",IFERROR(INDEX(02_INDICADORES!$B$2:$B$42,MATCH(E28,02_INDICADORES!$A$2:$A$42,0)),"ID?"))</f>
        <v/>
      </c>
      <c r="G28" s="21" t="str">
        <f aca="false">IF(E28="","",IFERROR(INDEX(02_INDICADORES!$C$2:$C$42,MATCH(E28,02_INDICADORES!$A$2:$A$42,0)),"ID?"))</f>
        <v/>
      </c>
      <c r="H28" s="22" t="str">
        <f aca="false">IF(E28="","",IFERROR(INDEX(02_INDICADORES!$D$2:$D$42,MATCH(E28,02_INDICADORES!$A$2:$A$42,0)),""))</f>
        <v/>
      </c>
      <c r="I28" s="9"/>
      <c r="J28" s="16" t="str">
        <f aca="false">IF(OR(I28="",H28=""),"",I28*H28)</f>
        <v/>
      </c>
      <c r="K28" s="9"/>
      <c r="L28" s="9"/>
      <c r="M28" s="9"/>
    </row>
    <row r="29" customFormat="false" ht="15" hidden="false" customHeight="false" outlineLevel="0" collapsed="false">
      <c r="A29" s="9"/>
      <c r="B29" s="9"/>
      <c r="C29" s="11"/>
      <c r="D29" s="9"/>
      <c r="E29" s="9"/>
      <c r="F29" s="22" t="str">
        <f aca="false">IF(E29="","",IFERROR(INDEX(02_INDICADORES!$B$2:$B$42,MATCH(E29,02_INDICADORES!$A$2:$A$42,0)),"ID?"))</f>
        <v/>
      </c>
      <c r="G29" s="21" t="str">
        <f aca="false">IF(E29="","",IFERROR(INDEX(02_INDICADORES!$C$2:$C$42,MATCH(E29,02_INDICADORES!$A$2:$A$42,0)),"ID?"))</f>
        <v/>
      </c>
      <c r="H29" s="22" t="str">
        <f aca="false">IF(E29="","",IFERROR(INDEX(02_INDICADORES!$D$2:$D$42,MATCH(E29,02_INDICADORES!$A$2:$A$42,0)),""))</f>
        <v/>
      </c>
      <c r="I29" s="9"/>
      <c r="J29" s="16" t="str">
        <f aca="false">IF(OR(I29="",H29=""),"",I29*H29)</f>
        <v/>
      </c>
      <c r="K29" s="9"/>
      <c r="L29" s="9"/>
      <c r="M29" s="9"/>
    </row>
    <row r="30" customFormat="false" ht="15" hidden="false" customHeight="false" outlineLevel="0" collapsed="false">
      <c r="A30" s="9"/>
      <c r="B30" s="9"/>
      <c r="C30" s="11"/>
      <c r="D30" s="9"/>
      <c r="E30" s="9"/>
      <c r="F30" s="22" t="str">
        <f aca="false">IF(E30="","",IFERROR(INDEX(02_INDICADORES!$B$2:$B$42,MATCH(E30,02_INDICADORES!$A$2:$A$42,0)),"ID?"))</f>
        <v/>
      </c>
      <c r="G30" s="21" t="str">
        <f aca="false">IF(E30="","",IFERROR(INDEX(02_INDICADORES!$C$2:$C$42,MATCH(E30,02_INDICADORES!$A$2:$A$42,0)),"ID?"))</f>
        <v/>
      </c>
      <c r="H30" s="22" t="str">
        <f aca="false">IF(E30="","",IFERROR(INDEX(02_INDICADORES!$D$2:$D$42,MATCH(E30,02_INDICADORES!$A$2:$A$42,0)),""))</f>
        <v/>
      </c>
      <c r="I30" s="9"/>
      <c r="J30" s="16" t="str">
        <f aca="false">IF(OR(I30="",H30=""),"",I30*H30)</f>
        <v/>
      </c>
      <c r="K30" s="9"/>
      <c r="L30" s="9"/>
      <c r="M30" s="9"/>
    </row>
    <row r="31" customFormat="false" ht="15" hidden="false" customHeight="false" outlineLevel="0" collapsed="false">
      <c r="A31" s="9"/>
      <c r="B31" s="9"/>
      <c r="C31" s="11"/>
      <c r="D31" s="9"/>
      <c r="E31" s="9"/>
      <c r="F31" s="22" t="str">
        <f aca="false">IF(E31="","",IFERROR(INDEX(02_INDICADORES!$B$2:$B$42,MATCH(E31,02_INDICADORES!$A$2:$A$42,0)),"ID?"))</f>
        <v/>
      </c>
      <c r="G31" s="21" t="str">
        <f aca="false">IF(E31="","",IFERROR(INDEX(02_INDICADORES!$C$2:$C$42,MATCH(E31,02_INDICADORES!$A$2:$A$42,0)),"ID?"))</f>
        <v/>
      </c>
      <c r="H31" s="22" t="str">
        <f aca="false">IF(E31="","",IFERROR(INDEX(02_INDICADORES!$D$2:$D$42,MATCH(E31,02_INDICADORES!$A$2:$A$42,0)),""))</f>
        <v/>
      </c>
      <c r="I31" s="9"/>
      <c r="J31" s="16" t="str">
        <f aca="false">IF(OR(I31="",H31=""),"",I31*H31)</f>
        <v/>
      </c>
      <c r="K31" s="9"/>
      <c r="L31" s="9"/>
      <c r="M31" s="9"/>
    </row>
    <row r="32" customFormat="false" ht="15" hidden="false" customHeight="false" outlineLevel="0" collapsed="false">
      <c r="A32" s="9"/>
      <c r="B32" s="9"/>
      <c r="C32" s="11"/>
      <c r="D32" s="9"/>
      <c r="E32" s="9"/>
      <c r="F32" s="22" t="str">
        <f aca="false">IF(E32="","",IFERROR(INDEX(02_INDICADORES!$B$2:$B$42,MATCH(E32,02_INDICADORES!$A$2:$A$42,0)),"ID?"))</f>
        <v/>
      </c>
      <c r="G32" s="21" t="str">
        <f aca="false">IF(E32="","",IFERROR(INDEX(02_INDICADORES!$C$2:$C$42,MATCH(E32,02_INDICADORES!$A$2:$A$42,0)),"ID?"))</f>
        <v/>
      </c>
      <c r="H32" s="22" t="str">
        <f aca="false">IF(E32="","",IFERROR(INDEX(02_INDICADORES!$D$2:$D$42,MATCH(E32,02_INDICADORES!$A$2:$A$42,0)),""))</f>
        <v/>
      </c>
      <c r="I32" s="9"/>
      <c r="J32" s="16" t="str">
        <f aca="false">IF(OR(I32="",H32=""),"",I32*H32)</f>
        <v/>
      </c>
      <c r="K32" s="9"/>
      <c r="L32" s="9"/>
      <c r="M32" s="9"/>
    </row>
    <row r="33" customFormat="false" ht="15" hidden="false" customHeight="false" outlineLevel="0" collapsed="false">
      <c r="A33" s="9"/>
      <c r="B33" s="9"/>
      <c r="C33" s="11"/>
      <c r="D33" s="9"/>
      <c r="E33" s="9"/>
      <c r="F33" s="22" t="str">
        <f aca="false">IF(E33="","",IFERROR(INDEX(02_INDICADORES!$B$2:$B$42,MATCH(E33,02_INDICADORES!$A$2:$A$42,0)),"ID?"))</f>
        <v/>
      </c>
      <c r="G33" s="21" t="str">
        <f aca="false">IF(E33="","",IFERROR(INDEX(02_INDICADORES!$C$2:$C$42,MATCH(E33,02_INDICADORES!$A$2:$A$42,0)),"ID?"))</f>
        <v/>
      </c>
      <c r="H33" s="22" t="str">
        <f aca="false">IF(E33="","",IFERROR(INDEX(02_INDICADORES!$D$2:$D$42,MATCH(E33,02_INDICADORES!$A$2:$A$42,0)),""))</f>
        <v/>
      </c>
      <c r="I33" s="9"/>
      <c r="J33" s="16" t="str">
        <f aca="false">IF(OR(I33="",H33=""),"",I33*H33)</f>
        <v/>
      </c>
      <c r="K33" s="9"/>
      <c r="L33" s="9"/>
      <c r="M33" s="9"/>
    </row>
    <row r="34" customFormat="false" ht="15" hidden="false" customHeight="false" outlineLevel="0" collapsed="false">
      <c r="A34" s="9"/>
      <c r="B34" s="9"/>
      <c r="C34" s="11"/>
      <c r="D34" s="9"/>
      <c r="E34" s="9"/>
      <c r="F34" s="22" t="str">
        <f aca="false">IF(E34="","",IFERROR(INDEX(02_INDICADORES!$B$2:$B$42,MATCH(E34,02_INDICADORES!$A$2:$A$42,0)),"ID?"))</f>
        <v/>
      </c>
      <c r="G34" s="21" t="str">
        <f aca="false">IF(E34="","",IFERROR(INDEX(02_INDICADORES!$C$2:$C$42,MATCH(E34,02_INDICADORES!$A$2:$A$42,0)),"ID?"))</f>
        <v/>
      </c>
      <c r="H34" s="22" t="str">
        <f aca="false">IF(E34="","",IFERROR(INDEX(02_INDICADORES!$D$2:$D$42,MATCH(E34,02_INDICADORES!$A$2:$A$42,0)),""))</f>
        <v/>
      </c>
      <c r="I34" s="9"/>
      <c r="J34" s="16" t="str">
        <f aca="false">IF(OR(I34="",H34=""),"",I34*H34)</f>
        <v/>
      </c>
      <c r="K34" s="9"/>
      <c r="L34" s="9"/>
      <c r="M34" s="9"/>
    </row>
    <row r="35" customFormat="false" ht="15" hidden="false" customHeight="false" outlineLevel="0" collapsed="false">
      <c r="A35" s="9"/>
      <c r="B35" s="9"/>
      <c r="C35" s="11"/>
      <c r="D35" s="9"/>
      <c r="E35" s="9"/>
      <c r="F35" s="22" t="str">
        <f aca="false">IF(E35="","",IFERROR(INDEX(02_INDICADORES!$B$2:$B$42,MATCH(E35,02_INDICADORES!$A$2:$A$42,0)),"ID?"))</f>
        <v/>
      </c>
      <c r="G35" s="21" t="str">
        <f aca="false">IF(E35="","",IFERROR(INDEX(02_INDICADORES!$C$2:$C$42,MATCH(E35,02_INDICADORES!$A$2:$A$42,0)),"ID?"))</f>
        <v/>
      </c>
      <c r="H35" s="22" t="str">
        <f aca="false">IF(E35="","",IFERROR(INDEX(02_INDICADORES!$D$2:$D$42,MATCH(E35,02_INDICADORES!$A$2:$A$42,0)),""))</f>
        <v/>
      </c>
      <c r="I35" s="9"/>
      <c r="J35" s="16" t="str">
        <f aca="false">IF(OR(I35="",H35=""),"",I35*H35)</f>
        <v/>
      </c>
      <c r="K35" s="9"/>
      <c r="L35" s="9"/>
      <c r="M35" s="9"/>
    </row>
    <row r="36" customFormat="false" ht="15" hidden="false" customHeight="false" outlineLevel="0" collapsed="false">
      <c r="A36" s="9"/>
      <c r="B36" s="9"/>
      <c r="C36" s="11"/>
      <c r="D36" s="9"/>
      <c r="E36" s="9"/>
      <c r="F36" s="22" t="str">
        <f aca="false">IF(E36="","",IFERROR(INDEX(02_INDICADORES!$B$2:$B$42,MATCH(E36,02_INDICADORES!$A$2:$A$42,0)),"ID?"))</f>
        <v/>
      </c>
      <c r="G36" s="21" t="str">
        <f aca="false">IF(E36="","",IFERROR(INDEX(02_INDICADORES!$C$2:$C$42,MATCH(E36,02_INDICADORES!$A$2:$A$42,0)),"ID?"))</f>
        <v/>
      </c>
      <c r="H36" s="22" t="str">
        <f aca="false">IF(E36="","",IFERROR(INDEX(02_INDICADORES!$D$2:$D$42,MATCH(E36,02_INDICADORES!$A$2:$A$42,0)),""))</f>
        <v/>
      </c>
      <c r="I36" s="9"/>
      <c r="J36" s="16" t="str">
        <f aca="false">IF(OR(I36="",H36=""),"",I36*H36)</f>
        <v/>
      </c>
      <c r="K36" s="9"/>
      <c r="L36" s="9"/>
      <c r="M36" s="9"/>
    </row>
    <row r="37" customFormat="false" ht="15" hidden="false" customHeight="false" outlineLevel="0" collapsed="false">
      <c r="A37" s="9"/>
      <c r="B37" s="9"/>
      <c r="C37" s="11"/>
      <c r="D37" s="9"/>
      <c r="E37" s="9"/>
      <c r="F37" s="22" t="str">
        <f aca="false">IF(E37="","",IFERROR(INDEX(02_INDICADORES!$B$2:$B$42,MATCH(E37,02_INDICADORES!$A$2:$A$42,0)),"ID?"))</f>
        <v/>
      </c>
      <c r="G37" s="21" t="str">
        <f aca="false">IF(E37="","",IFERROR(INDEX(02_INDICADORES!$C$2:$C$42,MATCH(E37,02_INDICADORES!$A$2:$A$42,0)),"ID?"))</f>
        <v/>
      </c>
      <c r="H37" s="22" t="str">
        <f aca="false">IF(E37="","",IFERROR(INDEX(02_INDICADORES!$D$2:$D$42,MATCH(E37,02_INDICADORES!$A$2:$A$42,0)),""))</f>
        <v/>
      </c>
      <c r="I37" s="9"/>
      <c r="J37" s="16" t="str">
        <f aca="false">IF(OR(I37="",H37=""),"",I37*H37)</f>
        <v/>
      </c>
      <c r="K37" s="9"/>
      <c r="L37" s="9"/>
      <c r="M37" s="9"/>
    </row>
    <row r="38" customFormat="false" ht="15" hidden="false" customHeight="false" outlineLevel="0" collapsed="false">
      <c r="A38" s="9"/>
      <c r="B38" s="9"/>
      <c r="C38" s="11"/>
      <c r="D38" s="9"/>
      <c r="E38" s="9"/>
      <c r="F38" s="22" t="str">
        <f aca="false">IF(E38="","",IFERROR(INDEX(02_INDICADORES!$B$2:$B$42,MATCH(E38,02_INDICADORES!$A$2:$A$42,0)),"ID?"))</f>
        <v/>
      </c>
      <c r="G38" s="21" t="str">
        <f aca="false">IF(E38="","",IFERROR(INDEX(02_INDICADORES!$C$2:$C$42,MATCH(E38,02_INDICADORES!$A$2:$A$42,0)),"ID?"))</f>
        <v/>
      </c>
      <c r="H38" s="22" t="str">
        <f aca="false">IF(E38="","",IFERROR(INDEX(02_INDICADORES!$D$2:$D$42,MATCH(E38,02_INDICADORES!$A$2:$A$42,0)),""))</f>
        <v/>
      </c>
      <c r="I38" s="9"/>
      <c r="J38" s="16" t="str">
        <f aca="false">IF(OR(I38="",H38=""),"",I38*H38)</f>
        <v/>
      </c>
      <c r="K38" s="9"/>
      <c r="L38" s="9"/>
      <c r="M38" s="9"/>
    </row>
    <row r="39" customFormat="false" ht="15" hidden="false" customHeight="false" outlineLevel="0" collapsed="false">
      <c r="A39" s="9"/>
      <c r="B39" s="9"/>
      <c r="C39" s="11"/>
      <c r="D39" s="9"/>
      <c r="E39" s="9"/>
      <c r="F39" s="22" t="str">
        <f aca="false">IF(E39="","",IFERROR(INDEX(02_INDICADORES!$B$2:$B$42,MATCH(E39,02_INDICADORES!$A$2:$A$42,0)),"ID?"))</f>
        <v/>
      </c>
      <c r="G39" s="21" t="str">
        <f aca="false">IF(E39="","",IFERROR(INDEX(02_INDICADORES!$C$2:$C$42,MATCH(E39,02_INDICADORES!$A$2:$A$42,0)),"ID?"))</f>
        <v/>
      </c>
      <c r="H39" s="22" t="str">
        <f aca="false">IF(E39="","",IFERROR(INDEX(02_INDICADORES!$D$2:$D$42,MATCH(E39,02_INDICADORES!$A$2:$A$42,0)),""))</f>
        <v/>
      </c>
      <c r="I39" s="9"/>
      <c r="J39" s="16" t="str">
        <f aca="false">IF(OR(I39="",H39=""),"",I39*H39)</f>
        <v/>
      </c>
      <c r="K39" s="9"/>
      <c r="L39" s="9"/>
      <c r="M39" s="9"/>
    </row>
    <row r="40" customFormat="false" ht="15" hidden="false" customHeight="false" outlineLevel="0" collapsed="false">
      <c r="A40" s="9"/>
      <c r="B40" s="9"/>
      <c r="C40" s="11"/>
      <c r="D40" s="9"/>
      <c r="E40" s="9"/>
      <c r="F40" s="22" t="str">
        <f aca="false">IF(E40="","",IFERROR(INDEX(02_INDICADORES!$B$2:$B$42,MATCH(E40,02_INDICADORES!$A$2:$A$42,0)),"ID?"))</f>
        <v/>
      </c>
      <c r="G40" s="21" t="str">
        <f aca="false">IF(E40="","",IFERROR(INDEX(02_INDICADORES!$C$2:$C$42,MATCH(E40,02_INDICADORES!$A$2:$A$42,0)),"ID?"))</f>
        <v/>
      </c>
      <c r="H40" s="22" t="str">
        <f aca="false">IF(E40="","",IFERROR(INDEX(02_INDICADORES!$D$2:$D$42,MATCH(E40,02_INDICADORES!$A$2:$A$42,0)),""))</f>
        <v/>
      </c>
      <c r="I40" s="9"/>
      <c r="J40" s="16" t="str">
        <f aca="false">IF(OR(I40="",H40=""),"",I40*H40)</f>
        <v/>
      </c>
      <c r="K40" s="9"/>
      <c r="L40" s="9"/>
      <c r="M40" s="9"/>
    </row>
    <row r="41" customFormat="false" ht="15" hidden="false" customHeight="false" outlineLevel="0" collapsed="false">
      <c r="A41" s="9"/>
      <c r="B41" s="9"/>
      <c r="C41" s="11"/>
      <c r="D41" s="9"/>
      <c r="E41" s="9"/>
      <c r="F41" s="22" t="str">
        <f aca="false">IF(E41="","",IFERROR(INDEX(02_INDICADORES!$B$2:$B$42,MATCH(E41,02_INDICADORES!$A$2:$A$42,0)),"ID?"))</f>
        <v/>
      </c>
      <c r="G41" s="21" t="str">
        <f aca="false">IF(E41="","",IFERROR(INDEX(02_INDICADORES!$C$2:$C$42,MATCH(E41,02_INDICADORES!$A$2:$A$42,0)),"ID?"))</f>
        <v/>
      </c>
      <c r="H41" s="22" t="str">
        <f aca="false">IF(E41="","",IFERROR(INDEX(02_INDICADORES!$D$2:$D$42,MATCH(E41,02_INDICADORES!$A$2:$A$42,0)),""))</f>
        <v/>
      </c>
      <c r="I41" s="9"/>
      <c r="J41" s="16" t="str">
        <f aca="false">IF(OR(I41="",H41=""),"",I41*H41)</f>
        <v/>
      </c>
      <c r="K41" s="9"/>
      <c r="L41" s="9"/>
      <c r="M41" s="9"/>
    </row>
    <row r="42" customFormat="false" ht="15" hidden="false" customHeight="false" outlineLevel="0" collapsed="false">
      <c r="A42" s="9"/>
      <c r="B42" s="9"/>
      <c r="C42" s="11"/>
      <c r="D42" s="9"/>
      <c r="E42" s="9"/>
      <c r="F42" s="22" t="str">
        <f aca="false">IF(E42="","",IFERROR(INDEX(02_INDICADORES!$B$2:$B$42,MATCH(E42,02_INDICADORES!$A$2:$A$42,0)),"ID?"))</f>
        <v/>
      </c>
      <c r="G42" s="21" t="str">
        <f aca="false">IF(E42="","",IFERROR(INDEX(02_INDICADORES!$C$2:$C$42,MATCH(E42,02_INDICADORES!$A$2:$A$42,0)),"ID?"))</f>
        <v/>
      </c>
      <c r="H42" s="22" t="str">
        <f aca="false">IF(E42="","",IFERROR(INDEX(02_INDICADORES!$D$2:$D$42,MATCH(E42,02_INDICADORES!$A$2:$A$42,0)),""))</f>
        <v/>
      </c>
      <c r="I42" s="9"/>
      <c r="J42" s="16" t="str">
        <f aca="false">IF(OR(I42="",H42=""),"",I42*H42)</f>
        <v/>
      </c>
      <c r="K42" s="9"/>
      <c r="L42" s="9"/>
      <c r="M42" s="9"/>
    </row>
    <row r="43" customFormat="false" ht="15" hidden="false" customHeight="false" outlineLevel="0" collapsed="false">
      <c r="A43" s="9"/>
      <c r="B43" s="9"/>
      <c r="C43" s="11"/>
      <c r="D43" s="9"/>
      <c r="E43" s="9"/>
      <c r="F43" s="22" t="str">
        <f aca="false">IF(E43="","",IFERROR(INDEX(02_INDICADORES!$B$2:$B$42,MATCH(E43,02_INDICADORES!$A$2:$A$42,0)),"ID?"))</f>
        <v/>
      </c>
      <c r="G43" s="21" t="str">
        <f aca="false">IF(E43="","",IFERROR(INDEX(02_INDICADORES!$C$2:$C$42,MATCH(E43,02_INDICADORES!$A$2:$A$42,0)),"ID?"))</f>
        <v/>
      </c>
      <c r="H43" s="22" t="str">
        <f aca="false">IF(E43="","",IFERROR(INDEX(02_INDICADORES!$D$2:$D$42,MATCH(E43,02_INDICADORES!$A$2:$A$42,0)),""))</f>
        <v/>
      </c>
      <c r="I43" s="9"/>
      <c r="J43" s="16" t="str">
        <f aca="false">IF(OR(I43="",H43=""),"",I43*H43)</f>
        <v/>
      </c>
      <c r="K43" s="9"/>
      <c r="L43" s="9"/>
      <c r="M43" s="9"/>
    </row>
    <row r="44" customFormat="false" ht="15" hidden="false" customHeight="false" outlineLevel="0" collapsed="false">
      <c r="A44" s="9"/>
      <c r="B44" s="9"/>
      <c r="C44" s="11"/>
      <c r="D44" s="9"/>
      <c r="E44" s="9"/>
      <c r="F44" s="22" t="str">
        <f aca="false">IF(E44="","",IFERROR(INDEX(02_INDICADORES!$B$2:$B$42,MATCH(E44,02_INDICADORES!$A$2:$A$42,0)),"ID?"))</f>
        <v/>
      </c>
      <c r="G44" s="21" t="str">
        <f aca="false">IF(E44="","",IFERROR(INDEX(02_INDICADORES!$C$2:$C$42,MATCH(E44,02_INDICADORES!$A$2:$A$42,0)),"ID?"))</f>
        <v/>
      </c>
      <c r="H44" s="22" t="str">
        <f aca="false">IF(E44="","",IFERROR(INDEX(02_INDICADORES!$D$2:$D$42,MATCH(E44,02_INDICADORES!$A$2:$A$42,0)),""))</f>
        <v/>
      </c>
      <c r="I44" s="9"/>
      <c r="J44" s="16" t="str">
        <f aca="false">IF(OR(I44="",H44=""),"",I44*H44)</f>
        <v/>
      </c>
      <c r="K44" s="9"/>
      <c r="L44" s="9"/>
      <c r="M44" s="9"/>
    </row>
    <row r="45" customFormat="false" ht="15" hidden="false" customHeight="false" outlineLevel="0" collapsed="false">
      <c r="A45" s="9"/>
      <c r="B45" s="9"/>
      <c r="C45" s="11"/>
      <c r="D45" s="9"/>
      <c r="E45" s="9"/>
      <c r="F45" s="22" t="str">
        <f aca="false">IF(E45="","",IFERROR(INDEX(02_INDICADORES!$B$2:$B$42,MATCH(E45,02_INDICADORES!$A$2:$A$42,0)),"ID?"))</f>
        <v/>
      </c>
      <c r="G45" s="21" t="str">
        <f aca="false">IF(E45="","",IFERROR(INDEX(02_INDICADORES!$C$2:$C$42,MATCH(E45,02_INDICADORES!$A$2:$A$42,0)),"ID?"))</f>
        <v/>
      </c>
      <c r="H45" s="22" t="str">
        <f aca="false">IF(E45="","",IFERROR(INDEX(02_INDICADORES!$D$2:$D$42,MATCH(E45,02_INDICADORES!$A$2:$A$42,0)),""))</f>
        <v/>
      </c>
      <c r="I45" s="9"/>
      <c r="J45" s="16" t="str">
        <f aca="false">IF(OR(I45="",H45=""),"",I45*H45)</f>
        <v/>
      </c>
      <c r="K45" s="9"/>
      <c r="L45" s="9"/>
      <c r="M45" s="9"/>
    </row>
    <row r="46" customFormat="false" ht="15" hidden="false" customHeight="false" outlineLevel="0" collapsed="false">
      <c r="A46" s="9"/>
      <c r="B46" s="9"/>
      <c r="C46" s="11"/>
      <c r="D46" s="9"/>
      <c r="E46" s="9"/>
      <c r="F46" s="22" t="str">
        <f aca="false">IF(E46="","",IFERROR(INDEX(02_INDICADORES!$B$2:$B$42,MATCH(E46,02_INDICADORES!$A$2:$A$42,0)),"ID?"))</f>
        <v/>
      </c>
      <c r="G46" s="21" t="str">
        <f aca="false">IF(E46="","",IFERROR(INDEX(02_INDICADORES!$C$2:$C$42,MATCH(E46,02_INDICADORES!$A$2:$A$42,0)),"ID?"))</f>
        <v/>
      </c>
      <c r="H46" s="22" t="str">
        <f aca="false">IF(E46="","",IFERROR(INDEX(02_INDICADORES!$D$2:$D$42,MATCH(E46,02_INDICADORES!$A$2:$A$42,0)),""))</f>
        <v/>
      </c>
      <c r="I46" s="9"/>
      <c r="J46" s="16" t="str">
        <f aca="false">IF(OR(I46="",H46=""),"",I46*H46)</f>
        <v/>
      </c>
      <c r="K46" s="9"/>
      <c r="L46" s="9"/>
      <c r="M46" s="9"/>
    </row>
    <row r="47" customFormat="false" ht="15" hidden="false" customHeight="false" outlineLevel="0" collapsed="false">
      <c r="A47" s="9"/>
      <c r="B47" s="9"/>
      <c r="C47" s="11"/>
      <c r="D47" s="9"/>
      <c r="E47" s="9"/>
      <c r="F47" s="22" t="str">
        <f aca="false">IF(E47="","",IFERROR(INDEX(02_INDICADORES!$B$2:$B$42,MATCH(E47,02_INDICADORES!$A$2:$A$42,0)),"ID?"))</f>
        <v/>
      </c>
      <c r="G47" s="21" t="str">
        <f aca="false">IF(E47="","",IFERROR(INDEX(02_INDICADORES!$C$2:$C$42,MATCH(E47,02_INDICADORES!$A$2:$A$42,0)),"ID?"))</f>
        <v/>
      </c>
      <c r="H47" s="22" t="str">
        <f aca="false">IF(E47="","",IFERROR(INDEX(02_INDICADORES!$D$2:$D$42,MATCH(E47,02_INDICADORES!$A$2:$A$42,0)),""))</f>
        <v/>
      </c>
      <c r="I47" s="9"/>
      <c r="J47" s="16" t="str">
        <f aca="false">IF(OR(I47="",H47=""),"",I47*H47)</f>
        <v/>
      </c>
      <c r="K47" s="9"/>
      <c r="L47" s="9"/>
      <c r="M47" s="9"/>
    </row>
    <row r="48" customFormat="false" ht="15" hidden="false" customHeight="false" outlineLevel="0" collapsed="false">
      <c r="A48" s="9"/>
      <c r="B48" s="9"/>
      <c r="C48" s="11"/>
      <c r="D48" s="9"/>
      <c r="E48" s="9"/>
      <c r="F48" s="22" t="str">
        <f aca="false">IF(E48="","",IFERROR(INDEX(02_INDICADORES!$B$2:$B$42,MATCH(E48,02_INDICADORES!$A$2:$A$42,0)),"ID?"))</f>
        <v/>
      </c>
      <c r="G48" s="21" t="str">
        <f aca="false">IF(E48="","",IFERROR(INDEX(02_INDICADORES!$C$2:$C$42,MATCH(E48,02_INDICADORES!$A$2:$A$42,0)),"ID?"))</f>
        <v/>
      </c>
      <c r="H48" s="22" t="str">
        <f aca="false">IF(E48="","",IFERROR(INDEX(02_INDICADORES!$D$2:$D$42,MATCH(E48,02_INDICADORES!$A$2:$A$42,0)),""))</f>
        <v/>
      </c>
      <c r="I48" s="9"/>
      <c r="J48" s="16" t="str">
        <f aca="false">IF(OR(I48="",H48=""),"",I48*H48)</f>
        <v/>
      </c>
      <c r="K48" s="9"/>
      <c r="L48" s="9"/>
      <c r="M48" s="9"/>
    </row>
    <row r="49" customFormat="false" ht="15" hidden="false" customHeight="false" outlineLevel="0" collapsed="false">
      <c r="A49" s="9"/>
      <c r="B49" s="9"/>
      <c r="C49" s="11"/>
      <c r="D49" s="9"/>
      <c r="E49" s="9"/>
      <c r="F49" s="22" t="str">
        <f aca="false">IF(E49="","",IFERROR(INDEX(02_INDICADORES!$B$2:$B$42,MATCH(E49,02_INDICADORES!$A$2:$A$42,0)),"ID?"))</f>
        <v/>
      </c>
      <c r="G49" s="21" t="str">
        <f aca="false">IF(E49="","",IFERROR(INDEX(02_INDICADORES!$C$2:$C$42,MATCH(E49,02_INDICADORES!$A$2:$A$42,0)),"ID?"))</f>
        <v/>
      </c>
      <c r="H49" s="22" t="str">
        <f aca="false">IF(E49="","",IFERROR(INDEX(02_INDICADORES!$D$2:$D$42,MATCH(E49,02_INDICADORES!$A$2:$A$42,0)),""))</f>
        <v/>
      </c>
      <c r="I49" s="9"/>
      <c r="J49" s="16" t="str">
        <f aca="false">IF(OR(I49="",H49=""),"",I49*H49)</f>
        <v/>
      </c>
      <c r="K49" s="9"/>
      <c r="L49" s="9"/>
      <c r="M49" s="9"/>
    </row>
    <row r="50" customFormat="false" ht="15" hidden="false" customHeight="false" outlineLevel="0" collapsed="false">
      <c r="A50" s="9"/>
      <c r="B50" s="9"/>
      <c r="C50" s="11"/>
      <c r="D50" s="9"/>
      <c r="E50" s="9"/>
      <c r="F50" s="22" t="str">
        <f aca="false">IF(E50="","",IFERROR(INDEX(02_INDICADORES!$B$2:$B$42,MATCH(E50,02_INDICADORES!$A$2:$A$42,0)),"ID?"))</f>
        <v/>
      </c>
      <c r="G50" s="21" t="str">
        <f aca="false">IF(E50="","",IFERROR(INDEX(02_INDICADORES!$C$2:$C$42,MATCH(E50,02_INDICADORES!$A$2:$A$42,0)),"ID?"))</f>
        <v/>
      </c>
      <c r="H50" s="22" t="str">
        <f aca="false">IF(E50="","",IFERROR(INDEX(02_INDICADORES!$D$2:$D$42,MATCH(E50,02_INDICADORES!$A$2:$A$42,0)),""))</f>
        <v/>
      </c>
      <c r="I50" s="9"/>
      <c r="J50" s="16" t="str">
        <f aca="false">IF(OR(I50="",H50=""),"",I50*H50)</f>
        <v/>
      </c>
      <c r="K50" s="9"/>
      <c r="L50" s="9"/>
      <c r="M50" s="9"/>
    </row>
    <row r="51" customFormat="false" ht="15" hidden="false" customHeight="false" outlineLevel="0" collapsed="false">
      <c r="A51" s="9"/>
      <c r="B51" s="9"/>
      <c r="C51" s="11"/>
      <c r="D51" s="9"/>
      <c r="E51" s="9"/>
      <c r="F51" s="22" t="str">
        <f aca="false">IF(E51="","",IFERROR(INDEX(02_INDICADORES!$B$2:$B$42,MATCH(E51,02_INDICADORES!$A$2:$A$42,0)),"ID?"))</f>
        <v/>
      </c>
      <c r="G51" s="21" t="str">
        <f aca="false">IF(E51="","",IFERROR(INDEX(02_INDICADORES!$C$2:$C$42,MATCH(E51,02_INDICADORES!$A$2:$A$42,0)),"ID?"))</f>
        <v/>
      </c>
      <c r="H51" s="22" t="str">
        <f aca="false">IF(E51="","",IFERROR(INDEX(02_INDICADORES!$D$2:$D$42,MATCH(E51,02_INDICADORES!$A$2:$A$42,0)),""))</f>
        <v/>
      </c>
      <c r="I51" s="9"/>
      <c r="J51" s="16" t="str">
        <f aca="false">IF(OR(I51="",H51=""),"",I51*H51)</f>
        <v/>
      </c>
      <c r="K51" s="9"/>
      <c r="L51" s="9"/>
      <c r="M51" s="9"/>
    </row>
    <row r="52" customFormat="false" ht="15" hidden="false" customHeight="false" outlineLevel="0" collapsed="false">
      <c r="A52" s="9"/>
      <c r="B52" s="9"/>
      <c r="C52" s="11"/>
      <c r="D52" s="9"/>
      <c r="E52" s="9"/>
      <c r="F52" s="22" t="str">
        <f aca="false">IF(E52="","",IFERROR(INDEX(02_INDICADORES!$B$2:$B$42,MATCH(E52,02_INDICADORES!$A$2:$A$42,0)),"ID?"))</f>
        <v/>
      </c>
      <c r="G52" s="21" t="str">
        <f aca="false">IF(E52="","",IFERROR(INDEX(02_INDICADORES!$C$2:$C$42,MATCH(E52,02_INDICADORES!$A$2:$A$42,0)),"ID?"))</f>
        <v/>
      </c>
      <c r="H52" s="22" t="str">
        <f aca="false">IF(E52="","",IFERROR(INDEX(02_INDICADORES!$D$2:$D$42,MATCH(E52,02_INDICADORES!$A$2:$A$42,0)),""))</f>
        <v/>
      </c>
      <c r="I52" s="9"/>
      <c r="J52" s="16" t="str">
        <f aca="false">IF(OR(I52="",H52=""),"",I52*H52)</f>
        <v/>
      </c>
      <c r="K52" s="9"/>
      <c r="L52" s="9"/>
      <c r="M52" s="9"/>
    </row>
    <row r="53" customFormat="false" ht="15" hidden="false" customHeight="false" outlineLevel="0" collapsed="false">
      <c r="A53" s="9"/>
      <c r="B53" s="9"/>
      <c r="C53" s="11"/>
      <c r="D53" s="9"/>
      <c r="E53" s="9"/>
      <c r="F53" s="22" t="str">
        <f aca="false">IF(E53="","",IFERROR(INDEX(02_INDICADORES!$B$2:$B$42,MATCH(E53,02_INDICADORES!$A$2:$A$42,0)),"ID?"))</f>
        <v/>
      </c>
      <c r="G53" s="21" t="str">
        <f aca="false">IF(E53="","",IFERROR(INDEX(02_INDICADORES!$C$2:$C$42,MATCH(E53,02_INDICADORES!$A$2:$A$42,0)),"ID?"))</f>
        <v/>
      </c>
      <c r="H53" s="22" t="str">
        <f aca="false">IF(E53="","",IFERROR(INDEX(02_INDICADORES!$D$2:$D$42,MATCH(E53,02_INDICADORES!$A$2:$A$42,0)),""))</f>
        <v/>
      </c>
      <c r="I53" s="9"/>
      <c r="J53" s="16" t="str">
        <f aca="false">IF(OR(I53="",H53=""),"",I53*H53)</f>
        <v/>
      </c>
      <c r="K53" s="9"/>
      <c r="L53" s="9"/>
      <c r="M53" s="9"/>
    </row>
    <row r="54" customFormat="false" ht="15" hidden="false" customHeight="false" outlineLevel="0" collapsed="false">
      <c r="A54" s="9"/>
      <c r="B54" s="9"/>
      <c r="C54" s="11"/>
      <c r="D54" s="9"/>
      <c r="E54" s="9"/>
      <c r="F54" s="22" t="str">
        <f aca="false">IF(E54="","",IFERROR(INDEX(02_INDICADORES!$B$2:$B$42,MATCH(E54,02_INDICADORES!$A$2:$A$42,0)),"ID?"))</f>
        <v/>
      </c>
      <c r="G54" s="21" t="str">
        <f aca="false">IF(E54="","",IFERROR(INDEX(02_INDICADORES!$C$2:$C$42,MATCH(E54,02_INDICADORES!$A$2:$A$42,0)),"ID?"))</f>
        <v/>
      </c>
      <c r="H54" s="22" t="str">
        <f aca="false">IF(E54="","",IFERROR(INDEX(02_INDICADORES!$D$2:$D$42,MATCH(E54,02_INDICADORES!$A$2:$A$42,0)),""))</f>
        <v/>
      </c>
      <c r="I54" s="9"/>
      <c r="J54" s="16" t="str">
        <f aca="false">IF(OR(I54="",H54=""),"",I54*H54)</f>
        <v/>
      </c>
      <c r="K54" s="9"/>
      <c r="L54" s="9"/>
      <c r="M54" s="9"/>
    </row>
    <row r="55" customFormat="false" ht="15" hidden="false" customHeight="false" outlineLevel="0" collapsed="false">
      <c r="A55" s="9"/>
      <c r="B55" s="9"/>
      <c r="C55" s="11"/>
      <c r="D55" s="9"/>
      <c r="E55" s="9"/>
      <c r="F55" s="22" t="str">
        <f aca="false">IF(E55="","",IFERROR(INDEX(02_INDICADORES!$B$2:$B$42,MATCH(E55,02_INDICADORES!$A$2:$A$42,0)),"ID?"))</f>
        <v/>
      </c>
      <c r="G55" s="21" t="str">
        <f aca="false">IF(E55="","",IFERROR(INDEX(02_INDICADORES!$C$2:$C$42,MATCH(E55,02_INDICADORES!$A$2:$A$42,0)),"ID?"))</f>
        <v/>
      </c>
      <c r="H55" s="22" t="str">
        <f aca="false">IF(E55="","",IFERROR(INDEX(02_INDICADORES!$D$2:$D$42,MATCH(E55,02_INDICADORES!$A$2:$A$42,0)),""))</f>
        <v/>
      </c>
      <c r="I55" s="9"/>
      <c r="J55" s="16" t="str">
        <f aca="false">IF(OR(I55="",H55=""),"",I55*H55)</f>
        <v/>
      </c>
      <c r="K55" s="9"/>
      <c r="L55" s="9"/>
      <c r="M55" s="9"/>
    </row>
    <row r="56" customFormat="false" ht="15" hidden="false" customHeight="false" outlineLevel="0" collapsed="false">
      <c r="A56" s="9"/>
      <c r="B56" s="9"/>
      <c r="C56" s="11"/>
      <c r="D56" s="9"/>
      <c r="E56" s="9"/>
      <c r="F56" s="22" t="str">
        <f aca="false">IF(E56="","",IFERROR(INDEX(02_INDICADORES!$B$2:$B$42,MATCH(E56,02_INDICADORES!$A$2:$A$42,0)),"ID?"))</f>
        <v/>
      </c>
      <c r="G56" s="21" t="str">
        <f aca="false">IF(E56="","",IFERROR(INDEX(02_INDICADORES!$C$2:$C$42,MATCH(E56,02_INDICADORES!$A$2:$A$42,0)),"ID?"))</f>
        <v/>
      </c>
      <c r="H56" s="22" t="str">
        <f aca="false">IF(E56="","",IFERROR(INDEX(02_INDICADORES!$D$2:$D$42,MATCH(E56,02_INDICADORES!$A$2:$A$42,0)),""))</f>
        <v/>
      </c>
      <c r="I56" s="9"/>
      <c r="J56" s="16" t="str">
        <f aca="false">IF(OR(I56="",H56=""),"",I56*H56)</f>
        <v/>
      </c>
      <c r="K56" s="9"/>
      <c r="L56" s="9"/>
      <c r="M56" s="9"/>
    </row>
    <row r="57" customFormat="false" ht="15" hidden="false" customHeight="false" outlineLevel="0" collapsed="false">
      <c r="A57" s="9"/>
      <c r="B57" s="9"/>
      <c r="C57" s="11"/>
      <c r="D57" s="9"/>
      <c r="E57" s="9"/>
      <c r="F57" s="22" t="str">
        <f aca="false">IF(E57="","",IFERROR(INDEX(02_INDICADORES!$B$2:$B$42,MATCH(E57,02_INDICADORES!$A$2:$A$42,0)),"ID?"))</f>
        <v/>
      </c>
      <c r="G57" s="21" t="str">
        <f aca="false">IF(E57="","",IFERROR(INDEX(02_INDICADORES!$C$2:$C$42,MATCH(E57,02_INDICADORES!$A$2:$A$42,0)),"ID?"))</f>
        <v/>
      </c>
      <c r="H57" s="22" t="str">
        <f aca="false">IF(E57="","",IFERROR(INDEX(02_INDICADORES!$D$2:$D$42,MATCH(E57,02_INDICADORES!$A$2:$A$42,0)),""))</f>
        <v/>
      </c>
      <c r="I57" s="9"/>
      <c r="J57" s="16" t="str">
        <f aca="false">IF(OR(I57="",H57=""),"",I57*H57)</f>
        <v/>
      </c>
      <c r="K57" s="9"/>
      <c r="L57" s="9"/>
      <c r="M57" s="9"/>
    </row>
    <row r="58" customFormat="false" ht="15" hidden="false" customHeight="false" outlineLevel="0" collapsed="false">
      <c r="A58" s="9"/>
      <c r="B58" s="9"/>
      <c r="C58" s="11"/>
      <c r="D58" s="9"/>
      <c r="E58" s="9"/>
      <c r="F58" s="22" t="str">
        <f aca="false">IF(E58="","",IFERROR(INDEX(02_INDICADORES!$B$2:$B$42,MATCH(E58,02_INDICADORES!$A$2:$A$42,0)),"ID?"))</f>
        <v/>
      </c>
      <c r="G58" s="21" t="str">
        <f aca="false">IF(E58="","",IFERROR(INDEX(02_INDICADORES!$C$2:$C$42,MATCH(E58,02_INDICADORES!$A$2:$A$42,0)),"ID?"))</f>
        <v/>
      </c>
      <c r="H58" s="22" t="str">
        <f aca="false">IF(E58="","",IFERROR(INDEX(02_INDICADORES!$D$2:$D$42,MATCH(E58,02_INDICADORES!$A$2:$A$42,0)),""))</f>
        <v/>
      </c>
      <c r="I58" s="9"/>
      <c r="J58" s="16" t="str">
        <f aca="false">IF(OR(I58="",H58=""),"",I58*H58)</f>
        <v/>
      </c>
      <c r="K58" s="9"/>
      <c r="L58" s="9"/>
      <c r="M58" s="9"/>
    </row>
    <row r="59" customFormat="false" ht="15" hidden="false" customHeight="false" outlineLevel="0" collapsed="false">
      <c r="A59" s="9"/>
      <c r="B59" s="9"/>
      <c r="C59" s="11"/>
      <c r="D59" s="9"/>
      <c r="E59" s="9"/>
      <c r="F59" s="22" t="str">
        <f aca="false">IF(E59="","",IFERROR(INDEX(02_INDICADORES!$B$2:$B$42,MATCH(E59,02_INDICADORES!$A$2:$A$42,0)),"ID?"))</f>
        <v/>
      </c>
      <c r="G59" s="21" t="str">
        <f aca="false">IF(E59="","",IFERROR(INDEX(02_INDICADORES!$C$2:$C$42,MATCH(E59,02_INDICADORES!$A$2:$A$42,0)),"ID?"))</f>
        <v/>
      </c>
      <c r="H59" s="22" t="str">
        <f aca="false">IF(E59="","",IFERROR(INDEX(02_INDICADORES!$D$2:$D$42,MATCH(E59,02_INDICADORES!$A$2:$A$42,0)),""))</f>
        <v/>
      </c>
      <c r="I59" s="9"/>
      <c r="J59" s="16" t="str">
        <f aca="false">IF(OR(I59="",H59=""),"",I59*H59)</f>
        <v/>
      </c>
      <c r="K59" s="9"/>
      <c r="L59" s="9"/>
      <c r="M59" s="9"/>
    </row>
    <row r="60" customFormat="false" ht="15" hidden="false" customHeight="false" outlineLevel="0" collapsed="false">
      <c r="A60" s="9"/>
      <c r="B60" s="9"/>
      <c r="C60" s="11"/>
      <c r="D60" s="9"/>
      <c r="E60" s="9"/>
      <c r="F60" s="22" t="str">
        <f aca="false">IF(E60="","",IFERROR(INDEX(02_INDICADORES!$B$2:$B$42,MATCH(E60,02_INDICADORES!$A$2:$A$42,0)),"ID?"))</f>
        <v/>
      </c>
      <c r="G60" s="21" t="str">
        <f aca="false">IF(E60="","",IFERROR(INDEX(02_INDICADORES!$C$2:$C$42,MATCH(E60,02_INDICADORES!$A$2:$A$42,0)),"ID?"))</f>
        <v/>
      </c>
      <c r="H60" s="22" t="str">
        <f aca="false">IF(E60="","",IFERROR(INDEX(02_INDICADORES!$D$2:$D$42,MATCH(E60,02_INDICADORES!$A$2:$A$42,0)),""))</f>
        <v/>
      </c>
      <c r="I60" s="9"/>
      <c r="J60" s="16" t="str">
        <f aca="false">IF(OR(I60="",H60=""),"",I60*H60)</f>
        <v/>
      </c>
      <c r="K60" s="9"/>
      <c r="L60" s="9"/>
      <c r="M60" s="9"/>
    </row>
    <row r="61" customFormat="false" ht="15" hidden="false" customHeight="false" outlineLevel="0" collapsed="false">
      <c r="A61" s="9"/>
      <c r="B61" s="9"/>
      <c r="C61" s="11"/>
      <c r="D61" s="9"/>
      <c r="E61" s="9"/>
      <c r="F61" s="22" t="str">
        <f aca="false">IF(E61="","",IFERROR(INDEX(02_INDICADORES!$B$2:$B$42,MATCH(E61,02_INDICADORES!$A$2:$A$42,0)),"ID?"))</f>
        <v/>
      </c>
      <c r="G61" s="21" t="str">
        <f aca="false">IF(E61="","",IFERROR(INDEX(02_INDICADORES!$C$2:$C$42,MATCH(E61,02_INDICADORES!$A$2:$A$42,0)),"ID?"))</f>
        <v/>
      </c>
      <c r="H61" s="22" t="str">
        <f aca="false">IF(E61="","",IFERROR(INDEX(02_INDICADORES!$D$2:$D$42,MATCH(E61,02_INDICADORES!$A$2:$A$42,0)),""))</f>
        <v/>
      </c>
      <c r="I61" s="9"/>
      <c r="J61" s="16" t="str">
        <f aca="false">IF(OR(I61="",H61=""),"",I61*H61)</f>
        <v/>
      </c>
      <c r="K61" s="9"/>
      <c r="L61" s="9"/>
      <c r="M61" s="9"/>
    </row>
    <row r="62" customFormat="false" ht="15" hidden="false" customHeight="false" outlineLevel="0" collapsed="false">
      <c r="A62" s="9"/>
      <c r="B62" s="9"/>
      <c r="C62" s="11"/>
      <c r="D62" s="9"/>
      <c r="E62" s="9"/>
      <c r="F62" s="22" t="str">
        <f aca="false">IF(E62="","",IFERROR(INDEX(02_INDICADORES!$B$2:$B$42,MATCH(E62,02_INDICADORES!$A$2:$A$42,0)),"ID?"))</f>
        <v/>
      </c>
      <c r="G62" s="21" t="str">
        <f aca="false">IF(E62="","",IFERROR(INDEX(02_INDICADORES!$C$2:$C$42,MATCH(E62,02_INDICADORES!$A$2:$A$42,0)),"ID?"))</f>
        <v/>
      </c>
      <c r="H62" s="22" t="str">
        <f aca="false">IF(E62="","",IFERROR(INDEX(02_INDICADORES!$D$2:$D$42,MATCH(E62,02_INDICADORES!$A$2:$A$42,0)),""))</f>
        <v/>
      </c>
      <c r="I62" s="9"/>
      <c r="J62" s="16" t="str">
        <f aca="false">IF(OR(I62="",H62=""),"",I62*H62)</f>
        <v/>
      </c>
      <c r="K62" s="9"/>
      <c r="L62" s="9"/>
      <c r="M62" s="9"/>
    </row>
    <row r="63" customFormat="false" ht="15" hidden="false" customHeight="false" outlineLevel="0" collapsed="false">
      <c r="A63" s="9"/>
      <c r="B63" s="9"/>
      <c r="C63" s="11"/>
      <c r="D63" s="9"/>
      <c r="E63" s="9"/>
      <c r="F63" s="22" t="str">
        <f aca="false">IF(E63="","",IFERROR(INDEX(02_INDICADORES!$B$2:$B$42,MATCH(E63,02_INDICADORES!$A$2:$A$42,0)),"ID?"))</f>
        <v/>
      </c>
      <c r="G63" s="21" t="str">
        <f aca="false">IF(E63="","",IFERROR(INDEX(02_INDICADORES!$C$2:$C$42,MATCH(E63,02_INDICADORES!$A$2:$A$42,0)),"ID?"))</f>
        <v/>
      </c>
      <c r="H63" s="22" t="str">
        <f aca="false">IF(E63="","",IFERROR(INDEX(02_INDICADORES!$D$2:$D$42,MATCH(E63,02_INDICADORES!$A$2:$A$42,0)),""))</f>
        <v/>
      </c>
      <c r="I63" s="9"/>
      <c r="J63" s="16" t="str">
        <f aca="false">IF(OR(I63="",H63=""),"",I63*H63)</f>
        <v/>
      </c>
      <c r="K63" s="9"/>
      <c r="L63" s="9"/>
      <c r="M63" s="9"/>
    </row>
    <row r="64" customFormat="false" ht="15" hidden="false" customHeight="false" outlineLevel="0" collapsed="false">
      <c r="A64" s="9"/>
      <c r="B64" s="9"/>
      <c r="C64" s="11"/>
      <c r="D64" s="9"/>
      <c r="E64" s="9"/>
      <c r="F64" s="22" t="str">
        <f aca="false">IF(E64="","",IFERROR(INDEX(02_INDICADORES!$B$2:$B$42,MATCH(E64,02_INDICADORES!$A$2:$A$42,0)),"ID?"))</f>
        <v/>
      </c>
      <c r="G64" s="21" t="str">
        <f aca="false">IF(E64="","",IFERROR(INDEX(02_INDICADORES!$C$2:$C$42,MATCH(E64,02_INDICADORES!$A$2:$A$42,0)),"ID?"))</f>
        <v/>
      </c>
      <c r="H64" s="22" t="str">
        <f aca="false">IF(E64="","",IFERROR(INDEX(02_INDICADORES!$D$2:$D$42,MATCH(E64,02_INDICADORES!$A$2:$A$42,0)),""))</f>
        <v/>
      </c>
      <c r="I64" s="9"/>
      <c r="J64" s="16" t="str">
        <f aca="false">IF(OR(I64="",H64=""),"",I64*H64)</f>
        <v/>
      </c>
      <c r="K64" s="9"/>
      <c r="L64" s="9"/>
      <c r="M64" s="9"/>
    </row>
    <row r="65" customFormat="false" ht="15" hidden="false" customHeight="false" outlineLevel="0" collapsed="false">
      <c r="A65" s="9"/>
      <c r="B65" s="9"/>
      <c r="C65" s="11"/>
      <c r="D65" s="9"/>
      <c r="E65" s="9"/>
      <c r="F65" s="22" t="str">
        <f aca="false">IF(E65="","",IFERROR(INDEX(02_INDICADORES!$B$2:$B$42,MATCH(E65,02_INDICADORES!$A$2:$A$42,0)),"ID?"))</f>
        <v/>
      </c>
      <c r="G65" s="21" t="str">
        <f aca="false">IF(E65="","",IFERROR(INDEX(02_INDICADORES!$C$2:$C$42,MATCH(E65,02_INDICADORES!$A$2:$A$42,0)),"ID?"))</f>
        <v/>
      </c>
      <c r="H65" s="22" t="str">
        <f aca="false">IF(E65="","",IFERROR(INDEX(02_INDICADORES!$D$2:$D$42,MATCH(E65,02_INDICADORES!$A$2:$A$42,0)),""))</f>
        <v/>
      </c>
      <c r="I65" s="9"/>
      <c r="J65" s="16" t="str">
        <f aca="false">IF(OR(I65="",H65=""),"",I65*H65)</f>
        <v/>
      </c>
      <c r="K65" s="9"/>
      <c r="L65" s="9"/>
      <c r="M65" s="9"/>
    </row>
    <row r="66" customFormat="false" ht="15" hidden="false" customHeight="false" outlineLevel="0" collapsed="false">
      <c r="A66" s="9"/>
      <c r="B66" s="9"/>
      <c r="C66" s="11"/>
      <c r="D66" s="9"/>
      <c r="E66" s="9"/>
      <c r="F66" s="22" t="str">
        <f aca="false">IF(E66="","",IFERROR(INDEX(02_INDICADORES!$B$2:$B$42,MATCH(E66,02_INDICADORES!$A$2:$A$42,0)),"ID?"))</f>
        <v/>
      </c>
      <c r="G66" s="21" t="str">
        <f aca="false">IF(E66="","",IFERROR(INDEX(02_INDICADORES!$C$2:$C$42,MATCH(E66,02_INDICADORES!$A$2:$A$42,0)),"ID?"))</f>
        <v/>
      </c>
      <c r="H66" s="22" t="str">
        <f aca="false">IF(E66="","",IFERROR(INDEX(02_INDICADORES!$D$2:$D$42,MATCH(E66,02_INDICADORES!$A$2:$A$42,0)),""))</f>
        <v/>
      </c>
      <c r="I66" s="9"/>
      <c r="J66" s="16" t="str">
        <f aca="false">IF(OR(I66="",H66=""),"",I66*H66)</f>
        <v/>
      </c>
      <c r="K66" s="9"/>
      <c r="L66" s="9"/>
      <c r="M66" s="9"/>
    </row>
    <row r="67" customFormat="false" ht="15" hidden="false" customHeight="false" outlineLevel="0" collapsed="false">
      <c r="A67" s="9"/>
      <c r="B67" s="9"/>
      <c r="C67" s="11"/>
      <c r="D67" s="9"/>
      <c r="E67" s="9"/>
      <c r="F67" s="22" t="str">
        <f aca="false">IF(E67="","",IFERROR(INDEX(02_INDICADORES!$B$2:$B$42,MATCH(E67,02_INDICADORES!$A$2:$A$42,0)),"ID?"))</f>
        <v/>
      </c>
      <c r="G67" s="21" t="str">
        <f aca="false">IF(E67="","",IFERROR(INDEX(02_INDICADORES!$C$2:$C$42,MATCH(E67,02_INDICADORES!$A$2:$A$42,0)),"ID?"))</f>
        <v/>
      </c>
      <c r="H67" s="22" t="str">
        <f aca="false">IF(E67="","",IFERROR(INDEX(02_INDICADORES!$D$2:$D$42,MATCH(E67,02_INDICADORES!$A$2:$A$42,0)),""))</f>
        <v/>
      </c>
      <c r="I67" s="9"/>
      <c r="J67" s="16" t="str">
        <f aca="false">IF(OR(I67="",H67=""),"",I67*H67)</f>
        <v/>
      </c>
      <c r="K67" s="9"/>
      <c r="L67" s="9"/>
      <c r="M67" s="9"/>
    </row>
    <row r="68" customFormat="false" ht="15" hidden="false" customHeight="false" outlineLevel="0" collapsed="false">
      <c r="A68" s="9"/>
      <c r="B68" s="9"/>
      <c r="C68" s="11"/>
      <c r="D68" s="9"/>
      <c r="E68" s="9"/>
      <c r="F68" s="22" t="str">
        <f aca="false">IF(E68="","",IFERROR(INDEX(02_INDICADORES!$B$2:$B$42,MATCH(E68,02_INDICADORES!$A$2:$A$42,0)),"ID?"))</f>
        <v/>
      </c>
      <c r="G68" s="21" t="str">
        <f aca="false">IF(E68="","",IFERROR(INDEX(02_INDICADORES!$C$2:$C$42,MATCH(E68,02_INDICADORES!$A$2:$A$42,0)),"ID?"))</f>
        <v/>
      </c>
      <c r="H68" s="22" t="str">
        <f aca="false">IF(E68="","",IFERROR(INDEX(02_INDICADORES!$D$2:$D$42,MATCH(E68,02_INDICADORES!$A$2:$A$42,0)),""))</f>
        <v/>
      </c>
      <c r="I68" s="9"/>
      <c r="J68" s="16" t="str">
        <f aca="false">IF(OR(I68="",H68=""),"",I68*H68)</f>
        <v/>
      </c>
      <c r="K68" s="9"/>
      <c r="L68" s="9"/>
      <c r="M68" s="9"/>
    </row>
    <row r="69" customFormat="false" ht="15" hidden="false" customHeight="false" outlineLevel="0" collapsed="false">
      <c r="A69" s="9"/>
      <c r="B69" s="9"/>
      <c r="C69" s="11"/>
      <c r="D69" s="9"/>
      <c r="E69" s="9"/>
      <c r="F69" s="22" t="str">
        <f aca="false">IF(E69="","",IFERROR(INDEX(02_INDICADORES!$B$2:$B$42,MATCH(E69,02_INDICADORES!$A$2:$A$42,0)),"ID?"))</f>
        <v/>
      </c>
      <c r="G69" s="21" t="str">
        <f aca="false">IF(E69="","",IFERROR(INDEX(02_INDICADORES!$C$2:$C$42,MATCH(E69,02_INDICADORES!$A$2:$A$42,0)),"ID?"))</f>
        <v/>
      </c>
      <c r="H69" s="22" t="str">
        <f aca="false">IF(E69="","",IFERROR(INDEX(02_INDICADORES!$D$2:$D$42,MATCH(E69,02_INDICADORES!$A$2:$A$42,0)),""))</f>
        <v/>
      </c>
      <c r="I69" s="9"/>
      <c r="J69" s="16" t="str">
        <f aca="false">IF(OR(I69="",H69=""),"",I69*H69)</f>
        <v/>
      </c>
      <c r="K69" s="9"/>
      <c r="L69" s="9"/>
      <c r="M69" s="9"/>
    </row>
    <row r="70" customFormat="false" ht="15" hidden="false" customHeight="false" outlineLevel="0" collapsed="false">
      <c r="A70" s="9"/>
      <c r="B70" s="9"/>
      <c r="C70" s="11"/>
      <c r="D70" s="9"/>
      <c r="E70" s="9"/>
      <c r="F70" s="22" t="str">
        <f aca="false">IF(E70="","",IFERROR(INDEX(02_INDICADORES!$B$2:$B$42,MATCH(E70,02_INDICADORES!$A$2:$A$42,0)),"ID?"))</f>
        <v/>
      </c>
      <c r="G70" s="21" t="str">
        <f aca="false">IF(E70="","",IFERROR(INDEX(02_INDICADORES!$C$2:$C$42,MATCH(E70,02_INDICADORES!$A$2:$A$42,0)),"ID?"))</f>
        <v/>
      </c>
      <c r="H70" s="22" t="str">
        <f aca="false">IF(E70="","",IFERROR(INDEX(02_INDICADORES!$D$2:$D$42,MATCH(E70,02_INDICADORES!$A$2:$A$42,0)),""))</f>
        <v/>
      </c>
      <c r="I70" s="9"/>
      <c r="J70" s="16" t="str">
        <f aca="false">IF(OR(I70="",H70=""),"",I70*H70)</f>
        <v/>
      </c>
      <c r="K70" s="9"/>
      <c r="L70" s="9"/>
      <c r="M70" s="9"/>
    </row>
    <row r="71" customFormat="false" ht="15" hidden="false" customHeight="false" outlineLevel="0" collapsed="false">
      <c r="A71" s="9"/>
      <c r="B71" s="9"/>
      <c r="C71" s="11"/>
      <c r="D71" s="9"/>
      <c r="E71" s="9"/>
      <c r="F71" s="22" t="str">
        <f aca="false">IF(E71="","",IFERROR(INDEX(02_INDICADORES!$B$2:$B$42,MATCH(E71,02_INDICADORES!$A$2:$A$42,0)),"ID?"))</f>
        <v/>
      </c>
      <c r="G71" s="21" t="str">
        <f aca="false">IF(E71="","",IFERROR(INDEX(02_INDICADORES!$C$2:$C$42,MATCH(E71,02_INDICADORES!$A$2:$A$42,0)),"ID?"))</f>
        <v/>
      </c>
      <c r="H71" s="22" t="str">
        <f aca="false">IF(E71="","",IFERROR(INDEX(02_INDICADORES!$D$2:$D$42,MATCH(E71,02_INDICADORES!$A$2:$A$42,0)),""))</f>
        <v/>
      </c>
      <c r="I71" s="9"/>
      <c r="J71" s="16" t="str">
        <f aca="false">IF(OR(I71="",H71=""),"",I71*H71)</f>
        <v/>
      </c>
      <c r="K71" s="9"/>
      <c r="L71" s="9"/>
      <c r="M71" s="9"/>
    </row>
    <row r="72" customFormat="false" ht="15" hidden="false" customHeight="false" outlineLevel="0" collapsed="false">
      <c r="A72" s="9"/>
      <c r="B72" s="9"/>
      <c r="C72" s="11"/>
      <c r="D72" s="9"/>
      <c r="E72" s="9"/>
      <c r="F72" s="22" t="str">
        <f aca="false">IF(E72="","",IFERROR(INDEX(02_INDICADORES!$B$2:$B$42,MATCH(E72,02_INDICADORES!$A$2:$A$42,0)),"ID?"))</f>
        <v/>
      </c>
      <c r="G72" s="21" t="str">
        <f aca="false">IF(E72="","",IFERROR(INDEX(02_INDICADORES!$C$2:$C$42,MATCH(E72,02_INDICADORES!$A$2:$A$42,0)),"ID?"))</f>
        <v/>
      </c>
      <c r="H72" s="22" t="str">
        <f aca="false">IF(E72="","",IFERROR(INDEX(02_INDICADORES!$D$2:$D$42,MATCH(E72,02_INDICADORES!$A$2:$A$42,0)),""))</f>
        <v/>
      </c>
      <c r="I72" s="9"/>
      <c r="J72" s="16" t="str">
        <f aca="false">IF(OR(I72="",H72=""),"",I72*H72)</f>
        <v/>
      </c>
      <c r="K72" s="9"/>
      <c r="L72" s="9"/>
      <c r="M72" s="9"/>
    </row>
    <row r="73" customFormat="false" ht="15" hidden="false" customHeight="false" outlineLevel="0" collapsed="false">
      <c r="A73" s="9"/>
      <c r="B73" s="9"/>
      <c r="C73" s="11"/>
      <c r="D73" s="9"/>
      <c r="E73" s="9"/>
      <c r="F73" s="22" t="str">
        <f aca="false">IF(E73="","",IFERROR(INDEX(02_INDICADORES!$B$2:$B$42,MATCH(E73,02_INDICADORES!$A$2:$A$42,0)),"ID?"))</f>
        <v/>
      </c>
      <c r="G73" s="21" t="str">
        <f aca="false">IF(E73="","",IFERROR(INDEX(02_INDICADORES!$C$2:$C$42,MATCH(E73,02_INDICADORES!$A$2:$A$42,0)),"ID?"))</f>
        <v/>
      </c>
      <c r="H73" s="22" t="str">
        <f aca="false">IF(E73="","",IFERROR(INDEX(02_INDICADORES!$D$2:$D$42,MATCH(E73,02_INDICADORES!$A$2:$A$42,0)),""))</f>
        <v/>
      </c>
      <c r="I73" s="9"/>
      <c r="J73" s="16" t="str">
        <f aca="false">IF(OR(I73="",H73=""),"",I73*H73)</f>
        <v/>
      </c>
      <c r="K73" s="9"/>
      <c r="L73" s="9"/>
      <c r="M73" s="9"/>
    </row>
    <row r="74" customFormat="false" ht="15" hidden="false" customHeight="false" outlineLevel="0" collapsed="false">
      <c r="A74" s="9"/>
      <c r="B74" s="9"/>
      <c r="C74" s="11"/>
      <c r="D74" s="9"/>
      <c r="E74" s="9"/>
      <c r="F74" s="22" t="str">
        <f aca="false">IF(E74="","",IFERROR(INDEX(02_INDICADORES!$B$2:$B$42,MATCH(E74,02_INDICADORES!$A$2:$A$42,0)),"ID?"))</f>
        <v/>
      </c>
      <c r="G74" s="21" t="str">
        <f aca="false">IF(E74="","",IFERROR(INDEX(02_INDICADORES!$C$2:$C$42,MATCH(E74,02_INDICADORES!$A$2:$A$42,0)),"ID?"))</f>
        <v/>
      </c>
      <c r="H74" s="22" t="str">
        <f aca="false">IF(E74="","",IFERROR(INDEX(02_INDICADORES!$D$2:$D$42,MATCH(E74,02_INDICADORES!$A$2:$A$42,0)),""))</f>
        <v/>
      </c>
      <c r="I74" s="9"/>
      <c r="J74" s="16" t="str">
        <f aca="false">IF(OR(I74="",H74=""),"",I74*H74)</f>
        <v/>
      </c>
      <c r="K74" s="9"/>
      <c r="L74" s="9"/>
      <c r="M74" s="9"/>
    </row>
    <row r="75" customFormat="false" ht="15" hidden="false" customHeight="false" outlineLevel="0" collapsed="false">
      <c r="A75" s="9"/>
      <c r="B75" s="9"/>
      <c r="C75" s="11"/>
      <c r="D75" s="9"/>
      <c r="E75" s="9"/>
      <c r="F75" s="22" t="str">
        <f aca="false">IF(E75="","",IFERROR(INDEX(02_INDICADORES!$B$2:$B$42,MATCH(E75,02_INDICADORES!$A$2:$A$42,0)),"ID?"))</f>
        <v/>
      </c>
      <c r="G75" s="21" t="str">
        <f aca="false">IF(E75="","",IFERROR(INDEX(02_INDICADORES!$C$2:$C$42,MATCH(E75,02_INDICADORES!$A$2:$A$42,0)),"ID?"))</f>
        <v/>
      </c>
      <c r="H75" s="22" t="str">
        <f aca="false">IF(E75="","",IFERROR(INDEX(02_INDICADORES!$D$2:$D$42,MATCH(E75,02_INDICADORES!$A$2:$A$42,0)),""))</f>
        <v/>
      </c>
      <c r="I75" s="9"/>
      <c r="J75" s="16" t="str">
        <f aca="false">IF(OR(I75="",H75=""),"",I75*H75)</f>
        <v/>
      </c>
      <c r="K75" s="9"/>
      <c r="L75" s="9"/>
      <c r="M75" s="9"/>
    </row>
    <row r="76" customFormat="false" ht="15" hidden="false" customHeight="false" outlineLevel="0" collapsed="false">
      <c r="A76" s="9"/>
      <c r="B76" s="9"/>
      <c r="C76" s="11"/>
      <c r="D76" s="9"/>
      <c r="E76" s="9"/>
      <c r="F76" s="22" t="str">
        <f aca="false">IF(E76="","",IFERROR(INDEX(02_INDICADORES!$B$2:$B$42,MATCH(E76,02_INDICADORES!$A$2:$A$42,0)),"ID?"))</f>
        <v/>
      </c>
      <c r="G76" s="21" t="str">
        <f aca="false">IF(E76="","",IFERROR(INDEX(02_INDICADORES!$C$2:$C$42,MATCH(E76,02_INDICADORES!$A$2:$A$42,0)),"ID?"))</f>
        <v/>
      </c>
      <c r="H76" s="22" t="str">
        <f aca="false">IF(E76="","",IFERROR(INDEX(02_INDICADORES!$D$2:$D$42,MATCH(E76,02_INDICADORES!$A$2:$A$42,0)),""))</f>
        <v/>
      </c>
      <c r="I76" s="9"/>
      <c r="J76" s="16" t="str">
        <f aca="false">IF(OR(I76="",H76=""),"",I76*H76)</f>
        <v/>
      </c>
      <c r="K76" s="9"/>
      <c r="L76" s="9"/>
      <c r="M76" s="9"/>
    </row>
    <row r="77" customFormat="false" ht="15" hidden="false" customHeight="false" outlineLevel="0" collapsed="false">
      <c r="A77" s="9"/>
      <c r="B77" s="9"/>
      <c r="C77" s="11"/>
      <c r="D77" s="9"/>
      <c r="E77" s="9"/>
      <c r="F77" s="22" t="str">
        <f aca="false">IF(E77="","",IFERROR(INDEX(02_INDICADORES!$B$2:$B$42,MATCH(E77,02_INDICADORES!$A$2:$A$42,0)),"ID?"))</f>
        <v/>
      </c>
      <c r="G77" s="21" t="str">
        <f aca="false">IF(E77="","",IFERROR(INDEX(02_INDICADORES!$C$2:$C$42,MATCH(E77,02_INDICADORES!$A$2:$A$42,0)),"ID?"))</f>
        <v/>
      </c>
      <c r="H77" s="22" t="str">
        <f aca="false">IF(E77="","",IFERROR(INDEX(02_INDICADORES!$D$2:$D$42,MATCH(E77,02_INDICADORES!$A$2:$A$42,0)),""))</f>
        <v/>
      </c>
      <c r="I77" s="9"/>
      <c r="J77" s="16" t="str">
        <f aca="false">IF(OR(I77="",H77=""),"",I77*H77)</f>
        <v/>
      </c>
      <c r="K77" s="9"/>
      <c r="L77" s="9"/>
      <c r="M77" s="9"/>
    </row>
    <row r="78" customFormat="false" ht="15" hidden="false" customHeight="false" outlineLevel="0" collapsed="false">
      <c r="A78" s="9"/>
      <c r="B78" s="9"/>
      <c r="C78" s="11"/>
      <c r="D78" s="9"/>
      <c r="E78" s="9"/>
      <c r="F78" s="22" t="str">
        <f aca="false">IF(E78="","",IFERROR(INDEX(02_INDICADORES!$B$2:$B$42,MATCH(E78,02_INDICADORES!$A$2:$A$42,0)),"ID?"))</f>
        <v/>
      </c>
      <c r="G78" s="21" t="str">
        <f aca="false">IF(E78="","",IFERROR(INDEX(02_INDICADORES!$C$2:$C$42,MATCH(E78,02_INDICADORES!$A$2:$A$42,0)),"ID?"))</f>
        <v/>
      </c>
      <c r="H78" s="22" t="str">
        <f aca="false">IF(E78="","",IFERROR(INDEX(02_INDICADORES!$D$2:$D$42,MATCH(E78,02_INDICADORES!$A$2:$A$42,0)),""))</f>
        <v/>
      </c>
      <c r="I78" s="9"/>
      <c r="J78" s="16" t="str">
        <f aca="false">IF(OR(I78="",H78=""),"",I78*H78)</f>
        <v/>
      </c>
      <c r="K78" s="9"/>
      <c r="L78" s="9"/>
      <c r="M78" s="9"/>
    </row>
    <row r="79" customFormat="false" ht="15" hidden="false" customHeight="false" outlineLevel="0" collapsed="false">
      <c r="A79" s="9"/>
      <c r="B79" s="9"/>
      <c r="C79" s="11"/>
      <c r="D79" s="9"/>
      <c r="E79" s="9"/>
      <c r="F79" s="22" t="str">
        <f aca="false">IF(E79="","",IFERROR(INDEX(02_INDICADORES!$B$2:$B$42,MATCH(E79,02_INDICADORES!$A$2:$A$42,0)),"ID?"))</f>
        <v/>
      </c>
      <c r="G79" s="21" t="str">
        <f aca="false">IF(E79="","",IFERROR(INDEX(02_INDICADORES!$C$2:$C$42,MATCH(E79,02_INDICADORES!$A$2:$A$42,0)),"ID?"))</f>
        <v/>
      </c>
      <c r="H79" s="22" t="str">
        <f aca="false">IF(E79="","",IFERROR(INDEX(02_INDICADORES!$D$2:$D$42,MATCH(E79,02_INDICADORES!$A$2:$A$42,0)),""))</f>
        <v/>
      </c>
      <c r="I79" s="9"/>
      <c r="J79" s="16" t="str">
        <f aca="false">IF(OR(I79="",H79=""),"",I79*H79)</f>
        <v/>
      </c>
      <c r="K79" s="9"/>
      <c r="L79" s="9"/>
      <c r="M79" s="9"/>
    </row>
    <row r="80" customFormat="false" ht="15" hidden="false" customHeight="false" outlineLevel="0" collapsed="false">
      <c r="A80" s="9"/>
      <c r="B80" s="9"/>
      <c r="C80" s="11"/>
      <c r="D80" s="9"/>
      <c r="E80" s="9"/>
      <c r="F80" s="22" t="str">
        <f aca="false">IF(E80="","",IFERROR(INDEX(02_INDICADORES!$B$2:$B$42,MATCH(E80,02_INDICADORES!$A$2:$A$42,0)),"ID?"))</f>
        <v/>
      </c>
      <c r="G80" s="21" t="str">
        <f aca="false">IF(E80="","",IFERROR(INDEX(02_INDICADORES!$C$2:$C$42,MATCH(E80,02_INDICADORES!$A$2:$A$42,0)),"ID?"))</f>
        <v/>
      </c>
      <c r="H80" s="22" t="str">
        <f aca="false">IF(E80="","",IFERROR(INDEX(02_INDICADORES!$D$2:$D$42,MATCH(E80,02_INDICADORES!$A$2:$A$42,0)),""))</f>
        <v/>
      </c>
      <c r="I80" s="9"/>
      <c r="J80" s="16" t="str">
        <f aca="false">IF(OR(I80="",H80=""),"",I80*H80)</f>
        <v/>
      </c>
      <c r="K80" s="9"/>
      <c r="L80" s="9"/>
      <c r="M80" s="9"/>
    </row>
    <row r="81" customFormat="false" ht="15" hidden="false" customHeight="false" outlineLevel="0" collapsed="false">
      <c r="A81" s="9"/>
      <c r="B81" s="9"/>
      <c r="C81" s="11"/>
      <c r="D81" s="9"/>
      <c r="E81" s="9"/>
      <c r="F81" s="22" t="str">
        <f aca="false">IF(E81="","",IFERROR(INDEX(02_INDICADORES!$B$2:$B$42,MATCH(E81,02_INDICADORES!$A$2:$A$42,0)),"ID?"))</f>
        <v/>
      </c>
      <c r="G81" s="21" t="str">
        <f aca="false">IF(E81="","",IFERROR(INDEX(02_INDICADORES!$C$2:$C$42,MATCH(E81,02_INDICADORES!$A$2:$A$42,0)),"ID?"))</f>
        <v/>
      </c>
      <c r="H81" s="22" t="str">
        <f aca="false">IF(E81="","",IFERROR(INDEX(02_INDICADORES!$D$2:$D$42,MATCH(E81,02_INDICADORES!$A$2:$A$42,0)),""))</f>
        <v/>
      </c>
      <c r="I81" s="9"/>
      <c r="J81" s="16" t="str">
        <f aca="false">IF(OR(I81="",H81=""),"",I81*H81)</f>
        <v/>
      </c>
      <c r="K81" s="9"/>
      <c r="L81" s="9"/>
      <c r="M81" s="9"/>
    </row>
    <row r="82" customFormat="false" ht="15" hidden="false" customHeight="false" outlineLevel="0" collapsed="false">
      <c r="A82" s="9"/>
      <c r="B82" s="9"/>
      <c r="C82" s="11"/>
      <c r="D82" s="9"/>
      <c r="E82" s="9"/>
      <c r="F82" s="22" t="str">
        <f aca="false">IF(E82="","",IFERROR(INDEX(02_INDICADORES!$B$2:$B$42,MATCH(E82,02_INDICADORES!$A$2:$A$42,0)),"ID?"))</f>
        <v/>
      </c>
      <c r="G82" s="21" t="str">
        <f aca="false">IF(E82="","",IFERROR(INDEX(02_INDICADORES!$C$2:$C$42,MATCH(E82,02_INDICADORES!$A$2:$A$42,0)),"ID?"))</f>
        <v/>
      </c>
      <c r="H82" s="22" t="str">
        <f aca="false">IF(E82="","",IFERROR(INDEX(02_INDICADORES!$D$2:$D$42,MATCH(E82,02_INDICADORES!$A$2:$A$42,0)),""))</f>
        <v/>
      </c>
      <c r="I82" s="9"/>
      <c r="J82" s="16" t="str">
        <f aca="false">IF(OR(I82="",H82=""),"",I82*H82)</f>
        <v/>
      </c>
      <c r="K82" s="9"/>
      <c r="L82" s="9"/>
      <c r="M82" s="9"/>
    </row>
    <row r="83" customFormat="false" ht="15" hidden="false" customHeight="false" outlineLevel="0" collapsed="false">
      <c r="A83" s="9"/>
      <c r="B83" s="9"/>
      <c r="C83" s="11"/>
      <c r="D83" s="9"/>
      <c r="E83" s="9"/>
      <c r="F83" s="22" t="str">
        <f aca="false">IF(E83="","",IFERROR(INDEX(02_INDICADORES!$B$2:$B$42,MATCH(E83,02_INDICADORES!$A$2:$A$42,0)),"ID?"))</f>
        <v/>
      </c>
      <c r="G83" s="21" t="str">
        <f aca="false">IF(E83="","",IFERROR(INDEX(02_INDICADORES!$C$2:$C$42,MATCH(E83,02_INDICADORES!$A$2:$A$42,0)),"ID?"))</f>
        <v/>
      </c>
      <c r="H83" s="22" t="str">
        <f aca="false">IF(E83="","",IFERROR(INDEX(02_INDICADORES!$D$2:$D$42,MATCH(E83,02_INDICADORES!$A$2:$A$42,0)),""))</f>
        <v/>
      </c>
      <c r="I83" s="9"/>
      <c r="J83" s="16" t="str">
        <f aca="false">IF(OR(I83="",H83=""),"",I83*H83)</f>
        <v/>
      </c>
      <c r="K83" s="9"/>
      <c r="L83" s="9"/>
      <c r="M83" s="9"/>
    </row>
    <row r="84" customFormat="false" ht="15" hidden="false" customHeight="false" outlineLevel="0" collapsed="false">
      <c r="A84" s="9"/>
      <c r="B84" s="9"/>
      <c r="C84" s="11"/>
      <c r="D84" s="9"/>
      <c r="E84" s="9"/>
      <c r="F84" s="22" t="str">
        <f aca="false">IF(E84="","",IFERROR(INDEX(02_INDICADORES!$B$2:$B$42,MATCH(E84,02_INDICADORES!$A$2:$A$42,0)),"ID?"))</f>
        <v/>
      </c>
      <c r="G84" s="21" t="str">
        <f aca="false">IF(E84="","",IFERROR(INDEX(02_INDICADORES!$C$2:$C$42,MATCH(E84,02_INDICADORES!$A$2:$A$42,0)),"ID?"))</f>
        <v/>
      </c>
      <c r="H84" s="22" t="str">
        <f aca="false">IF(E84="","",IFERROR(INDEX(02_INDICADORES!$D$2:$D$42,MATCH(E84,02_INDICADORES!$A$2:$A$42,0)),""))</f>
        <v/>
      </c>
      <c r="I84" s="9"/>
      <c r="J84" s="16" t="str">
        <f aca="false">IF(OR(I84="",H84=""),"",I84*H84)</f>
        <v/>
      </c>
      <c r="K84" s="9"/>
      <c r="L84" s="9"/>
      <c r="M84" s="9"/>
    </row>
    <row r="85" customFormat="false" ht="15" hidden="false" customHeight="false" outlineLevel="0" collapsed="false">
      <c r="A85" s="9"/>
      <c r="B85" s="9"/>
      <c r="C85" s="11"/>
      <c r="D85" s="9"/>
      <c r="E85" s="9"/>
      <c r="F85" s="22" t="str">
        <f aca="false">IF(E85="","",IFERROR(INDEX(02_INDICADORES!$B$2:$B$42,MATCH(E85,02_INDICADORES!$A$2:$A$42,0)),"ID?"))</f>
        <v/>
      </c>
      <c r="G85" s="21" t="str">
        <f aca="false">IF(E85="","",IFERROR(INDEX(02_INDICADORES!$C$2:$C$42,MATCH(E85,02_INDICADORES!$A$2:$A$42,0)),"ID?"))</f>
        <v/>
      </c>
      <c r="H85" s="22" t="str">
        <f aca="false">IF(E85="","",IFERROR(INDEX(02_INDICADORES!$D$2:$D$42,MATCH(E85,02_INDICADORES!$A$2:$A$42,0)),""))</f>
        <v/>
      </c>
      <c r="I85" s="9"/>
      <c r="J85" s="16" t="str">
        <f aca="false">IF(OR(I85="",H85=""),"",I85*H85)</f>
        <v/>
      </c>
      <c r="K85" s="9"/>
      <c r="L85" s="9"/>
      <c r="M85" s="9"/>
    </row>
    <row r="86" customFormat="false" ht="15" hidden="false" customHeight="false" outlineLevel="0" collapsed="false">
      <c r="A86" s="9"/>
      <c r="B86" s="9"/>
      <c r="C86" s="11"/>
      <c r="D86" s="9"/>
      <c r="E86" s="9"/>
      <c r="F86" s="22" t="str">
        <f aca="false">IF(E86="","",IFERROR(INDEX(02_INDICADORES!$B$2:$B$42,MATCH(E86,02_INDICADORES!$A$2:$A$42,0)),"ID?"))</f>
        <v/>
      </c>
      <c r="G86" s="21" t="str">
        <f aca="false">IF(E86="","",IFERROR(INDEX(02_INDICADORES!$C$2:$C$42,MATCH(E86,02_INDICADORES!$A$2:$A$42,0)),"ID?"))</f>
        <v/>
      </c>
      <c r="H86" s="22" t="str">
        <f aca="false">IF(E86="","",IFERROR(INDEX(02_INDICADORES!$D$2:$D$42,MATCH(E86,02_INDICADORES!$A$2:$A$42,0)),""))</f>
        <v/>
      </c>
      <c r="I86" s="9"/>
      <c r="J86" s="16" t="str">
        <f aca="false">IF(OR(I86="",H86=""),"",I86*H86)</f>
        <v/>
      </c>
      <c r="K86" s="9"/>
      <c r="L86" s="9"/>
      <c r="M86" s="9"/>
    </row>
    <row r="87" customFormat="false" ht="15" hidden="false" customHeight="false" outlineLevel="0" collapsed="false">
      <c r="A87" s="9"/>
      <c r="B87" s="9"/>
      <c r="C87" s="11"/>
      <c r="D87" s="9"/>
      <c r="E87" s="9"/>
      <c r="F87" s="22" t="str">
        <f aca="false">IF(E87="","",IFERROR(INDEX(02_INDICADORES!$B$2:$B$42,MATCH(E87,02_INDICADORES!$A$2:$A$42,0)),"ID?"))</f>
        <v/>
      </c>
      <c r="G87" s="21" t="str">
        <f aca="false">IF(E87="","",IFERROR(INDEX(02_INDICADORES!$C$2:$C$42,MATCH(E87,02_INDICADORES!$A$2:$A$42,0)),"ID?"))</f>
        <v/>
      </c>
      <c r="H87" s="22" t="str">
        <f aca="false">IF(E87="","",IFERROR(INDEX(02_INDICADORES!$D$2:$D$42,MATCH(E87,02_INDICADORES!$A$2:$A$42,0)),""))</f>
        <v/>
      </c>
      <c r="I87" s="9"/>
      <c r="J87" s="16" t="str">
        <f aca="false">IF(OR(I87="",H87=""),"",I87*H87)</f>
        <v/>
      </c>
      <c r="K87" s="9"/>
      <c r="L87" s="9"/>
      <c r="M87" s="9"/>
    </row>
    <row r="88" customFormat="false" ht="15" hidden="false" customHeight="false" outlineLevel="0" collapsed="false">
      <c r="A88" s="9"/>
      <c r="B88" s="9"/>
      <c r="C88" s="11"/>
      <c r="D88" s="9"/>
      <c r="E88" s="9"/>
      <c r="F88" s="22" t="str">
        <f aca="false">IF(E88="","",IFERROR(INDEX(02_INDICADORES!$B$2:$B$42,MATCH(E88,02_INDICADORES!$A$2:$A$42,0)),"ID?"))</f>
        <v/>
      </c>
      <c r="G88" s="21" t="str">
        <f aca="false">IF(E88="","",IFERROR(INDEX(02_INDICADORES!$C$2:$C$42,MATCH(E88,02_INDICADORES!$A$2:$A$42,0)),"ID?"))</f>
        <v/>
      </c>
      <c r="H88" s="22" t="str">
        <f aca="false">IF(E88="","",IFERROR(INDEX(02_INDICADORES!$D$2:$D$42,MATCH(E88,02_INDICADORES!$A$2:$A$42,0)),""))</f>
        <v/>
      </c>
      <c r="I88" s="9"/>
      <c r="J88" s="16" t="str">
        <f aca="false">IF(OR(I88="",H88=""),"",I88*H88)</f>
        <v/>
      </c>
      <c r="K88" s="9"/>
      <c r="L88" s="9"/>
      <c r="M88" s="9"/>
    </row>
    <row r="89" customFormat="false" ht="15" hidden="false" customHeight="false" outlineLevel="0" collapsed="false">
      <c r="A89" s="9"/>
      <c r="B89" s="9"/>
      <c r="C89" s="11"/>
      <c r="D89" s="9"/>
      <c r="E89" s="9"/>
      <c r="F89" s="22" t="str">
        <f aca="false">IF(E89="","",IFERROR(INDEX(02_INDICADORES!$B$2:$B$42,MATCH(E89,02_INDICADORES!$A$2:$A$42,0)),"ID?"))</f>
        <v/>
      </c>
      <c r="G89" s="21" t="str">
        <f aca="false">IF(E89="","",IFERROR(INDEX(02_INDICADORES!$C$2:$C$42,MATCH(E89,02_INDICADORES!$A$2:$A$42,0)),"ID?"))</f>
        <v/>
      </c>
      <c r="H89" s="22" t="str">
        <f aca="false">IF(E89="","",IFERROR(INDEX(02_INDICADORES!$D$2:$D$42,MATCH(E89,02_INDICADORES!$A$2:$A$42,0)),""))</f>
        <v/>
      </c>
      <c r="I89" s="9"/>
      <c r="J89" s="16" t="str">
        <f aca="false">IF(OR(I89="",H89=""),"",I89*H89)</f>
        <v/>
      </c>
      <c r="K89" s="9"/>
      <c r="L89" s="9"/>
      <c r="M89" s="9"/>
    </row>
    <row r="90" customFormat="false" ht="15" hidden="false" customHeight="false" outlineLevel="0" collapsed="false">
      <c r="A90" s="9"/>
      <c r="B90" s="9"/>
      <c r="C90" s="11"/>
      <c r="D90" s="9"/>
      <c r="E90" s="9"/>
      <c r="F90" s="22" t="str">
        <f aca="false">IF(E90="","",IFERROR(INDEX(02_INDICADORES!$B$2:$B$42,MATCH(E90,02_INDICADORES!$A$2:$A$42,0)),"ID?"))</f>
        <v/>
      </c>
      <c r="G90" s="21" t="str">
        <f aca="false">IF(E90="","",IFERROR(INDEX(02_INDICADORES!$C$2:$C$42,MATCH(E90,02_INDICADORES!$A$2:$A$42,0)),"ID?"))</f>
        <v/>
      </c>
      <c r="H90" s="22" t="str">
        <f aca="false">IF(E90="","",IFERROR(INDEX(02_INDICADORES!$D$2:$D$42,MATCH(E90,02_INDICADORES!$A$2:$A$42,0)),""))</f>
        <v/>
      </c>
      <c r="I90" s="9"/>
      <c r="J90" s="16" t="str">
        <f aca="false">IF(OR(I90="",H90=""),"",I90*H90)</f>
        <v/>
      </c>
      <c r="K90" s="9"/>
      <c r="L90" s="9"/>
      <c r="M90" s="9"/>
    </row>
    <row r="91" customFormat="false" ht="15" hidden="false" customHeight="false" outlineLevel="0" collapsed="false">
      <c r="A91" s="9"/>
      <c r="B91" s="9"/>
      <c r="C91" s="11"/>
      <c r="D91" s="9"/>
      <c r="E91" s="9"/>
      <c r="F91" s="22" t="str">
        <f aca="false">IF(E91="","",IFERROR(INDEX(02_INDICADORES!$B$2:$B$42,MATCH(E91,02_INDICADORES!$A$2:$A$42,0)),"ID?"))</f>
        <v/>
      </c>
      <c r="G91" s="21" t="str">
        <f aca="false">IF(E91="","",IFERROR(INDEX(02_INDICADORES!$C$2:$C$42,MATCH(E91,02_INDICADORES!$A$2:$A$42,0)),"ID?"))</f>
        <v/>
      </c>
      <c r="H91" s="22" t="str">
        <f aca="false">IF(E91="","",IFERROR(INDEX(02_INDICADORES!$D$2:$D$42,MATCH(E91,02_INDICADORES!$A$2:$A$42,0)),""))</f>
        <v/>
      </c>
      <c r="I91" s="9"/>
      <c r="J91" s="16" t="str">
        <f aca="false">IF(OR(I91="",H91=""),"",I91*H91)</f>
        <v/>
      </c>
      <c r="K91" s="9"/>
      <c r="L91" s="9"/>
      <c r="M91" s="9"/>
    </row>
    <row r="92" customFormat="false" ht="15" hidden="false" customHeight="false" outlineLevel="0" collapsed="false">
      <c r="A92" s="9"/>
      <c r="B92" s="9"/>
      <c r="C92" s="11"/>
      <c r="D92" s="9"/>
      <c r="E92" s="9"/>
      <c r="F92" s="22" t="str">
        <f aca="false">IF(E92="","",IFERROR(INDEX(02_INDICADORES!$B$2:$B$42,MATCH(E92,02_INDICADORES!$A$2:$A$42,0)),"ID?"))</f>
        <v/>
      </c>
      <c r="G92" s="21" t="str">
        <f aca="false">IF(E92="","",IFERROR(INDEX(02_INDICADORES!$C$2:$C$42,MATCH(E92,02_INDICADORES!$A$2:$A$42,0)),"ID?"))</f>
        <v/>
      </c>
      <c r="H92" s="22" t="str">
        <f aca="false">IF(E92="","",IFERROR(INDEX(02_INDICADORES!$D$2:$D$42,MATCH(E92,02_INDICADORES!$A$2:$A$42,0)),""))</f>
        <v/>
      </c>
      <c r="I92" s="9"/>
      <c r="J92" s="16" t="str">
        <f aca="false">IF(OR(I92="",H92=""),"",I92*H92)</f>
        <v/>
      </c>
      <c r="K92" s="9"/>
      <c r="L92" s="9"/>
      <c r="M92" s="9"/>
    </row>
    <row r="93" customFormat="false" ht="15" hidden="false" customHeight="false" outlineLevel="0" collapsed="false">
      <c r="A93" s="9"/>
      <c r="B93" s="9"/>
      <c r="C93" s="11"/>
      <c r="D93" s="9"/>
      <c r="E93" s="9"/>
      <c r="F93" s="22" t="str">
        <f aca="false">IF(E93="","",IFERROR(INDEX(02_INDICADORES!$B$2:$B$42,MATCH(E93,02_INDICADORES!$A$2:$A$42,0)),"ID?"))</f>
        <v/>
      </c>
      <c r="G93" s="21" t="str">
        <f aca="false">IF(E93="","",IFERROR(INDEX(02_INDICADORES!$C$2:$C$42,MATCH(E93,02_INDICADORES!$A$2:$A$42,0)),"ID?"))</f>
        <v/>
      </c>
      <c r="H93" s="22" t="str">
        <f aca="false">IF(E93="","",IFERROR(INDEX(02_INDICADORES!$D$2:$D$42,MATCH(E93,02_INDICADORES!$A$2:$A$42,0)),""))</f>
        <v/>
      </c>
      <c r="I93" s="9"/>
      <c r="J93" s="16" t="str">
        <f aca="false">IF(OR(I93="",H93=""),"",I93*H93)</f>
        <v/>
      </c>
      <c r="K93" s="9"/>
      <c r="L93" s="9"/>
      <c r="M93" s="9"/>
    </row>
    <row r="94" customFormat="false" ht="15" hidden="false" customHeight="false" outlineLevel="0" collapsed="false">
      <c r="A94" s="9"/>
      <c r="B94" s="9"/>
      <c r="C94" s="11"/>
      <c r="D94" s="9"/>
      <c r="E94" s="9"/>
      <c r="F94" s="22" t="str">
        <f aca="false">IF(E94="","",IFERROR(INDEX(02_INDICADORES!$B$2:$B$42,MATCH(E94,02_INDICADORES!$A$2:$A$42,0)),"ID?"))</f>
        <v/>
      </c>
      <c r="G94" s="21" t="str">
        <f aca="false">IF(E94="","",IFERROR(INDEX(02_INDICADORES!$C$2:$C$42,MATCH(E94,02_INDICADORES!$A$2:$A$42,0)),"ID?"))</f>
        <v/>
      </c>
      <c r="H94" s="22" t="str">
        <f aca="false">IF(E94="","",IFERROR(INDEX(02_INDICADORES!$D$2:$D$42,MATCH(E94,02_INDICADORES!$A$2:$A$42,0)),""))</f>
        <v/>
      </c>
      <c r="I94" s="9"/>
      <c r="J94" s="16" t="str">
        <f aca="false">IF(OR(I94="",H94=""),"",I94*H94)</f>
        <v/>
      </c>
      <c r="K94" s="9"/>
      <c r="L94" s="9"/>
      <c r="M94" s="9"/>
    </row>
    <row r="95" customFormat="false" ht="15" hidden="false" customHeight="false" outlineLevel="0" collapsed="false">
      <c r="A95" s="9"/>
      <c r="B95" s="9"/>
      <c r="C95" s="11"/>
      <c r="D95" s="9"/>
      <c r="E95" s="9"/>
      <c r="F95" s="22" t="str">
        <f aca="false">IF(E95="","",IFERROR(INDEX(02_INDICADORES!$B$2:$B$42,MATCH(E95,02_INDICADORES!$A$2:$A$42,0)),"ID?"))</f>
        <v/>
      </c>
      <c r="G95" s="21" t="str">
        <f aca="false">IF(E95="","",IFERROR(INDEX(02_INDICADORES!$C$2:$C$42,MATCH(E95,02_INDICADORES!$A$2:$A$42,0)),"ID?"))</f>
        <v/>
      </c>
      <c r="H95" s="22" t="str">
        <f aca="false">IF(E95="","",IFERROR(INDEX(02_INDICADORES!$D$2:$D$42,MATCH(E95,02_INDICADORES!$A$2:$A$42,0)),""))</f>
        <v/>
      </c>
      <c r="I95" s="9"/>
      <c r="J95" s="16" t="str">
        <f aca="false">IF(OR(I95="",H95=""),"",I95*H95)</f>
        <v/>
      </c>
      <c r="K95" s="9"/>
      <c r="L95" s="9"/>
      <c r="M95" s="9"/>
    </row>
    <row r="96" customFormat="false" ht="15" hidden="false" customHeight="false" outlineLevel="0" collapsed="false">
      <c r="A96" s="9"/>
      <c r="B96" s="9"/>
      <c r="C96" s="11"/>
      <c r="D96" s="9"/>
      <c r="E96" s="9"/>
      <c r="F96" s="22" t="str">
        <f aca="false">IF(E96="","",IFERROR(INDEX(02_INDICADORES!$B$2:$B$42,MATCH(E96,02_INDICADORES!$A$2:$A$42,0)),"ID?"))</f>
        <v/>
      </c>
      <c r="G96" s="21" t="str">
        <f aca="false">IF(E96="","",IFERROR(INDEX(02_INDICADORES!$C$2:$C$42,MATCH(E96,02_INDICADORES!$A$2:$A$42,0)),"ID?"))</f>
        <v/>
      </c>
      <c r="H96" s="22" t="str">
        <f aca="false">IF(E96="","",IFERROR(INDEX(02_INDICADORES!$D$2:$D$42,MATCH(E96,02_INDICADORES!$A$2:$A$42,0)),""))</f>
        <v/>
      </c>
      <c r="I96" s="9"/>
      <c r="J96" s="16" t="str">
        <f aca="false">IF(OR(I96="",H96=""),"",I96*H96)</f>
        <v/>
      </c>
      <c r="K96" s="9"/>
      <c r="L96" s="9"/>
      <c r="M96" s="9"/>
    </row>
    <row r="97" customFormat="false" ht="15" hidden="false" customHeight="false" outlineLevel="0" collapsed="false">
      <c r="A97" s="9"/>
      <c r="B97" s="9"/>
      <c r="C97" s="11"/>
      <c r="D97" s="9"/>
      <c r="E97" s="9"/>
      <c r="F97" s="22" t="str">
        <f aca="false">IF(E97="","",IFERROR(INDEX(02_INDICADORES!$B$2:$B$42,MATCH(E97,02_INDICADORES!$A$2:$A$42,0)),"ID?"))</f>
        <v/>
      </c>
      <c r="G97" s="21" t="str">
        <f aca="false">IF(E97="","",IFERROR(INDEX(02_INDICADORES!$C$2:$C$42,MATCH(E97,02_INDICADORES!$A$2:$A$42,0)),"ID?"))</f>
        <v/>
      </c>
      <c r="H97" s="22" t="str">
        <f aca="false">IF(E97="","",IFERROR(INDEX(02_INDICADORES!$D$2:$D$42,MATCH(E97,02_INDICADORES!$A$2:$A$42,0)),""))</f>
        <v/>
      </c>
      <c r="I97" s="9"/>
      <c r="J97" s="16" t="str">
        <f aca="false">IF(OR(I97="",H97=""),"",I97*H97)</f>
        <v/>
      </c>
      <c r="K97" s="9"/>
      <c r="L97" s="9"/>
      <c r="M97" s="9"/>
    </row>
    <row r="98" customFormat="false" ht="15" hidden="false" customHeight="false" outlineLevel="0" collapsed="false">
      <c r="A98" s="9"/>
      <c r="B98" s="9"/>
      <c r="C98" s="11"/>
      <c r="D98" s="9"/>
      <c r="E98" s="9"/>
      <c r="F98" s="22" t="str">
        <f aca="false">IF(E98="","",IFERROR(INDEX(02_INDICADORES!$B$2:$B$42,MATCH(E98,02_INDICADORES!$A$2:$A$42,0)),"ID?"))</f>
        <v/>
      </c>
      <c r="G98" s="21" t="str">
        <f aca="false">IF(E98="","",IFERROR(INDEX(02_INDICADORES!$C$2:$C$42,MATCH(E98,02_INDICADORES!$A$2:$A$42,0)),"ID?"))</f>
        <v/>
      </c>
      <c r="H98" s="22" t="str">
        <f aca="false">IF(E98="","",IFERROR(INDEX(02_INDICADORES!$D$2:$D$42,MATCH(E98,02_INDICADORES!$A$2:$A$42,0)),""))</f>
        <v/>
      </c>
      <c r="I98" s="9"/>
      <c r="J98" s="16" t="str">
        <f aca="false">IF(OR(I98="",H98=""),"",I98*H98)</f>
        <v/>
      </c>
      <c r="K98" s="9"/>
      <c r="L98" s="9"/>
      <c r="M98" s="9"/>
    </row>
    <row r="99" customFormat="false" ht="15" hidden="false" customHeight="false" outlineLevel="0" collapsed="false">
      <c r="A99" s="9"/>
      <c r="B99" s="9"/>
      <c r="C99" s="11"/>
      <c r="D99" s="9"/>
      <c r="E99" s="9"/>
      <c r="F99" s="22" t="str">
        <f aca="false">IF(E99="","",IFERROR(INDEX(02_INDICADORES!$B$2:$B$42,MATCH(E99,02_INDICADORES!$A$2:$A$42,0)),"ID?"))</f>
        <v/>
      </c>
      <c r="G99" s="21" t="str">
        <f aca="false">IF(E99="","",IFERROR(INDEX(02_INDICADORES!$C$2:$C$42,MATCH(E99,02_INDICADORES!$A$2:$A$42,0)),"ID?"))</f>
        <v/>
      </c>
      <c r="H99" s="22" t="str">
        <f aca="false">IF(E99="","",IFERROR(INDEX(02_INDICADORES!$D$2:$D$42,MATCH(E99,02_INDICADORES!$A$2:$A$42,0)),""))</f>
        <v/>
      </c>
      <c r="I99" s="9"/>
      <c r="J99" s="16" t="str">
        <f aca="false">IF(OR(I99="",H99=""),"",I99*H99)</f>
        <v/>
      </c>
      <c r="K99" s="9"/>
      <c r="L99" s="9"/>
      <c r="M99" s="9"/>
    </row>
    <row r="100" customFormat="false" ht="15" hidden="false" customHeight="false" outlineLevel="0" collapsed="false">
      <c r="A100" s="9"/>
      <c r="B100" s="9"/>
      <c r="C100" s="11"/>
      <c r="D100" s="9"/>
      <c r="E100" s="9"/>
      <c r="F100" s="22" t="str">
        <f aca="false">IF(E100="","",IFERROR(INDEX(02_INDICADORES!$B$2:$B$42,MATCH(E100,02_INDICADORES!$A$2:$A$42,0)),"ID?"))</f>
        <v/>
      </c>
      <c r="G100" s="21" t="str">
        <f aca="false">IF(E100="","",IFERROR(INDEX(02_INDICADORES!$C$2:$C$42,MATCH(E100,02_INDICADORES!$A$2:$A$42,0)),"ID?"))</f>
        <v/>
      </c>
      <c r="H100" s="22" t="str">
        <f aca="false">IF(E100="","",IFERROR(INDEX(02_INDICADORES!$D$2:$D$42,MATCH(E100,02_INDICADORES!$A$2:$A$42,0)),""))</f>
        <v/>
      </c>
      <c r="I100" s="9"/>
      <c r="J100" s="16" t="str">
        <f aca="false">IF(OR(I100="",H100=""),"",I100*H100)</f>
        <v/>
      </c>
      <c r="K100" s="9"/>
      <c r="L100" s="9"/>
      <c r="M100" s="9"/>
    </row>
    <row r="101" customFormat="false" ht="15" hidden="false" customHeight="false" outlineLevel="0" collapsed="false">
      <c r="A101" s="9"/>
      <c r="B101" s="9"/>
      <c r="C101" s="11"/>
      <c r="D101" s="9"/>
      <c r="E101" s="9"/>
      <c r="F101" s="22" t="str">
        <f aca="false">IF(E101="","",IFERROR(INDEX(02_INDICADORES!$B$2:$B$42,MATCH(E101,02_INDICADORES!$A$2:$A$42,0)),"ID?"))</f>
        <v/>
      </c>
      <c r="G101" s="21" t="str">
        <f aca="false">IF(E101="","",IFERROR(INDEX(02_INDICADORES!$C$2:$C$42,MATCH(E101,02_INDICADORES!$A$2:$A$42,0)),"ID?"))</f>
        <v/>
      </c>
      <c r="H101" s="22" t="str">
        <f aca="false">IF(E101="","",IFERROR(INDEX(02_INDICADORES!$D$2:$D$42,MATCH(E101,02_INDICADORES!$A$2:$A$42,0)),""))</f>
        <v/>
      </c>
      <c r="I101" s="9"/>
      <c r="J101" s="16" t="str">
        <f aca="false">IF(OR(I101="",H101=""),"",I101*H101)</f>
        <v/>
      </c>
      <c r="K101" s="9"/>
      <c r="L101" s="9"/>
      <c r="M101" s="9"/>
    </row>
    <row r="102" customFormat="false" ht="15" hidden="false" customHeight="false" outlineLevel="0" collapsed="false">
      <c r="A102" s="9"/>
      <c r="B102" s="9"/>
      <c r="C102" s="11"/>
      <c r="D102" s="9"/>
      <c r="E102" s="9"/>
      <c r="F102" s="22" t="str">
        <f aca="false">IF(E102="","",IFERROR(INDEX(02_INDICADORES!$B$2:$B$42,MATCH(E102,02_INDICADORES!$A$2:$A$42,0)),"ID?"))</f>
        <v/>
      </c>
      <c r="G102" s="21" t="str">
        <f aca="false">IF(E102="","",IFERROR(INDEX(02_INDICADORES!$C$2:$C$42,MATCH(E102,02_INDICADORES!$A$2:$A$42,0)),"ID?"))</f>
        <v/>
      </c>
      <c r="H102" s="22" t="str">
        <f aca="false">IF(E102="","",IFERROR(INDEX(02_INDICADORES!$D$2:$D$42,MATCH(E102,02_INDICADORES!$A$2:$A$42,0)),""))</f>
        <v/>
      </c>
      <c r="I102" s="9"/>
      <c r="J102" s="16" t="str">
        <f aca="false">IF(OR(I102="",H102=""),"",I102*H102)</f>
        <v/>
      </c>
      <c r="K102" s="9"/>
      <c r="L102" s="9"/>
      <c r="M102" s="9"/>
    </row>
    <row r="103" customFormat="false" ht="15" hidden="false" customHeight="false" outlineLevel="0" collapsed="false">
      <c r="A103" s="9"/>
      <c r="B103" s="9"/>
      <c r="C103" s="11"/>
      <c r="D103" s="9"/>
      <c r="E103" s="9"/>
      <c r="F103" s="22" t="str">
        <f aca="false">IF(E103="","",IFERROR(INDEX(02_INDICADORES!$B$2:$B$42,MATCH(E103,02_INDICADORES!$A$2:$A$42,0)),"ID?"))</f>
        <v/>
      </c>
      <c r="G103" s="21" t="str">
        <f aca="false">IF(E103="","",IFERROR(INDEX(02_INDICADORES!$C$2:$C$42,MATCH(E103,02_INDICADORES!$A$2:$A$42,0)),"ID?"))</f>
        <v/>
      </c>
      <c r="H103" s="22" t="str">
        <f aca="false">IF(E103="","",IFERROR(INDEX(02_INDICADORES!$D$2:$D$42,MATCH(E103,02_INDICADORES!$A$2:$A$42,0)),""))</f>
        <v/>
      </c>
      <c r="I103" s="9"/>
      <c r="J103" s="16" t="str">
        <f aca="false">IF(OR(I103="",H103=""),"",I103*H103)</f>
        <v/>
      </c>
      <c r="K103" s="9"/>
      <c r="L103" s="9"/>
      <c r="M103" s="9"/>
    </row>
    <row r="104" customFormat="false" ht="15" hidden="false" customHeight="false" outlineLevel="0" collapsed="false">
      <c r="A104" s="9"/>
      <c r="B104" s="9"/>
      <c r="C104" s="11"/>
      <c r="D104" s="9"/>
      <c r="E104" s="9"/>
      <c r="F104" s="22" t="str">
        <f aca="false">IF(E104="","",IFERROR(INDEX(02_INDICADORES!$B$2:$B$42,MATCH(E104,02_INDICADORES!$A$2:$A$42,0)),"ID?"))</f>
        <v/>
      </c>
      <c r="G104" s="21" t="str">
        <f aca="false">IF(E104="","",IFERROR(INDEX(02_INDICADORES!$C$2:$C$42,MATCH(E104,02_INDICADORES!$A$2:$A$42,0)),"ID?"))</f>
        <v/>
      </c>
      <c r="H104" s="22" t="str">
        <f aca="false">IF(E104="","",IFERROR(INDEX(02_INDICADORES!$D$2:$D$42,MATCH(E104,02_INDICADORES!$A$2:$A$42,0)),""))</f>
        <v/>
      </c>
      <c r="I104" s="9"/>
      <c r="J104" s="16" t="str">
        <f aca="false">IF(OR(I104="",H104=""),"",I104*H104)</f>
        <v/>
      </c>
      <c r="K104" s="9"/>
      <c r="L104" s="9"/>
      <c r="M104" s="9"/>
    </row>
    <row r="105" customFormat="false" ht="15" hidden="false" customHeight="false" outlineLevel="0" collapsed="false">
      <c r="A105" s="9"/>
      <c r="B105" s="9"/>
      <c r="C105" s="11"/>
      <c r="D105" s="9"/>
      <c r="E105" s="9"/>
      <c r="F105" s="22" t="str">
        <f aca="false">IF(E105="","",IFERROR(INDEX(02_INDICADORES!$B$2:$B$42,MATCH(E105,02_INDICADORES!$A$2:$A$42,0)),"ID?"))</f>
        <v/>
      </c>
      <c r="G105" s="21" t="str">
        <f aca="false">IF(E105="","",IFERROR(INDEX(02_INDICADORES!$C$2:$C$42,MATCH(E105,02_INDICADORES!$A$2:$A$42,0)),"ID?"))</f>
        <v/>
      </c>
      <c r="H105" s="22" t="str">
        <f aca="false">IF(E105="","",IFERROR(INDEX(02_INDICADORES!$D$2:$D$42,MATCH(E105,02_INDICADORES!$A$2:$A$42,0)),""))</f>
        <v/>
      </c>
      <c r="I105" s="9"/>
      <c r="J105" s="16" t="str">
        <f aca="false">IF(OR(I105="",H105=""),"",I105*H105)</f>
        <v/>
      </c>
      <c r="K105" s="9"/>
      <c r="L105" s="9"/>
      <c r="M105" s="9"/>
    </row>
    <row r="106" customFormat="false" ht="15" hidden="false" customHeight="false" outlineLevel="0" collapsed="false">
      <c r="A106" s="9"/>
      <c r="B106" s="9"/>
      <c r="C106" s="11"/>
      <c r="D106" s="9"/>
      <c r="E106" s="9"/>
      <c r="F106" s="22" t="str">
        <f aca="false">IF(E106="","",IFERROR(INDEX(02_INDICADORES!$B$2:$B$42,MATCH(E106,02_INDICADORES!$A$2:$A$42,0)),"ID?"))</f>
        <v/>
      </c>
      <c r="G106" s="21" t="str">
        <f aca="false">IF(E106="","",IFERROR(INDEX(02_INDICADORES!$C$2:$C$42,MATCH(E106,02_INDICADORES!$A$2:$A$42,0)),"ID?"))</f>
        <v/>
      </c>
      <c r="H106" s="22" t="str">
        <f aca="false">IF(E106="","",IFERROR(INDEX(02_INDICADORES!$D$2:$D$42,MATCH(E106,02_INDICADORES!$A$2:$A$42,0)),""))</f>
        <v/>
      </c>
      <c r="I106" s="9"/>
      <c r="J106" s="16" t="str">
        <f aca="false">IF(OR(I106="",H106=""),"",I106*H106)</f>
        <v/>
      </c>
      <c r="K106" s="9"/>
      <c r="L106" s="9"/>
      <c r="M106" s="9"/>
    </row>
    <row r="107" customFormat="false" ht="15" hidden="false" customHeight="false" outlineLevel="0" collapsed="false">
      <c r="A107" s="9"/>
      <c r="B107" s="9"/>
      <c r="C107" s="11"/>
      <c r="D107" s="9"/>
      <c r="E107" s="9"/>
      <c r="F107" s="22" t="str">
        <f aca="false">IF(E107="","",IFERROR(INDEX(02_INDICADORES!$B$2:$B$42,MATCH(E107,02_INDICADORES!$A$2:$A$42,0)),"ID?"))</f>
        <v/>
      </c>
      <c r="G107" s="21" t="str">
        <f aca="false">IF(E107="","",IFERROR(INDEX(02_INDICADORES!$C$2:$C$42,MATCH(E107,02_INDICADORES!$A$2:$A$42,0)),"ID?"))</f>
        <v/>
      </c>
      <c r="H107" s="22" t="str">
        <f aca="false">IF(E107="","",IFERROR(INDEX(02_INDICADORES!$D$2:$D$42,MATCH(E107,02_INDICADORES!$A$2:$A$42,0)),""))</f>
        <v/>
      </c>
      <c r="I107" s="9"/>
      <c r="J107" s="16" t="str">
        <f aca="false">IF(OR(I107="",H107=""),"",I107*H107)</f>
        <v/>
      </c>
      <c r="K107" s="9"/>
      <c r="L107" s="9"/>
      <c r="M107" s="9"/>
    </row>
    <row r="108" customFormat="false" ht="15" hidden="false" customHeight="false" outlineLevel="0" collapsed="false">
      <c r="A108" s="9"/>
      <c r="B108" s="9"/>
      <c r="C108" s="11"/>
      <c r="D108" s="9"/>
      <c r="E108" s="9"/>
      <c r="F108" s="22" t="str">
        <f aca="false">IF(E108="","",IFERROR(INDEX(02_INDICADORES!$B$2:$B$42,MATCH(E108,02_INDICADORES!$A$2:$A$42,0)),"ID?"))</f>
        <v/>
      </c>
      <c r="G108" s="21" t="str">
        <f aca="false">IF(E108="","",IFERROR(INDEX(02_INDICADORES!$C$2:$C$42,MATCH(E108,02_INDICADORES!$A$2:$A$42,0)),"ID?"))</f>
        <v/>
      </c>
      <c r="H108" s="22" t="str">
        <f aca="false">IF(E108="","",IFERROR(INDEX(02_INDICADORES!$D$2:$D$42,MATCH(E108,02_INDICADORES!$A$2:$A$42,0)),""))</f>
        <v/>
      </c>
      <c r="I108" s="9"/>
      <c r="J108" s="16" t="str">
        <f aca="false">IF(OR(I108="",H108=""),"",I108*H108)</f>
        <v/>
      </c>
      <c r="K108" s="9"/>
      <c r="L108" s="9"/>
      <c r="M108" s="9"/>
    </row>
    <row r="109" customFormat="false" ht="15" hidden="false" customHeight="false" outlineLevel="0" collapsed="false">
      <c r="A109" s="9"/>
      <c r="B109" s="9"/>
      <c r="C109" s="11"/>
      <c r="D109" s="9"/>
      <c r="E109" s="9"/>
      <c r="F109" s="22" t="str">
        <f aca="false">IF(E109="","",IFERROR(INDEX(02_INDICADORES!$B$2:$B$42,MATCH(E109,02_INDICADORES!$A$2:$A$42,0)),"ID?"))</f>
        <v/>
      </c>
      <c r="G109" s="21" t="str">
        <f aca="false">IF(E109="","",IFERROR(INDEX(02_INDICADORES!$C$2:$C$42,MATCH(E109,02_INDICADORES!$A$2:$A$42,0)),"ID?"))</f>
        <v/>
      </c>
      <c r="H109" s="22" t="str">
        <f aca="false">IF(E109="","",IFERROR(INDEX(02_INDICADORES!$D$2:$D$42,MATCH(E109,02_INDICADORES!$A$2:$A$42,0)),""))</f>
        <v/>
      </c>
      <c r="I109" s="9"/>
      <c r="J109" s="16" t="str">
        <f aca="false">IF(OR(I109="",H109=""),"",I109*H109)</f>
        <v/>
      </c>
      <c r="K109" s="9"/>
      <c r="L109" s="9"/>
      <c r="M109" s="9"/>
    </row>
    <row r="110" customFormat="false" ht="15" hidden="false" customHeight="false" outlineLevel="0" collapsed="false">
      <c r="A110" s="9"/>
      <c r="B110" s="9"/>
      <c r="C110" s="11"/>
      <c r="D110" s="9"/>
      <c r="E110" s="9"/>
      <c r="F110" s="22" t="str">
        <f aca="false">IF(E110="","",IFERROR(INDEX(02_INDICADORES!$B$2:$B$42,MATCH(E110,02_INDICADORES!$A$2:$A$42,0)),"ID?"))</f>
        <v/>
      </c>
      <c r="G110" s="21" t="str">
        <f aca="false">IF(E110="","",IFERROR(INDEX(02_INDICADORES!$C$2:$C$42,MATCH(E110,02_INDICADORES!$A$2:$A$42,0)),"ID?"))</f>
        <v/>
      </c>
      <c r="H110" s="22" t="str">
        <f aca="false">IF(E110="","",IFERROR(INDEX(02_INDICADORES!$D$2:$D$42,MATCH(E110,02_INDICADORES!$A$2:$A$42,0)),""))</f>
        <v/>
      </c>
      <c r="I110" s="9"/>
      <c r="J110" s="16" t="str">
        <f aca="false">IF(OR(I110="",H110=""),"",I110*H110)</f>
        <v/>
      </c>
      <c r="K110" s="9"/>
      <c r="L110" s="9"/>
      <c r="M110" s="9"/>
    </row>
    <row r="111" customFormat="false" ht="15" hidden="false" customHeight="false" outlineLevel="0" collapsed="false">
      <c r="A111" s="9"/>
      <c r="B111" s="9"/>
      <c r="C111" s="11"/>
      <c r="D111" s="9"/>
      <c r="E111" s="9"/>
      <c r="F111" s="22" t="str">
        <f aca="false">IF(E111="","",IFERROR(INDEX(02_INDICADORES!$B$2:$B$42,MATCH(E111,02_INDICADORES!$A$2:$A$42,0)),"ID?"))</f>
        <v/>
      </c>
      <c r="G111" s="21" t="str">
        <f aca="false">IF(E111="","",IFERROR(INDEX(02_INDICADORES!$C$2:$C$42,MATCH(E111,02_INDICADORES!$A$2:$A$42,0)),"ID?"))</f>
        <v/>
      </c>
      <c r="H111" s="22" t="str">
        <f aca="false">IF(E111="","",IFERROR(INDEX(02_INDICADORES!$D$2:$D$42,MATCH(E111,02_INDICADORES!$A$2:$A$42,0)),""))</f>
        <v/>
      </c>
      <c r="I111" s="9"/>
      <c r="J111" s="16" t="str">
        <f aca="false">IF(OR(I111="",H111=""),"",I111*H111)</f>
        <v/>
      </c>
      <c r="K111" s="9"/>
      <c r="L111" s="9"/>
      <c r="M111" s="9"/>
    </row>
    <row r="112" customFormat="false" ht="15" hidden="false" customHeight="false" outlineLevel="0" collapsed="false">
      <c r="A112" s="9"/>
      <c r="B112" s="9"/>
      <c r="C112" s="11"/>
      <c r="D112" s="9"/>
      <c r="E112" s="9"/>
      <c r="F112" s="22" t="str">
        <f aca="false">IF(E112="","",IFERROR(INDEX(02_INDICADORES!$B$2:$B$42,MATCH(E112,02_INDICADORES!$A$2:$A$42,0)),"ID?"))</f>
        <v/>
      </c>
      <c r="G112" s="21" t="str">
        <f aca="false">IF(E112="","",IFERROR(INDEX(02_INDICADORES!$C$2:$C$42,MATCH(E112,02_INDICADORES!$A$2:$A$42,0)),"ID?"))</f>
        <v/>
      </c>
      <c r="H112" s="22" t="str">
        <f aca="false">IF(E112="","",IFERROR(INDEX(02_INDICADORES!$D$2:$D$42,MATCH(E112,02_INDICADORES!$A$2:$A$42,0)),""))</f>
        <v/>
      </c>
      <c r="I112" s="9"/>
      <c r="J112" s="16" t="str">
        <f aca="false">IF(OR(I112="",H112=""),"",I112*H112)</f>
        <v/>
      </c>
      <c r="K112" s="9"/>
      <c r="L112" s="9"/>
      <c r="M112" s="9"/>
    </row>
    <row r="113" customFormat="false" ht="15" hidden="false" customHeight="false" outlineLevel="0" collapsed="false">
      <c r="A113" s="9"/>
      <c r="B113" s="9"/>
      <c r="C113" s="11"/>
      <c r="D113" s="9"/>
      <c r="E113" s="9"/>
      <c r="F113" s="22" t="str">
        <f aca="false">IF(E113="","",IFERROR(INDEX(02_INDICADORES!$B$2:$B$42,MATCH(E113,02_INDICADORES!$A$2:$A$42,0)),"ID?"))</f>
        <v/>
      </c>
      <c r="G113" s="21" t="str">
        <f aca="false">IF(E113="","",IFERROR(INDEX(02_INDICADORES!$C$2:$C$42,MATCH(E113,02_INDICADORES!$A$2:$A$42,0)),"ID?"))</f>
        <v/>
      </c>
      <c r="H113" s="22" t="str">
        <f aca="false">IF(E113="","",IFERROR(INDEX(02_INDICADORES!$D$2:$D$42,MATCH(E113,02_INDICADORES!$A$2:$A$42,0)),""))</f>
        <v/>
      </c>
      <c r="I113" s="9"/>
      <c r="J113" s="16" t="str">
        <f aca="false">IF(OR(I113="",H113=""),"",I113*H113)</f>
        <v/>
      </c>
      <c r="K113" s="9"/>
      <c r="L113" s="9"/>
      <c r="M113" s="9"/>
    </row>
    <row r="114" customFormat="false" ht="15" hidden="false" customHeight="false" outlineLevel="0" collapsed="false">
      <c r="A114" s="9"/>
      <c r="B114" s="9"/>
      <c r="C114" s="11"/>
      <c r="D114" s="9"/>
      <c r="E114" s="9"/>
      <c r="F114" s="22" t="str">
        <f aca="false">IF(E114="","",IFERROR(INDEX(02_INDICADORES!$B$2:$B$42,MATCH(E114,02_INDICADORES!$A$2:$A$42,0)),"ID?"))</f>
        <v/>
      </c>
      <c r="G114" s="21" t="str">
        <f aca="false">IF(E114="","",IFERROR(INDEX(02_INDICADORES!$C$2:$C$42,MATCH(E114,02_INDICADORES!$A$2:$A$42,0)),"ID?"))</f>
        <v/>
      </c>
      <c r="H114" s="22" t="str">
        <f aca="false">IF(E114="","",IFERROR(INDEX(02_INDICADORES!$D$2:$D$42,MATCH(E114,02_INDICADORES!$A$2:$A$42,0)),""))</f>
        <v/>
      </c>
      <c r="I114" s="9"/>
      <c r="J114" s="16" t="str">
        <f aca="false">IF(OR(I114="",H114=""),"",I114*H114)</f>
        <v/>
      </c>
      <c r="K114" s="9"/>
      <c r="L114" s="9"/>
      <c r="M114" s="9"/>
    </row>
    <row r="115" customFormat="false" ht="15" hidden="false" customHeight="false" outlineLevel="0" collapsed="false">
      <c r="A115" s="9"/>
      <c r="B115" s="9"/>
      <c r="C115" s="11"/>
      <c r="D115" s="9"/>
      <c r="E115" s="9"/>
      <c r="F115" s="22" t="str">
        <f aca="false">IF(E115="","",IFERROR(INDEX(02_INDICADORES!$B$2:$B$42,MATCH(E115,02_INDICADORES!$A$2:$A$42,0)),"ID?"))</f>
        <v/>
      </c>
      <c r="G115" s="21" t="str">
        <f aca="false">IF(E115="","",IFERROR(INDEX(02_INDICADORES!$C$2:$C$42,MATCH(E115,02_INDICADORES!$A$2:$A$42,0)),"ID?"))</f>
        <v/>
      </c>
      <c r="H115" s="22" t="str">
        <f aca="false">IF(E115="","",IFERROR(INDEX(02_INDICADORES!$D$2:$D$42,MATCH(E115,02_INDICADORES!$A$2:$A$42,0)),""))</f>
        <v/>
      </c>
      <c r="I115" s="9"/>
      <c r="J115" s="16" t="str">
        <f aca="false">IF(OR(I115="",H115=""),"",I115*H115)</f>
        <v/>
      </c>
      <c r="K115" s="9"/>
      <c r="L115" s="9"/>
      <c r="M115" s="9"/>
    </row>
    <row r="116" customFormat="false" ht="15" hidden="false" customHeight="false" outlineLevel="0" collapsed="false">
      <c r="A116" s="9"/>
      <c r="B116" s="9"/>
      <c r="C116" s="11"/>
      <c r="D116" s="9"/>
      <c r="E116" s="9"/>
      <c r="F116" s="22" t="str">
        <f aca="false">IF(E116="","",IFERROR(INDEX(02_INDICADORES!$B$2:$B$42,MATCH(E116,02_INDICADORES!$A$2:$A$42,0)),"ID?"))</f>
        <v/>
      </c>
      <c r="G116" s="21" t="str">
        <f aca="false">IF(E116="","",IFERROR(INDEX(02_INDICADORES!$C$2:$C$42,MATCH(E116,02_INDICADORES!$A$2:$A$42,0)),"ID?"))</f>
        <v/>
      </c>
      <c r="H116" s="22" t="str">
        <f aca="false">IF(E116="","",IFERROR(INDEX(02_INDICADORES!$D$2:$D$42,MATCH(E116,02_INDICADORES!$A$2:$A$42,0)),""))</f>
        <v/>
      </c>
      <c r="I116" s="9"/>
      <c r="J116" s="16" t="str">
        <f aca="false">IF(OR(I116="",H116=""),"",I116*H116)</f>
        <v/>
      </c>
      <c r="K116" s="9"/>
      <c r="L116" s="9"/>
      <c r="M116" s="9"/>
    </row>
    <row r="117" customFormat="false" ht="15" hidden="false" customHeight="false" outlineLevel="0" collapsed="false">
      <c r="A117" s="9"/>
      <c r="B117" s="9"/>
      <c r="C117" s="11"/>
      <c r="D117" s="9"/>
      <c r="E117" s="9"/>
      <c r="F117" s="22" t="str">
        <f aca="false">IF(E117="","",IFERROR(INDEX(02_INDICADORES!$B$2:$B$42,MATCH(E117,02_INDICADORES!$A$2:$A$42,0)),"ID?"))</f>
        <v/>
      </c>
      <c r="G117" s="21" t="str">
        <f aca="false">IF(E117="","",IFERROR(INDEX(02_INDICADORES!$C$2:$C$42,MATCH(E117,02_INDICADORES!$A$2:$A$42,0)),"ID?"))</f>
        <v/>
      </c>
      <c r="H117" s="22" t="str">
        <f aca="false">IF(E117="","",IFERROR(INDEX(02_INDICADORES!$D$2:$D$42,MATCH(E117,02_INDICADORES!$A$2:$A$42,0)),""))</f>
        <v/>
      </c>
      <c r="I117" s="9"/>
      <c r="J117" s="16" t="str">
        <f aca="false">IF(OR(I117="",H117=""),"",I117*H117)</f>
        <v/>
      </c>
      <c r="K117" s="9"/>
      <c r="L117" s="9"/>
      <c r="M117" s="9"/>
    </row>
    <row r="118" customFormat="false" ht="15" hidden="false" customHeight="false" outlineLevel="0" collapsed="false">
      <c r="A118" s="9"/>
      <c r="B118" s="9"/>
      <c r="C118" s="11"/>
      <c r="D118" s="9"/>
      <c r="E118" s="9"/>
      <c r="F118" s="22" t="str">
        <f aca="false">IF(E118="","",IFERROR(INDEX(02_INDICADORES!$B$2:$B$42,MATCH(E118,02_INDICADORES!$A$2:$A$42,0)),"ID?"))</f>
        <v/>
      </c>
      <c r="G118" s="21" t="str">
        <f aca="false">IF(E118="","",IFERROR(INDEX(02_INDICADORES!$C$2:$C$42,MATCH(E118,02_INDICADORES!$A$2:$A$42,0)),"ID?"))</f>
        <v/>
      </c>
      <c r="H118" s="22" t="str">
        <f aca="false">IF(E118="","",IFERROR(INDEX(02_INDICADORES!$D$2:$D$42,MATCH(E118,02_INDICADORES!$A$2:$A$42,0)),""))</f>
        <v/>
      </c>
      <c r="I118" s="9"/>
      <c r="J118" s="16" t="str">
        <f aca="false">IF(OR(I118="",H118=""),"",I118*H118)</f>
        <v/>
      </c>
      <c r="K118" s="9"/>
      <c r="L118" s="9"/>
      <c r="M118" s="9"/>
    </row>
    <row r="119" customFormat="false" ht="15" hidden="false" customHeight="false" outlineLevel="0" collapsed="false">
      <c r="A119" s="9"/>
      <c r="B119" s="9"/>
      <c r="C119" s="11"/>
      <c r="D119" s="9"/>
      <c r="E119" s="9"/>
      <c r="F119" s="22" t="str">
        <f aca="false">IF(E119="","",IFERROR(INDEX(02_INDICADORES!$B$2:$B$42,MATCH(E119,02_INDICADORES!$A$2:$A$42,0)),"ID?"))</f>
        <v/>
      </c>
      <c r="G119" s="21" t="str">
        <f aca="false">IF(E119="","",IFERROR(INDEX(02_INDICADORES!$C$2:$C$42,MATCH(E119,02_INDICADORES!$A$2:$A$42,0)),"ID?"))</f>
        <v/>
      </c>
      <c r="H119" s="22" t="str">
        <f aca="false">IF(E119="","",IFERROR(INDEX(02_INDICADORES!$D$2:$D$42,MATCH(E119,02_INDICADORES!$A$2:$A$42,0)),""))</f>
        <v/>
      </c>
      <c r="I119" s="9"/>
      <c r="J119" s="16" t="str">
        <f aca="false">IF(OR(I119="",H119=""),"",I119*H119)</f>
        <v/>
      </c>
      <c r="K119" s="9"/>
      <c r="L119" s="9"/>
      <c r="M119" s="9"/>
    </row>
    <row r="120" customFormat="false" ht="15" hidden="false" customHeight="false" outlineLevel="0" collapsed="false">
      <c r="A120" s="9"/>
      <c r="B120" s="9"/>
      <c r="C120" s="11"/>
      <c r="D120" s="9"/>
      <c r="E120" s="9"/>
      <c r="F120" s="22" t="str">
        <f aca="false">IF(E120="","",IFERROR(INDEX(02_INDICADORES!$B$2:$B$42,MATCH(E120,02_INDICADORES!$A$2:$A$42,0)),"ID?"))</f>
        <v/>
      </c>
      <c r="G120" s="21" t="str">
        <f aca="false">IF(E120="","",IFERROR(INDEX(02_INDICADORES!$C$2:$C$42,MATCH(E120,02_INDICADORES!$A$2:$A$42,0)),"ID?"))</f>
        <v/>
      </c>
      <c r="H120" s="22" t="str">
        <f aca="false">IF(E120="","",IFERROR(INDEX(02_INDICADORES!$D$2:$D$42,MATCH(E120,02_INDICADORES!$A$2:$A$42,0)),""))</f>
        <v/>
      </c>
      <c r="I120" s="9"/>
      <c r="J120" s="16" t="str">
        <f aca="false">IF(OR(I120="",H120=""),"",I120*H120)</f>
        <v/>
      </c>
      <c r="K120" s="9"/>
      <c r="L120" s="9"/>
      <c r="M120" s="9"/>
    </row>
    <row r="121" customFormat="false" ht="15" hidden="false" customHeight="false" outlineLevel="0" collapsed="false">
      <c r="A121" s="9"/>
      <c r="B121" s="9"/>
      <c r="C121" s="11"/>
      <c r="D121" s="9"/>
      <c r="E121" s="9"/>
      <c r="F121" s="22" t="str">
        <f aca="false">IF(E121="","",IFERROR(INDEX(02_INDICADORES!$B$2:$B$42,MATCH(E121,02_INDICADORES!$A$2:$A$42,0)),"ID?"))</f>
        <v/>
      </c>
      <c r="G121" s="21" t="str">
        <f aca="false">IF(E121="","",IFERROR(INDEX(02_INDICADORES!$C$2:$C$42,MATCH(E121,02_INDICADORES!$A$2:$A$42,0)),"ID?"))</f>
        <v/>
      </c>
      <c r="H121" s="22" t="str">
        <f aca="false">IF(E121="","",IFERROR(INDEX(02_INDICADORES!$D$2:$D$42,MATCH(E121,02_INDICADORES!$A$2:$A$42,0)),""))</f>
        <v/>
      </c>
      <c r="I121" s="9"/>
      <c r="J121" s="16" t="str">
        <f aca="false">IF(OR(I121="",H121=""),"",I121*H121)</f>
        <v/>
      </c>
      <c r="K121" s="9"/>
      <c r="L121" s="9"/>
      <c r="M121" s="9"/>
    </row>
    <row r="122" customFormat="false" ht="15" hidden="false" customHeight="false" outlineLevel="0" collapsed="false">
      <c r="A122" s="9"/>
      <c r="B122" s="9"/>
      <c r="C122" s="11"/>
      <c r="D122" s="9"/>
      <c r="E122" s="9"/>
      <c r="F122" s="22" t="str">
        <f aca="false">IF(E122="","",IFERROR(INDEX(02_INDICADORES!$B$2:$B$42,MATCH(E122,02_INDICADORES!$A$2:$A$42,0)),"ID?"))</f>
        <v/>
      </c>
      <c r="G122" s="21" t="str">
        <f aca="false">IF(E122="","",IFERROR(INDEX(02_INDICADORES!$C$2:$C$42,MATCH(E122,02_INDICADORES!$A$2:$A$42,0)),"ID?"))</f>
        <v/>
      </c>
      <c r="H122" s="22" t="str">
        <f aca="false">IF(E122="","",IFERROR(INDEX(02_INDICADORES!$D$2:$D$42,MATCH(E122,02_INDICADORES!$A$2:$A$42,0)),""))</f>
        <v/>
      </c>
      <c r="I122" s="9"/>
      <c r="J122" s="16" t="str">
        <f aca="false">IF(OR(I122="",H122=""),"",I122*H122)</f>
        <v/>
      </c>
      <c r="K122" s="9"/>
      <c r="L122" s="9"/>
      <c r="M122" s="9"/>
    </row>
    <row r="123" customFormat="false" ht="15" hidden="false" customHeight="false" outlineLevel="0" collapsed="false">
      <c r="A123" s="9"/>
      <c r="B123" s="9"/>
      <c r="C123" s="11"/>
      <c r="D123" s="9"/>
      <c r="E123" s="9"/>
      <c r="F123" s="22" t="str">
        <f aca="false">IF(E123="","",IFERROR(INDEX(02_INDICADORES!$B$2:$B$42,MATCH(E123,02_INDICADORES!$A$2:$A$42,0)),"ID?"))</f>
        <v/>
      </c>
      <c r="G123" s="21" t="str">
        <f aca="false">IF(E123="","",IFERROR(INDEX(02_INDICADORES!$C$2:$C$42,MATCH(E123,02_INDICADORES!$A$2:$A$42,0)),"ID?"))</f>
        <v/>
      </c>
      <c r="H123" s="22" t="str">
        <f aca="false">IF(E123="","",IFERROR(INDEX(02_INDICADORES!$D$2:$D$42,MATCH(E123,02_INDICADORES!$A$2:$A$42,0)),""))</f>
        <v/>
      </c>
      <c r="I123" s="9"/>
      <c r="J123" s="16" t="str">
        <f aca="false">IF(OR(I123="",H123=""),"",I123*H123)</f>
        <v/>
      </c>
      <c r="K123" s="9"/>
      <c r="L123" s="9"/>
      <c r="M123" s="9"/>
    </row>
    <row r="124" customFormat="false" ht="15" hidden="false" customHeight="false" outlineLevel="0" collapsed="false">
      <c r="A124" s="9"/>
      <c r="B124" s="9"/>
      <c r="C124" s="11"/>
      <c r="D124" s="9"/>
      <c r="E124" s="9"/>
      <c r="F124" s="22" t="str">
        <f aca="false">IF(E124="","",IFERROR(INDEX(02_INDICADORES!$B$2:$B$42,MATCH(E124,02_INDICADORES!$A$2:$A$42,0)),"ID?"))</f>
        <v/>
      </c>
      <c r="G124" s="21" t="str">
        <f aca="false">IF(E124="","",IFERROR(INDEX(02_INDICADORES!$C$2:$C$42,MATCH(E124,02_INDICADORES!$A$2:$A$42,0)),"ID?"))</f>
        <v/>
      </c>
      <c r="H124" s="22" t="str">
        <f aca="false">IF(E124="","",IFERROR(INDEX(02_INDICADORES!$D$2:$D$42,MATCH(E124,02_INDICADORES!$A$2:$A$42,0)),""))</f>
        <v/>
      </c>
      <c r="I124" s="9"/>
      <c r="J124" s="16" t="str">
        <f aca="false">IF(OR(I124="",H124=""),"",I124*H124)</f>
        <v/>
      </c>
      <c r="K124" s="9"/>
      <c r="L124" s="9"/>
      <c r="M124" s="9"/>
    </row>
    <row r="125" customFormat="false" ht="15" hidden="false" customHeight="false" outlineLevel="0" collapsed="false">
      <c r="A125" s="9"/>
      <c r="B125" s="9"/>
      <c r="C125" s="11"/>
      <c r="D125" s="9"/>
      <c r="E125" s="9"/>
      <c r="F125" s="22" t="str">
        <f aca="false">IF(E125="","",IFERROR(INDEX(02_INDICADORES!$B$2:$B$42,MATCH(E125,02_INDICADORES!$A$2:$A$42,0)),"ID?"))</f>
        <v/>
      </c>
      <c r="G125" s="21" t="str">
        <f aca="false">IF(E125="","",IFERROR(INDEX(02_INDICADORES!$C$2:$C$42,MATCH(E125,02_INDICADORES!$A$2:$A$42,0)),"ID?"))</f>
        <v/>
      </c>
      <c r="H125" s="22" t="str">
        <f aca="false">IF(E125="","",IFERROR(INDEX(02_INDICADORES!$D$2:$D$42,MATCH(E125,02_INDICADORES!$A$2:$A$42,0)),""))</f>
        <v/>
      </c>
      <c r="I125" s="9"/>
      <c r="J125" s="16" t="str">
        <f aca="false">IF(OR(I125="",H125=""),"",I125*H125)</f>
        <v/>
      </c>
      <c r="K125" s="9"/>
      <c r="L125" s="9"/>
      <c r="M125" s="9"/>
    </row>
    <row r="126" customFormat="false" ht="15" hidden="false" customHeight="false" outlineLevel="0" collapsed="false">
      <c r="A126" s="9"/>
      <c r="B126" s="9"/>
      <c r="C126" s="11"/>
      <c r="D126" s="9"/>
      <c r="E126" s="9"/>
      <c r="F126" s="22" t="str">
        <f aca="false">IF(E126="","",IFERROR(INDEX(02_INDICADORES!$B$2:$B$42,MATCH(E126,02_INDICADORES!$A$2:$A$42,0)),"ID?"))</f>
        <v/>
      </c>
      <c r="G126" s="21" t="str">
        <f aca="false">IF(E126="","",IFERROR(INDEX(02_INDICADORES!$C$2:$C$42,MATCH(E126,02_INDICADORES!$A$2:$A$42,0)),"ID?"))</f>
        <v/>
      </c>
      <c r="H126" s="22" t="str">
        <f aca="false">IF(E126="","",IFERROR(INDEX(02_INDICADORES!$D$2:$D$42,MATCH(E126,02_INDICADORES!$A$2:$A$42,0)),""))</f>
        <v/>
      </c>
      <c r="I126" s="9"/>
      <c r="J126" s="16" t="str">
        <f aca="false">IF(OR(I126="",H126=""),"",I126*H126)</f>
        <v/>
      </c>
      <c r="K126" s="9"/>
      <c r="L126" s="9"/>
      <c r="M126" s="9"/>
    </row>
    <row r="127" customFormat="false" ht="15" hidden="false" customHeight="false" outlineLevel="0" collapsed="false">
      <c r="A127" s="9"/>
      <c r="B127" s="9"/>
      <c r="C127" s="11"/>
      <c r="D127" s="9"/>
      <c r="E127" s="9"/>
      <c r="F127" s="22" t="str">
        <f aca="false">IF(E127="","",IFERROR(INDEX(02_INDICADORES!$B$2:$B$42,MATCH(E127,02_INDICADORES!$A$2:$A$42,0)),"ID?"))</f>
        <v/>
      </c>
      <c r="G127" s="21" t="str">
        <f aca="false">IF(E127="","",IFERROR(INDEX(02_INDICADORES!$C$2:$C$42,MATCH(E127,02_INDICADORES!$A$2:$A$42,0)),"ID?"))</f>
        <v/>
      </c>
      <c r="H127" s="22" t="str">
        <f aca="false">IF(E127="","",IFERROR(INDEX(02_INDICADORES!$D$2:$D$42,MATCH(E127,02_INDICADORES!$A$2:$A$42,0)),""))</f>
        <v/>
      </c>
      <c r="I127" s="9"/>
      <c r="J127" s="16" t="str">
        <f aca="false">IF(OR(I127="",H127=""),"",I127*H127)</f>
        <v/>
      </c>
      <c r="K127" s="9"/>
      <c r="L127" s="9"/>
      <c r="M127" s="9"/>
    </row>
    <row r="128" customFormat="false" ht="15" hidden="false" customHeight="false" outlineLevel="0" collapsed="false">
      <c r="A128" s="9"/>
      <c r="B128" s="9"/>
      <c r="C128" s="11"/>
      <c r="D128" s="9"/>
      <c r="E128" s="9"/>
      <c r="F128" s="22" t="str">
        <f aca="false">IF(E128="","",IFERROR(INDEX(02_INDICADORES!$B$2:$B$42,MATCH(E128,02_INDICADORES!$A$2:$A$42,0)),"ID?"))</f>
        <v/>
      </c>
      <c r="G128" s="21" t="str">
        <f aca="false">IF(E128="","",IFERROR(INDEX(02_INDICADORES!$C$2:$C$42,MATCH(E128,02_INDICADORES!$A$2:$A$42,0)),"ID?"))</f>
        <v/>
      </c>
      <c r="H128" s="22" t="str">
        <f aca="false">IF(E128="","",IFERROR(INDEX(02_INDICADORES!$D$2:$D$42,MATCH(E128,02_INDICADORES!$A$2:$A$42,0)),""))</f>
        <v/>
      </c>
      <c r="I128" s="9"/>
      <c r="J128" s="16" t="str">
        <f aca="false">IF(OR(I128="",H128=""),"",I128*H128)</f>
        <v/>
      </c>
      <c r="K128" s="9"/>
      <c r="L128" s="9"/>
      <c r="M128" s="9"/>
    </row>
    <row r="129" customFormat="false" ht="15" hidden="false" customHeight="false" outlineLevel="0" collapsed="false">
      <c r="A129" s="9"/>
      <c r="B129" s="9"/>
      <c r="C129" s="11"/>
      <c r="D129" s="9"/>
      <c r="E129" s="9"/>
      <c r="F129" s="22" t="str">
        <f aca="false">IF(E129="","",IFERROR(INDEX(02_INDICADORES!$B$2:$B$42,MATCH(E129,02_INDICADORES!$A$2:$A$42,0)),"ID?"))</f>
        <v/>
      </c>
      <c r="G129" s="21" t="str">
        <f aca="false">IF(E129="","",IFERROR(INDEX(02_INDICADORES!$C$2:$C$42,MATCH(E129,02_INDICADORES!$A$2:$A$42,0)),"ID?"))</f>
        <v/>
      </c>
      <c r="H129" s="22" t="str">
        <f aca="false">IF(E129="","",IFERROR(INDEX(02_INDICADORES!$D$2:$D$42,MATCH(E129,02_INDICADORES!$A$2:$A$42,0)),""))</f>
        <v/>
      </c>
      <c r="I129" s="9"/>
      <c r="J129" s="16" t="str">
        <f aca="false">IF(OR(I129="",H129=""),"",I129*H129)</f>
        <v/>
      </c>
      <c r="K129" s="9"/>
      <c r="L129" s="9"/>
      <c r="M129" s="9"/>
    </row>
    <row r="130" customFormat="false" ht="15" hidden="false" customHeight="false" outlineLevel="0" collapsed="false">
      <c r="A130" s="9"/>
      <c r="B130" s="9"/>
      <c r="C130" s="11"/>
      <c r="D130" s="9"/>
      <c r="E130" s="9"/>
      <c r="F130" s="22" t="str">
        <f aca="false">IF(E130="","",IFERROR(INDEX(02_INDICADORES!$B$2:$B$42,MATCH(E130,02_INDICADORES!$A$2:$A$42,0)),"ID?"))</f>
        <v/>
      </c>
      <c r="G130" s="21" t="str">
        <f aca="false">IF(E130="","",IFERROR(INDEX(02_INDICADORES!$C$2:$C$42,MATCH(E130,02_INDICADORES!$A$2:$A$42,0)),"ID?"))</f>
        <v/>
      </c>
      <c r="H130" s="22" t="str">
        <f aca="false">IF(E130="","",IFERROR(INDEX(02_INDICADORES!$D$2:$D$42,MATCH(E130,02_INDICADORES!$A$2:$A$42,0)),""))</f>
        <v/>
      </c>
      <c r="I130" s="9"/>
      <c r="J130" s="16" t="str">
        <f aca="false">IF(OR(I130="",H130=""),"",I130*H130)</f>
        <v/>
      </c>
      <c r="K130" s="9"/>
      <c r="L130" s="9"/>
      <c r="M130" s="9"/>
    </row>
    <row r="131" customFormat="false" ht="15" hidden="false" customHeight="false" outlineLevel="0" collapsed="false">
      <c r="A131" s="9"/>
      <c r="B131" s="9"/>
      <c r="C131" s="11"/>
      <c r="D131" s="9"/>
      <c r="E131" s="9"/>
      <c r="F131" s="22" t="str">
        <f aca="false">IF(E131="","",IFERROR(INDEX(02_INDICADORES!$B$2:$B$42,MATCH(E131,02_INDICADORES!$A$2:$A$42,0)),"ID?"))</f>
        <v/>
      </c>
      <c r="G131" s="21" t="str">
        <f aca="false">IF(E131="","",IFERROR(INDEX(02_INDICADORES!$C$2:$C$42,MATCH(E131,02_INDICADORES!$A$2:$A$42,0)),"ID?"))</f>
        <v/>
      </c>
      <c r="H131" s="22" t="str">
        <f aca="false">IF(E131="","",IFERROR(INDEX(02_INDICADORES!$D$2:$D$42,MATCH(E131,02_INDICADORES!$A$2:$A$42,0)),""))</f>
        <v/>
      </c>
      <c r="I131" s="9"/>
      <c r="J131" s="16" t="str">
        <f aca="false">IF(OR(I131="",H131=""),"",I131*H131)</f>
        <v/>
      </c>
      <c r="K131" s="9"/>
      <c r="L131" s="9"/>
      <c r="M131" s="9"/>
    </row>
    <row r="132" customFormat="false" ht="15" hidden="false" customHeight="false" outlineLevel="0" collapsed="false">
      <c r="A132" s="9"/>
      <c r="B132" s="9"/>
      <c r="C132" s="11"/>
      <c r="D132" s="9"/>
      <c r="E132" s="9"/>
      <c r="F132" s="22" t="str">
        <f aca="false">IF(E132="","",IFERROR(INDEX(02_INDICADORES!$B$2:$B$42,MATCH(E132,02_INDICADORES!$A$2:$A$42,0)),"ID?"))</f>
        <v/>
      </c>
      <c r="G132" s="21" t="str">
        <f aca="false">IF(E132="","",IFERROR(INDEX(02_INDICADORES!$C$2:$C$42,MATCH(E132,02_INDICADORES!$A$2:$A$42,0)),"ID?"))</f>
        <v/>
      </c>
      <c r="H132" s="22" t="str">
        <f aca="false">IF(E132="","",IFERROR(INDEX(02_INDICADORES!$D$2:$D$42,MATCH(E132,02_INDICADORES!$A$2:$A$42,0)),""))</f>
        <v/>
      </c>
      <c r="I132" s="9"/>
      <c r="J132" s="16" t="str">
        <f aca="false">IF(OR(I132="",H132=""),"",I132*H132)</f>
        <v/>
      </c>
      <c r="K132" s="9"/>
      <c r="L132" s="9"/>
      <c r="M132" s="9"/>
    </row>
    <row r="133" customFormat="false" ht="15" hidden="false" customHeight="false" outlineLevel="0" collapsed="false">
      <c r="A133" s="9"/>
      <c r="B133" s="9"/>
      <c r="C133" s="11"/>
      <c r="D133" s="9"/>
      <c r="E133" s="9"/>
      <c r="F133" s="22" t="str">
        <f aca="false">IF(E133="","",IFERROR(INDEX(02_INDICADORES!$B$2:$B$42,MATCH(E133,02_INDICADORES!$A$2:$A$42,0)),"ID?"))</f>
        <v/>
      </c>
      <c r="G133" s="21" t="str">
        <f aca="false">IF(E133="","",IFERROR(INDEX(02_INDICADORES!$C$2:$C$42,MATCH(E133,02_INDICADORES!$A$2:$A$42,0)),"ID?"))</f>
        <v/>
      </c>
      <c r="H133" s="22" t="str">
        <f aca="false">IF(E133="","",IFERROR(INDEX(02_INDICADORES!$D$2:$D$42,MATCH(E133,02_INDICADORES!$A$2:$A$42,0)),""))</f>
        <v/>
      </c>
      <c r="I133" s="9"/>
      <c r="J133" s="16" t="str">
        <f aca="false">IF(OR(I133="",H133=""),"",I133*H133)</f>
        <v/>
      </c>
      <c r="K133" s="9"/>
      <c r="L133" s="9"/>
      <c r="M133" s="9"/>
    </row>
    <row r="134" customFormat="false" ht="15" hidden="false" customHeight="false" outlineLevel="0" collapsed="false">
      <c r="A134" s="9"/>
      <c r="B134" s="9"/>
      <c r="C134" s="11"/>
      <c r="D134" s="9"/>
      <c r="E134" s="9"/>
      <c r="F134" s="22" t="str">
        <f aca="false">IF(E134="","",IFERROR(INDEX(02_INDICADORES!$B$2:$B$42,MATCH(E134,02_INDICADORES!$A$2:$A$42,0)),"ID?"))</f>
        <v/>
      </c>
      <c r="G134" s="21" t="str">
        <f aca="false">IF(E134="","",IFERROR(INDEX(02_INDICADORES!$C$2:$C$42,MATCH(E134,02_INDICADORES!$A$2:$A$42,0)),"ID?"))</f>
        <v/>
      </c>
      <c r="H134" s="22" t="str">
        <f aca="false">IF(E134="","",IFERROR(INDEX(02_INDICADORES!$D$2:$D$42,MATCH(E134,02_INDICADORES!$A$2:$A$42,0)),""))</f>
        <v/>
      </c>
      <c r="I134" s="9"/>
      <c r="J134" s="16" t="str">
        <f aca="false">IF(OR(I134="",H134=""),"",I134*H134)</f>
        <v/>
      </c>
      <c r="K134" s="9"/>
      <c r="L134" s="9"/>
      <c r="M134" s="9"/>
    </row>
    <row r="135" customFormat="false" ht="15" hidden="false" customHeight="false" outlineLevel="0" collapsed="false">
      <c r="A135" s="9"/>
      <c r="B135" s="9"/>
      <c r="C135" s="11"/>
      <c r="D135" s="9"/>
      <c r="E135" s="9"/>
      <c r="F135" s="22" t="str">
        <f aca="false">IF(E135="","",IFERROR(INDEX(02_INDICADORES!$B$2:$B$42,MATCH(E135,02_INDICADORES!$A$2:$A$42,0)),"ID?"))</f>
        <v/>
      </c>
      <c r="G135" s="21" t="str">
        <f aca="false">IF(E135="","",IFERROR(INDEX(02_INDICADORES!$C$2:$C$42,MATCH(E135,02_INDICADORES!$A$2:$A$42,0)),"ID?"))</f>
        <v/>
      </c>
      <c r="H135" s="22" t="str">
        <f aca="false">IF(E135="","",IFERROR(INDEX(02_INDICADORES!$D$2:$D$42,MATCH(E135,02_INDICADORES!$A$2:$A$42,0)),""))</f>
        <v/>
      </c>
      <c r="I135" s="9"/>
      <c r="J135" s="16" t="str">
        <f aca="false">IF(OR(I135="",H135=""),"",I135*H135)</f>
        <v/>
      </c>
      <c r="K135" s="9"/>
      <c r="L135" s="9"/>
      <c r="M135" s="9"/>
    </row>
    <row r="136" customFormat="false" ht="15" hidden="false" customHeight="false" outlineLevel="0" collapsed="false">
      <c r="A136" s="9"/>
      <c r="B136" s="9"/>
      <c r="C136" s="11"/>
      <c r="D136" s="9"/>
      <c r="E136" s="9"/>
      <c r="F136" s="22" t="str">
        <f aca="false">IF(E136="","",IFERROR(INDEX(02_INDICADORES!$B$2:$B$42,MATCH(E136,02_INDICADORES!$A$2:$A$42,0)),"ID?"))</f>
        <v/>
      </c>
      <c r="G136" s="21" t="str">
        <f aca="false">IF(E136="","",IFERROR(INDEX(02_INDICADORES!$C$2:$C$42,MATCH(E136,02_INDICADORES!$A$2:$A$42,0)),"ID?"))</f>
        <v/>
      </c>
      <c r="H136" s="22" t="str">
        <f aca="false">IF(E136="","",IFERROR(INDEX(02_INDICADORES!$D$2:$D$42,MATCH(E136,02_INDICADORES!$A$2:$A$42,0)),""))</f>
        <v/>
      </c>
      <c r="I136" s="9"/>
      <c r="J136" s="16" t="str">
        <f aca="false">IF(OR(I136="",H136=""),"",I136*H136)</f>
        <v/>
      </c>
      <c r="K136" s="9"/>
      <c r="L136" s="9"/>
      <c r="M136" s="9"/>
    </row>
    <row r="137" customFormat="false" ht="15" hidden="false" customHeight="false" outlineLevel="0" collapsed="false">
      <c r="A137" s="9"/>
      <c r="B137" s="9"/>
      <c r="C137" s="11"/>
      <c r="D137" s="9"/>
      <c r="E137" s="9"/>
      <c r="F137" s="22" t="str">
        <f aca="false">IF(E137="","",IFERROR(INDEX(02_INDICADORES!$B$2:$B$42,MATCH(E137,02_INDICADORES!$A$2:$A$42,0)),"ID?"))</f>
        <v/>
      </c>
      <c r="G137" s="21" t="str">
        <f aca="false">IF(E137="","",IFERROR(INDEX(02_INDICADORES!$C$2:$C$42,MATCH(E137,02_INDICADORES!$A$2:$A$42,0)),"ID?"))</f>
        <v/>
      </c>
      <c r="H137" s="22" t="str">
        <f aca="false">IF(E137="","",IFERROR(INDEX(02_INDICADORES!$D$2:$D$42,MATCH(E137,02_INDICADORES!$A$2:$A$42,0)),""))</f>
        <v/>
      </c>
      <c r="I137" s="9"/>
      <c r="J137" s="16" t="str">
        <f aca="false">IF(OR(I137="",H137=""),"",I137*H137)</f>
        <v/>
      </c>
      <c r="K137" s="9"/>
      <c r="L137" s="9"/>
      <c r="M137" s="9"/>
    </row>
    <row r="138" customFormat="false" ht="15" hidden="false" customHeight="false" outlineLevel="0" collapsed="false">
      <c r="A138" s="9"/>
      <c r="B138" s="9"/>
      <c r="C138" s="11"/>
      <c r="D138" s="9"/>
      <c r="E138" s="9"/>
      <c r="F138" s="22" t="str">
        <f aca="false">IF(E138="","",IFERROR(INDEX(02_INDICADORES!$B$2:$B$42,MATCH(E138,02_INDICADORES!$A$2:$A$42,0)),"ID?"))</f>
        <v/>
      </c>
      <c r="G138" s="21" t="str">
        <f aca="false">IF(E138="","",IFERROR(INDEX(02_INDICADORES!$C$2:$C$42,MATCH(E138,02_INDICADORES!$A$2:$A$42,0)),"ID?"))</f>
        <v/>
      </c>
      <c r="H138" s="22" t="str">
        <f aca="false">IF(E138="","",IFERROR(INDEX(02_INDICADORES!$D$2:$D$42,MATCH(E138,02_INDICADORES!$A$2:$A$42,0)),""))</f>
        <v/>
      </c>
      <c r="I138" s="9"/>
      <c r="J138" s="16" t="str">
        <f aca="false">IF(OR(I138="",H138=""),"",I138*H138)</f>
        <v/>
      </c>
      <c r="K138" s="9"/>
      <c r="L138" s="9"/>
      <c r="M138" s="9"/>
    </row>
    <row r="139" customFormat="false" ht="15" hidden="false" customHeight="false" outlineLevel="0" collapsed="false">
      <c r="A139" s="9"/>
      <c r="B139" s="9"/>
      <c r="C139" s="11"/>
      <c r="D139" s="9"/>
      <c r="E139" s="9"/>
      <c r="F139" s="22" t="str">
        <f aca="false">IF(E139="","",IFERROR(INDEX(02_INDICADORES!$B$2:$B$42,MATCH(E139,02_INDICADORES!$A$2:$A$42,0)),"ID?"))</f>
        <v/>
      </c>
      <c r="G139" s="21" t="str">
        <f aca="false">IF(E139="","",IFERROR(INDEX(02_INDICADORES!$C$2:$C$42,MATCH(E139,02_INDICADORES!$A$2:$A$42,0)),"ID?"))</f>
        <v/>
      </c>
      <c r="H139" s="22" t="str">
        <f aca="false">IF(E139="","",IFERROR(INDEX(02_INDICADORES!$D$2:$D$42,MATCH(E139,02_INDICADORES!$A$2:$A$42,0)),""))</f>
        <v/>
      </c>
      <c r="I139" s="9"/>
      <c r="J139" s="16" t="str">
        <f aca="false">IF(OR(I139="",H139=""),"",I139*H139)</f>
        <v/>
      </c>
      <c r="K139" s="9"/>
      <c r="L139" s="9"/>
      <c r="M139" s="9"/>
    </row>
    <row r="140" customFormat="false" ht="15" hidden="false" customHeight="false" outlineLevel="0" collapsed="false">
      <c r="A140" s="9"/>
      <c r="B140" s="9"/>
      <c r="C140" s="11"/>
      <c r="D140" s="9"/>
      <c r="E140" s="9"/>
      <c r="F140" s="22" t="str">
        <f aca="false">IF(E140="","",IFERROR(INDEX(02_INDICADORES!$B$2:$B$42,MATCH(E140,02_INDICADORES!$A$2:$A$42,0)),"ID?"))</f>
        <v/>
      </c>
      <c r="G140" s="21" t="str">
        <f aca="false">IF(E140="","",IFERROR(INDEX(02_INDICADORES!$C$2:$C$42,MATCH(E140,02_INDICADORES!$A$2:$A$42,0)),"ID?"))</f>
        <v/>
      </c>
      <c r="H140" s="22" t="str">
        <f aca="false">IF(E140="","",IFERROR(INDEX(02_INDICADORES!$D$2:$D$42,MATCH(E140,02_INDICADORES!$A$2:$A$42,0)),""))</f>
        <v/>
      </c>
      <c r="I140" s="9"/>
      <c r="J140" s="16" t="str">
        <f aca="false">IF(OR(I140="",H140=""),"",I140*H140)</f>
        <v/>
      </c>
      <c r="K140" s="9"/>
      <c r="L140" s="9"/>
      <c r="M140" s="9"/>
    </row>
    <row r="141" customFormat="false" ht="15" hidden="false" customHeight="false" outlineLevel="0" collapsed="false">
      <c r="A141" s="9"/>
      <c r="B141" s="9"/>
      <c r="C141" s="11"/>
      <c r="D141" s="9"/>
      <c r="E141" s="9"/>
      <c r="F141" s="22" t="str">
        <f aca="false">IF(E141="","",IFERROR(INDEX(02_INDICADORES!$B$2:$B$42,MATCH(E141,02_INDICADORES!$A$2:$A$42,0)),"ID?"))</f>
        <v/>
      </c>
      <c r="G141" s="21" t="str">
        <f aca="false">IF(E141="","",IFERROR(INDEX(02_INDICADORES!$C$2:$C$42,MATCH(E141,02_INDICADORES!$A$2:$A$42,0)),"ID?"))</f>
        <v/>
      </c>
      <c r="H141" s="22" t="str">
        <f aca="false">IF(E141="","",IFERROR(INDEX(02_INDICADORES!$D$2:$D$42,MATCH(E141,02_INDICADORES!$A$2:$A$42,0)),""))</f>
        <v/>
      </c>
      <c r="I141" s="9"/>
      <c r="J141" s="16" t="str">
        <f aca="false">IF(OR(I141="",H141=""),"",I141*H141)</f>
        <v/>
      </c>
      <c r="K141" s="9"/>
      <c r="L141" s="9"/>
      <c r="M141" s="9"/>
    </row>
    <row r="142" customFormat="false" ht="15" hidden="false" customHeight="false" outlineLevel="0" collapsed="false">
      <c r="A142" s="9"/>
      <c r="B142" s="9"/>
      <c r="C142" s="11"/>
      <c r="D142" s="9"/>
      <c r="E142" s="9"/>
      <c r="F142" s="22" t="str">
        <f aca="false">IF(E142="","",IFERROR(INDEX(02_INDICADORES!$B$2:$B$42,MATCH(E142,02_INDICADORES!$A$2:$A$42,0)),"ID?"))</f>
        <v/>
      </c>
      <c r="G142" s="21" t="str">
        <f aca="false">IF(E142="","",IFERROR(INDEX(02_INDICADORES!$C$2:$C$42,MATCH(E142,02_INDICADORES!$A$2:$A$42,0)),"ID?"))</f>
        <v/>
      </c>
      <c r="H142" s="22" t="str">
        <f aca="false">IF(E142="","",IFERROR(INDEX(02_INDICADORES!$D$2:$D$42,MATCH(E142,02_INDICADORES!$A$2:$A$42,0)),""))</f>
        <v/>
      </c>
      <c r="I142" s="9"/>
      <c r="J142" s="16" t="str">
        <f aca="false">IF(OR(I142="",H142=""),"",I142*H142)</f>
        <v/>
      </c>
      <c r="K142" s="9"/>
      <c r="L142" s="9"/>
      <c r="M142" s="9"/>
    </row>
    <row r="143" customFormat="false" ht="15" hidden="false" customHeight="false" outlineLevel="0" collapsed="false">
      <c r="A143" s="9"/>
      <c r="B143" s="9"/>
      <c r="C143" s="11"/>
      <c r="D143" s="9"/>
      <c r="E143" s="9"/>
      <c r="F143" s="22" t="str">
        <f aca="false">IF(E143="","",IFERROR(INDEX(02_INDICADORES!$B$2:$B$42,MATCH(E143,02_INDICADORES!$A$2:$A$42,0)),"ID?"))</f>
        <v/>
      </c>
      <c r="G143" s="21" t="str">
        <f aca="false">IF(E143="","",IFERROR(INDEX(02_INDICADORES!$C$2:$C$42,MATCH(E143,02_INDICADORES!$A$2:$A$42,0)),"ID?"))</f>
        <v/>
      </c>
      <c r="H143" s="22" t="str">
        <f aca="false">IF(E143="","",IFERROR(INDEX(02_INDICADORES!$D$2:$D$42,MATCH(E143,02_INDICADORES!$A$2:$A$42,0)),""))</f>
        <v/>
      </c>
      <c r="I143" s="9"/>
      <c r="J143" s="16" t="str">
        <f aca="false">IF(OR(I143="",H143=""),"",I143*H143)</f>
        <v/>
      </c>
      <c r="K143" s="9"/>
      <c r="L143" s="9"/>
      <c r="M143" s="9"/>
    </row>
    <row r="144" customFormat="false" ht="15" hidden="false" customHeight="false" outlineLevel="0" collapsed="false">
      <c r="A144" s="9"/>
      <c r="B144" s="9"/>
      <c r="C144" s="11"/>
      <c r="D144" s="9"/>
      <c r="E144" s="9"/>
      <c r="F144" s="22" t="str">
        <f aca="false">IF(E144="","",IFERROR(INDEX(02_INDICADORES!$B$2:$B$42,MATCH(E144,02_INDICADORES!$A$2:$A$42,0)),"ID?"))</f>
        <v/>
      </c>
      <c r="G144" s="21" t="str">
        <f aca="false">IF(E144="","",IFERROR(INDEX(02_INDICADORES!$C$2:$C$42,MATCH(E144,02_INDICADORES!$A$2:$A$42,0)),"ID?"))</f>
        <v/>
      </c>
      <c r="H144" s="22" t="str">
        <f aca="false">IF(E144="","",IFERROR(INDEX(02_INDICADORES!$D$2:$D$42,MATCH(E144,02_INDICADORES!$A$2:$A$42,0)),""))</f>
        <v/>
      </c>
      <c r="I144" s="9"/>
      <c r="J144" s="16" t="str">
        <f aca="false">IF(OR(I144="",H144=""),"",I144*H144)</f>
        <v/>
      </c>
      <c r="K144" s="9"/>
      <c r="L144" s="9"/>
      <c r="M144" s="9"/>
    </row>
    <row r="145" customFormat="false" ht="15" hidden="false" customHeight="false" outlineLevel="0" collapsed="false">
      <c r="A145" s="9"/>
      <c r="B145" s="9"/>
      <c r="C145" s="11"/>
      <c r="D145" s="9"/>
      <c r="E145" s="9"/>
      <c r="F145" s="22" t="str">
        <f aca="false">IF(E145="","",IFERROR(INDEX(02_INDICADORES!$B$2:$B$42,MATCH(E145,02_INDICADORES!$A$2:$A$42,0)),"ID?"))</f>
        <v/>
      </c>
      <c r="G145" s="21" t="str">
        <f aca="false">IF(E145="","",IFERROR(INDEX(02_INDICADORES!$C$2:$C$42,MATCH(E145,02_INDICADORES!$A$2:$A$42,0)),"ID?"))</f>
        <v/>
      </c>
      <c r="H145" s="22" t="str">
        <f aca="false">IF(E145="","",IFERROR(INDEX(02_INDICADORES!$D$2:$D$42,MATCH(E145,02_INDICADORES!$A$2:$A$42,0)),""))</f>
        <v/>
      </c>
      <c r="I145" s="9"/>
      <c r="J145" s="16" t="str">
        <f aca="false">IF(OR(I145="",H145=""),"",I145*H145)</f>
        <v/>
      </c>
      <c r="K145" s="9"/>
      <c r="L145" s="9"/>
      <c r="M145" s="9"/>
    </row>
    <row r="146" customFormat="false" ht="15" hidden="false" customHeight="false" outlineLevel="0" collapsed="false">
      <c r="A146" s="9"/>
      <c r="B146" s="9"/>
      <c r="C146" s="11"/>
      <c r="D146" s="9"/>
      <c r="E146" s="9"/>
      <c r="F146" s="22" t="str">
        <f aca="false">IF(E146="","",IFERROR(INDEX(02_INDICADORES!$B$2:$B$42,MATCH(E146,02_INDICADORES!$A$2:$A$42,0)),"ID?"))</f>
        <v/>
      </c>
      <c r="G146" s="21" t="str">
        <f aca="false">IF(E146="","",IFERROR(INDEX(02_INDICADORES!$C$2:$C$42,MATCH(E146,02_INDICADORES!$A$2:$A$42,0)),"ID?"))</f>
        <v/>
      </c>
      <c r="H146" s="22" t="str">
        <f aca="false">IF(E146="","",IFERROR(INDEX(02_INDICADORES!$D$2:$D$42,MATCH(E146,02_INDICADORES!$A$2:$A$42,0)),""))</f>
        <v/>
      </c>
      <c r="I146" s="9"/>
      <c r="J146" s="16" t="str">
        <f aca="false">IF(OR(I146="",H146=""),"",I146*H146)</f>
        <v/>
      </c>
      <c r="K146" s="9"/>
      <c r="L146" s="9"/>
      <c r="M146" s="9"/>
    </row>
    <row r="147" customFormat="false" ht="15" hidden="false" customHeight="false" outlineLevel="0" collapsed="false">
      <c r="A147" s="9"/>
      <c r="B147" s="9"/>
      <c r="C147" s="11"/>
      <c r="D147" s="9"/>
      <c r="E147" s="9"/>
      <c r="F147" s="22" t="str">
        <f aca="false">IF(E147="","",IFERROR(INDEX(02_INDICADORES!$B$2:$B$42,MATCH(E147,02_INDICADORES!$A$2:$A$42,0)),"ID?"))</f>
        <v/>
      </c>
      <c r="G147" s="21" t="str">
        <f aca="false">IF(E147="","",IFERROR(INDEX(02_INDICADORES!$C$2:$C$42,MATCH(E147,02_INDICADORES!$A$2:$A$42,0)),"ID?"))</f>
        <v/>
      </c>
      <c r="H147" s="22" t="str">
        <f aca="false">IF(E147="","",IFERROR(INDEX(02_INDICADORES!$D$2:$D$42,MATCH(E147,02_INDICADORES!$A$2:$A$42,0)),""))</f>
        <v/>
      </c>
      <c r="I147" s="9"/>
      <c r="J147" s="16" t="str">
        <f aca="false">IF(OR(I147="",H147=""),"",I147*H147)</f>
        <v/>
      </c>
      <c r="K147" s="9"/>
      <c r="L147" s="9"/>
      <c r="M147" s="9"/>
    </row>
    <row r="148" customFormat="false" ht="15" hidden="false" customHeight="false" outlineLevel="0" collapsed="false">
      <c r="A148" s="9"/>
      <c r="B148" s="9"/>
      <c r="C148" s="11"/>
      <c r="D148" s="9"/>
      <c r="E148" s="9"/>
      <c r="F148" s="22" t="str">
        <f aca="false">IF(E148="","",IFERROR(INDEX(02_INDICADORES!$B$2:$B$42,MATCH(E148,02_INDICADORES!$A$2:$A$42,0)),"ID?"))</f>
        <v/>
      </c>
      <c r="G148" s="21" t="str">
        <f aca="false">IF(E148="","",IFERROR(INDEX(02_INDICADORES!$C$2:$C$42,MATCH(E148,02_INDICADORES!$A$2:$A$42,0)),"ID?"))</f>
        <v/>
      </c>
      <c r="H148" s="22" t="str">
        <f aca="false">IF(E148="","",IFERROR(INDEX(02_INDICADORES!$D$2:$D$42,MATCH(E148,02_INDICADORES!$A$2:$A$42,0)),""))</f>
        <v/>
      </c>
      <c r="I148" s="9"/>
      <c r="J148" s="16" t="str">
        <f aca="false">IF(OR(I148="",H148=""),"",I148*H148)</f>
        <v/>
      </c>
      <c r="K148" s="9"/>
      <c r="L148" s="9"/>
      <c r="M148" s="9"/>
    </row>
    <row r="149" customFormat="false" ht="15" hidden="false" customHeight="false" outlineLevel="0" collapsed="false">
      <c r="A149" s="9"/>
      <c r="B149" s="9"/>
      <c r="C149" s="11"/>
      <c r="D149" s="9"/>
      <c r="E149" s="9"/>
      <c r="F149" s="22" t="str">
        <f aca="false">IF(E149="","",IFERROR(INDEX(02_INDICADORES!$B$2:$B$42,MATCH(E149,02_INDICADORES!$A$2:$A$42,0)),"ID?"))</f>
        <v/>
      </c>
      <c r="G149" s="21" t="str">
        <f aca="false">IF(E149="","",IFERROR(INDEX(02_INDICADORES!$C$2:$C$42,MATCH(E149,02_INDICADORES!$A$2:$A$42,0)),"ID?"))</f>
        <v/>
      </c>
      <c r="H149" s="22" t="str">
        <f aca="false">IF(E149="","",IFERROR(INDEX(02_INDICADORES!$D$2:$D$42,MATCH(E149,02_INDICADORES!$A$2:$A$42,0)),""))</f>
        <v/>
      </c>
      <c r="I149" s="9"/>
      <c r="J149" s="16" t="str">
        <f aca="false">IF(OR(I149="",H149=""),"",I149*H149)</f>
        <v/>
      </c>
      <c r="K149" s="9"/>
      <c r="L149" s="9"/>
      <c r="M149" s="9"/>
    </row>
    <row r="150" customFormat="false" ht="15" hidden="false" customHeight="false" outlineLevel="0" collapsed="false">
      <c r="A150" s="9"/>
      <c r="B150" s="9"/>
      <c r="C150" s="11"/>
      <c r="D150" s="9"/>
      <c r="E150" s="9"/>
      <c r="F150" s="22" t="str">
        <f aca="false">IF(E150="","",IFERROR(INDEX(02_INDICADORES!$B$2:$B$42,MATCH(E150,02_INDICADORES!$A$2:$A$42,0)),"ID?"))</f>
        <v/>
      </c>
      <c r="G150" s="21" t="str">
        <f aca="false">IF(E150="","",IFERROR(INDEX(02_INDICADORES!$C$2:$C$42,MATCH(E150,02_INDICADORES!$A$2:$A$42,0)),"ID?"))</f>
        <v/>
      </c>
      <c r="H150" s="22" t="str">
        <f aca="false">IF(E150="","",IFERROR(INDEX(02_INDICADORES!$D$2:$D$42,MATCH(E150,02_INDICADORES!$A$2:$A$42,0)),""))</f>
        <v/>
      </c>
      <c r="I150" s="9"/>
      <c r="J150" s="16" t="str">
        <f aca="false">IF(OR(I150="",H150=""),"",I150*H150)</f>
        <v/>
      </c>
      <c r="K150" s="9"/>
      <c r="L150" s="9"/>
      <c r="M150" s="9"/>
    </row>
    <row r="151" customFormat="false" ht="15" hidden="false" customHeight="false" outlineLevel="0" collapsed="false">
      <c r="A151" s="9"/>
      <c r="B151" s="9"/>
      <c r="C151" s="11"/>
      <c r="D151" s="9"/>
      <c r="E151" s="9"/>
      <c r="F151" s="22" t="str">
        <f aca="false">IF(E151="","",IFERROR(INDEX(02_INDICADORES!$B$2:$B$42,MATCH(E151,02_INDICADORES!$A$2:$A$42,0)),"ID?"))</f>
        <v/>
      </c>
      <c r="G151" s="21" t="str">
        <f aca="false">IF(E151="","",IFERROR(INDEX(02_INDICADORES!$C$2:$C$42,MATCH(E151,02_INDICADORES!$A$2:$A$42,0)),"ID?"))</f>
        <v/>
      </c>
      <c r="H151" s="22" t="str">
        <f aca="false">IF(E151="","",IFERROR(INDEX(02_INDICADORES!$D$2:$D$42,MATCH(E151,02_INDICADORES!$A$2:$A$42,0)),""))</f>
        <v/>
      </c>
      <c r="I151" s="9"/>
      <c r="J151" s="16" t="str">
        <f aca="false">IF(OR(I151="",H151=""),"",I151*H151)</f>
        <v/>
      </c>
      <c r="K151" s="9"/>
      <c r="L151" s="9"/>
      <c r="M151" s="9"/>
    </row>
    <row r="152" customFormat="false" ht="15" hidden="false" customHeight="false" outlineLevel="0" collapsed="false">
      <c r="A152" s="9"/>
      <c r="B152" s="9"/>
      <c r="C152" s="11"/>
      <c r="D152" s="9"/>
      <c r="E152" s="9"/>
      <c r="F152" s="22" t="str">
        <f aca="false">IF(E152="","",IFERROR(INDEX(02_INDICADORES!$B$2:$B$42,MATCH(E152,02_INDICADORES!$A$2:$A$42,0)),"ID?"))</f>
        <v/>
      </c>
      <c r="G152" s="21" t="str">
        <f aca="false">IF(E152="","",IFERROR(INDEX(02_INDICADORES!$C$2:$C$42,MATCH(E152,02_INDICADORES!$A$2:$A$42,0)),"ID?"))</f>
        <v/>
      </c>
      <c r="H152" s="22" t="str">
        <f aca="false">IF(E152="","",IFERROR(INDEX(02_INDICADORES!$D$2:$D$42,MATCH(E152,02_INDICADORES!$A$2:$A$42,0)),""))</f>
        <v/>
      </c>
      <c r="I152" s="9"/>
      <c r="J152" s="16" t="str">
        <f aca="false">IF(OR(I152="",H152=""),"",I152*H152)</f>
        <v/>
      </c>
      <c r="K152" s="9"/>
      <c r="L152" s="9"/>
      <c r="M152" s="9"/>
    </row>
    <row r="153" customFormat="false" ht="15" hidden="false" customHeight="false" outlineLevel="0" collapsed="false">
      <c r="A153" s="9"/>
      <c r="B153" s="9"/>
      <c r="C153" s="11"/>
      <c r="D153" s="9"/>
      <c r="E153" s="9"/>
      <c r="F153" s="22" t="str">
        <f aca="false">IF(E153="","",IFERROR(INDEX(02_INDICADORES!$B$2:$B$42,MATCH(E153,02_INDICADORES!$A$2:$A$42,0)),"ID?"))</f>
        <v/>
      </c>
      <c r="G153" s="21" t="str">
        <f aca="false">IF(E153="","",IFERROR(INDEX(02_INDICADORES!$C$2:$C$42,MATCH(E153,02_INDICADORES!$A$2:$A$42,0)),"ID?"))</f>
        <v/>
      </c>
      <c r="H153" s="22" t="str">
        <f aca="false">IF(E153="","",IFERROR(INDEX(02_INDICADORES!$D$2:$D$42,MATCH(E153,02_INDICADORES!$A$2:$A$42,0)),""))</f>
        <v/>
      </c>
      <c r="I153" s="9"/>
      <c r="J153" s="16" t="str">
        <f aca="false">IF(OR(I153="",H153=""),"",I153*H153)</f>
        <v/>
      </c>
      <c r="K153" s="9"/>
      <c r="L153" s="9"/>
      <c r="M153" s="9"/>
    </row>
    <row r="154" customFormat="false" ht="15" hidden="false" customHeight="false" outlineLevel="0" collapsed="false">
      <c r="A154" s="9"/>
      <c r="B154" s="9"/>
      <c r="C154" s="11"/>
      <c r="D154" s="9"/>
      <c r="E154" s="9"/>
      <c r="F154" s="22" t="str">
        <f aca="false">IF(E154="","",IFERROR(INDEX(02_INDICADORES!$B$2:$B$42,MATCH(E154,02_INDICADORES!$A$2:$A$42,0)),"ID?"))</f>
        <v/>
      </c>
      <c r="G154" s="21" t="str">
        <f aca="false">IF(E154="","",IFERROR(INDEX(02_INDICADORES!$C$2:$C$42,MATCH(E154,02_INDICADORES!$A$2:$A$42,0)),"ID?"))</f>
        <v/>
      </c>
      <c r="H154" s="22" t="str">
        <f aca="false">IF(E154="","",IFERROR(INDEX(02_INDICADORES!$D$2:$D$42,MATCH(E154,02_INDICADORES!$A$2:$A$42,0)),""))</f>
        <v/>
      </c>
      <c r="I154" s="9"/>
      <c r="J154" s="16" t="str">
        <f aca="false">IF(OR(I154="",H154=""),"",I154*H154)</f>
        <v/>
      </c>
      <c r="K154" s="9"/>
      <c r="L154" s="9"/>
      <c r="M154" s="9"/>
    </row>
    <row r="155" customFormat="false" ht="15" hidden="false" customHeight="false" outlineLevel="0" collapsed="false">
      <c r="A155" s="9"/>
      <c r="B155" s="9"/>
      <c r="C155" s="11"/>
      <c r="D155" s="9"/>
      <c r="E155" s="9"/>
      <c r="F155" s="22" t="str">
        <f aca="false">IF(E155="","",IFERROR(INDEX(02_INDICADORES!$B$2:$B$42,MATCH(E155,02_INDICADORES!$A$2:$A$42,0)),"ID?"))</f>
        <v/>
      </c>
      <c r="G155" s="21" t="str">
        <f aca="false">IF(E155="","",IFERROR(INDEX(02_INDICADORES!$C$2:$C$42,MATCH(E155,02_INDICADORES!$A$2:$A$42,0)),"ID?"))</f>
        <v/>
      </c>
      <c r="H155" s="22" t="str">
        <f aca="false">IF(E155="","",IFERROR(INDEX(02_INDICADORES!$D$2:$D$42,MATCH(E155,02_INDICADORES!$A$2:$A$42,0)),""))</f>
        <v/>
      </c>
      <c r="I155" s="9"/>
      <c r="J155" s="16" t="str">
        <f aca="false">IF(OR(I155="",H155=""),"",I155*H155)</f>
        <v/>
      </c>
      <c r="K155" s="9"/>
      <c r="L155" s="9"/>
      <c r="M155" s="9"/>
    </row>
    <row r="156" customFormat="false" ht="15" hidden="false" customHeight="false" outlineLevel="0" collapsed="false">
      <c r="A156" s="9"/>
      <c r="B156" s="9"/>
      <c r="C156" s="11"/>
      <c r="D156" s="9"/>
      <c r="E156" s="9"/>
      <c r="F156" s="22" t="str">
        <f aca="false">IF(E156="","",IFERROR(INDEX(02_INDICADORES!$B$2:$B$42,MATCH(E156,02_INDICADORES!$A$2:$A$42,0)),"ID?"))</f>
        <v/>
      </c>
      <c r="G156" s="21" t="str">
        <f aca="false">IF(E156="","",IFERROR(INDEX(02_INDICADORES!$C$2:$C$42,MATCH(E156,02_INDICADORES!$A$2:$A$42,0)),"ID?"))</f>
        <v/>
      </c>
      <c r="H156" s="22" t="str">
        <f aca="false">IF(E156="","",IFERROR(INDEX(02_INDICADORES!$D$2:$D$42,MATCH(E156,02_INDICADORES!$A$2:$A$42,0)),""))</f>
        <v/>
      </c>
      <c r="I156" s="9"/>
      <c r="J156" s="16" t="str">
        <f aca="false">IF(OR(I156="",H156=""),"",I156*H156)</f>
        <v/>
      </c>
      <c r="K156" s="9"/>
      <c r="L156" s="9"/>
      <c r="M156" s="9"/>
    </row>
    <row r="157" customFormat="false" ht="15" hidden="false" customHeight="false" outlineLevel="0" collapsed="false">
      <c r="A157" s="9"/>
      <c r="B157" s="9"/>
      <c r="C157" s="11"/>
      <c r="D157" s="9"/>
      <c r="E157" s="9"/>
      <c r="F157" s="22" t="str">
        <f aca="false">IF(E157="","",IFERROR(INDEX(02_INDICADORES!$B$2:$B$42,MATCH(E157,02_INDICADORES!$A$2:$A$42,0)),"ID?"))</f>
        <v/>
      </c>
      <c r="G157" s="21" t="str">
        <f aca="false">IF(E157="","",IFERROR(INDEX(02_INDICADORES!$C$2:$C$42,MATCH(E157,02_INDICADORES!$A$2:$A$42,0)),"ID?"))</f>
        <v/>
      </c>
      <c r="H157" s="22" t="str">
        <f aca="false">IF(E157="","",IFERROR(INDEX(02_INDICADORES!$D$2:$D$42,MATCH(E157,02_INDICADORES!$A$2:$A$42,0)),""))</f>
        <v/>
      </c>
      <c r="I157" s="9"/>
      <c r="J157" s="16" t="str">
        <f aca="false">IF(OR(I157="",H157=""),"",I157*H157)</f>
        <v/>
      </c>
      <c r="K157" s="9"/>
      <c r="L157" s="9"/>
      <c r="M157" s="9"/>
    </row>
    <row r="158" customFormat="false" ht="15" hidden="false" customHeight="false" outlineLevel="0" collapsed="false">
      <c r="A158" s="9"/>
      <c r="B158" s="9"/>
      <c r="C158" s="11"/>
      <c r="D158" s="9"/>
      <c r="E158" s="9"/>
      <c r="F158" s="22" t="str">
        <f aca="false">IF(E158="","",IFERROR(INDEX(02_INDICADORES!$B$2:$B$42,MATCH(E158,02_INDICADORES!$A$2:$A$42,0)),"ID?"))</f>
        <v/>
      </c>
      <c r="G158" s="21" t="str">
        <f aca="false">IF(E158="","",IFERROR(INDEX(02_INDICADORES!$C$2:$C$42,MATCH(E158,02_INDICADORES!$A$2:$A$42,0)),"ID?"))</f>
        <v/>
      </c>
      <c r="H158" s="22" t="str">
        <f aca="false">IF(E158="","",IFERROR(INDEX(02_INDICADORES!$D$2:$D$42,MATCH(E158,02_INDICADORES!$A$2:$A$42,0)),""))</f>
        <v/>
      </c>
      <c r="I158" s="9"/>
      <c r="J158" s="16" t="str">
        <f aca="false">IF(OR(I158="",H158=""),"",I158*H158)</f>
        <v/>
      </c>
      <c r="K158" s="9"/>
      <c r="L158" s="9"/>
      <c r="M158" s="9"/>
    </row>
    <row r="159" customFormat="false" ht="15" hidden="false" customHeight="false" outlineLevel="0" collapsed="false">
      <c r="A159" s="9"/>
      <c r="B159" s="9"/>
      <c r="C159" s="11"/>
      <c r="D159" s="9"/>
      <c r="E159" s="9"/>
      <c r="F159" s="22" t="str">
        <f aca="false">IF(E159="","",IFERROR(INDEX(02_INDICADORES!$B$2:$B$42,MATCH(E159,02_INDICADORES!$A$2:$A$42,0)),"ID?"))</f>
        <v/>
      </c>
      <c r="G159" s="21" t="str">
        <f aca="false">IF(E159="","",IFERROR(INDEX(02_INDICADORES!$C$2:$C$42,MATCH(E159,02_INDICADORES!$A$2:$A$42,0)),"ID?"))</f>
        <v/>
      </c>
      <c r="H159" s="22" t="str">
        <f aca="false">IF(E159="","",IFERROR(INDEX(02_INDICADORES!$D$2:$D$42,MATCH(E159,02_INDICADORES!$A$2:$A$42,0)),""))</f>
        <v/>
      </c>
      <c r="I159" s="9"/>
      <c r="J159" s="16" t="str">
        <f aca="false">IF(OR(I159="",H159=""),"",I159*H159)</f>
        <v/>
      </c>
      <c r="K159" s="9"/>
      <c r="L159" s="9"/>
      <c r="M159" s="9"/>
    </row>
    <row r="160" customFormat="false" ht="15" hidden="false" customHeight="false" outlineLevel="0" collapsed="false">
      <c r="A160" s="9"/>
      <c r="B160" s="9"/>
      <c r="C160" s="11"/>
      <c r="D160" s="9"/>
      <c r="E160" s="9"/>
      <c r="F160" s="22" t="str">
        <f aca="false">IF(E160="","",IFERROR(INDEX(02_INDICADORES!$B$2:$B$42,MATCH(E160,02_INDICADORES!$A$2:$A$42,0)),"ID?"))</f>
        <v/>
      </c>
      <c r="G160" s="21" t="str">
        <f aca="false">IF(E160="","",IFERROR(INDEX(02_INDICADORES!$C$2:$C$42,MATCH(E160,02_INDICADORES!$A$2:$A$42,0)),"ID?"))</f>
        <v/>
      </c>
      <c r="H160" s="22" t="str">
        <f aca="false">IF(E160="","",IFERROR(INDEX(02_INDICADORES!$D$2:$D$42,MATCH(E160,02_INDICADORES!$A$2:$A$42,0)),""))</f>
        <v/>
      </c>
      <c r="I160" s="9"/>
      <c r="J160" s="16" t="str">
        <f aca="false">IF(OR(I160="",H160=""),"",I160*H160)</f>
        <v/>
      </c>
      <c r="K160" s="9"/>
      <c r="L160" s="9"/>
      <c r="M160" s="9"/>
    </row>
    <row r="161" customFormat="false" ht="15" hidden="false" customHeight="false" outlineLevel="0" collapsed="false">
      <c r="A161" s="9"/>
      <c r="B161" s="9"/>
      <c r="C161" s="11"/>
      <c r="D161" s="9"/>
      <c r="E161" s="9"/>
      <c r="F161" s="22" t="str">
        <f aca="false">IF(E161="","",IFERROR(INDEX(02_INDICADORES!$B$2:$B$42,MATCH(E161,02_INDICADORES!$A$2:$A$42,0)),"ID?"))</f>
        <v/>
      </c>
      <c r="G161" s="21" t="str">
        <f aca="false">IF(E161="","",IFERROR(INDEX(02_INDICADORES!$C$2:$C$42,MATCH(E161,02_INDICADORES!$A$2:$A$42,0)),"ID?"))</f>
        <v/>
      </c>
      <c r="H161" s="22" t="str">
        <f aca="false">IF(E161="","",IFERROR(INDEX(02_INDICADORES!$D$2:$D$42,MATCH(E161,02_INDICADORES!$A$2:$A$42,0)),""))</f>
        <v/>
      </c>
      <c r="I161" s="9"/>
      <c r="J161" s="16" t="str">
        <f aca="false">IF(OR(I161="",H161=""),"",I161*H161)</f>
        <v/>
      </c>
      <c r="K161" s="9"/>
      <c r="L161" s="9"/>
      <c r="M161" s="9"/>
    </row>
    <row r="162" customFormat="false" ht="15" hidden="false" customHeight="false" outlineLevel="0" collapsed="false">
      <c r="A162" s="9"/>
      <c r="B162" s="9"/>
      <c r="C162" s="11"/>
      <c r="D162" s="9"/>
      <c r="E162" s="9"/>
      <c r="F162" s="22" t="str">
        <f aca="false">IF(E162="","",IFERROR(INDEX(02_INDICADORES!$B$2:$B$42,MATCH(E162,02_INDICADORES!$A$2:$A$42,0)),"ID?"))</f>
        <v/>
      </c>
      <c r="G162" s="21" t="str">
        <f aca="false">IF(E162="","",IFERROR(INDEX(02_INDICADORES!$C$2:$C$42,MATCH(E162,02_INDICADORES!$A$2:$A$42,0)),"ID?"))</f>
        <v/>
      </c>
      <c r="H162" s="22" t="str">
        <f aca="false">IF(E162="","",IFERROR(INDEX(02_INDICADORES!$D$2:$D$42,MATCH(E162,02_INDICADORES!$A$2:$A$42,0)),""))</f>
        <v/>
      </c>
      <c r="I162" s="9"/>
      <c r="J162" s="16" t="str">
        <f aca="false">IF(OR(I162="",H162=""),"",I162*H162)</f>
        <v/>
      </c>
      <c r="K162" s="9"/>
      <c r="L162" s="9"/>
      <c r="M162" s="9"/>
    </row>
    <row r="163" customFormat="false" ht="15" hidden="false" customHeight="false" outlineLevel="0" collapsed="false">
      <c r="A163" s="9"/>
      <c r="B163" s="9"/>
      <c r="C163" s="11"/>
      <c r="D163" s="9"/>
      <c r="E163" s="9"/>
      <c r="F163" s="22" t="str">
        <f aca="false">IF(E163="","",IFERROR(INDEX(02_INDICADORES!$B$2:$B$42,MATCH(E163,02_INDICADORES!$A$2:$A$42,0)),"ID?"))</f>
        <v/>
      </c>
      <c r="G163" s="21" t="str">
        <f aca="false">IF(E163="","",IFERROR(INDEX(02_INDICADORES!$C$2:$C$42,MATCH(E163,02_INDICADORES!$A$2:$A$42,0)),"ID?"))</f>
        <v/>
      </c>
      <c r="H163" s="22" t="str">
        <f aca="false">IF(E163="","",IFERROR(INDEX(02_INDICADORES!$D$2:$D$42,MATCH(E163,02_INDICADORES!$A$2:$A$42,0)),""))</f>
        <v/>
      </c>
      <c r="I163" s="9"/>
      <c r="J163" s="16" t="str">
        <f aca="false">IF(OR(I163="",H163=""),"",I163*H163)</f>
        <v/>
      </c>
      <c r="K163" s="9"/>
      <c r="L163" s="9"/>
      <c r="M163" s="9"/>
    </row>
    <row r="164" customFormat="false" ht="15" hidden="false" customHeight="false" outlineLevel="0" collapsed="false">
      <c r="A164" s="9"/>
      <c r="B164" s="9"/>
      <c r="C164" s="11"/>
      <c r="D164" s="9"/>
      <c r="E164" s="9"/>
      <c r="F164" s="22" t="str">
        <f aca="false">IF(E164="","",IFERROR(INDEX(02_INDICADORES!$B$2:$B$42,MATCH(E164,02_INDICADORES!$A$2:$A$42,0)),"ID?"))</f>
        <v/>
      </c>
      <c r="G164" s="21" t="str">
        <f aca="false">IF(E164="","",IFERROR(INDEX(02_INDICADORES!$C$2:$C$42,MATCH(E164,02_INDICADORES!$A$2:$A$42,0)),"ID?"))</f>
        <v/>
      </c>
      <c r="H164" s="22" t="str">
        <f aca="false">IF(E164="","",IFERROR(INDEX(02_INDICADORES!$D$2:$D$42,MATCH(E164,02_INDICADORES!$A$2:$A$42,0)),""))</f>
        <v/>
      </c>
      <c r="I164" s="9"/>
      <c r="J164" s="16" t="str">
        <f aca="false">IF(OR(I164="",H164=""),"",I164*H164)</f>
        <v/>
      </c>
      <c r="K164" s="9"/>
      <c r="L164" s="9"/>
      <c r="M164" s="9"/>
    </row>
    <row r="165" customFormat="false" ht="15" hidden="false" customHeight="false" outlineLevel="0" collapsed="false">
      <c r="A165" s="9"/>
      <c r="B165" s="9"/>
      <c r="C165" s="11"/>
      <c r="D165" s="9"/>
      <c r="E165" s="9"/>
      <c r="F165" s="22" t="str">
        <f aca="false">IF(E165="","",IFERROR(INDEX(02_INDICADORES!$B$2:$B$42,MATCH(E165,02_INDICADORES!$A$2:$A$42,0)),"ID?"))</f>
        <v/>
      </c>
      <c r="G165" s="21" t="str">
        <f aca="false">IF(E165="","",IFERROR(INDEX(02_INDICADORES!$C$2:$C$42,MATCH(E165,02_INDICADORES!$A$2:$A$42,0)),"ID?"))</f>
        <v/>
      </c>
      <c r="H165" s="22" t="str">
        <f aca="false">IF(E165="","",IFERROR(INDEX(02_INDICADORES!$D$2:$D$42,MATCH(E165,02_INDICADORES!$A$2:$A$42,0)),""))</f>
        <v/>
      </c>
      <c r="I165" s="9"/>
      <c r="J165" s="16" t="str">
        <f aca="false">IF(OR(I165="",H165=""),"",I165*H165)</f>
        <v/>
      </c>
      <c r="K165" s="9"/>
      <c r="L165" s="9"/>
      <c r="M165" s="9"/>
    </row>
    <row r="166" customFormat="false" ht="15" hidden="false" customHeight="false" outlineLevel="0" collapsed="false">
      <c r="A166" s="9"/>
      <c r="B166" s="9"/>
      <c r="C166" s="11"/>
      <c r="D166" s="9"/>
      <c r="E166" s="9"/>
      <c r="F166" s="22" t="str">
        <f aca="false">IF(E166="","",IFERROR(INDEX(02_INDICADORES!$B$2:$B$42,MATCH(E166,02_INDICADORES!$A$2:$A$42,0)),"ID?"))</f>
        <v/>
      </c>
      <c r="G166" s="21" t="str">
        <f aca="false">IF(E166="","",IFERROR(INDEX(02_INDICADORES!$C$2:$C$42,MATCH(E166,02_INDICADORES!$A$2:$A$42,0)),"ID?"))</f>
        <v/>
      </c>
      <c r="H166" s="22" t="str">
        <f aca="false">IF(E166="","",IFERROR(INDEX(02_INDICADORES!$D$2:$D$42,MATCH(E166,02_INDICADORES!$A$2:$A$42,0)),""))</f>
        <v/>
      </c>
      <c r="I166" s="9"/>
      <c r="J166" s="16" t="str">
        <f aca="false">IF(OR(I166="",H166=""),"",I166*H166)</f>
        <v/>
      </c>
      <c r="K166" s="9"/>
      <c r="L166" s="9"/>
      <c r="M166" s="9"/>
    </row>
    <row r="167" customFormat="false" ht="15" hidden="false" customHeight="false" outlineLevel="0" collapsed="false">
      <c r="A167" s="9"/>
      <c r="B167" s="9"/>
      <c r="C167" s="11"/>
      <c r="D167" s="9"/>
      <c r="E167" s="9"/>
      <c r="F167" s="22" t="str">
        <f aca="false">IF(E167="","",IFERROR(INDEX(02_INDICADORES!$B$2:$B$42,MATCH(E167,02_INDICADORES!$A$2:$A$42,0)),"ID?"))</f>
        <v/>
      </c>
      <c r="G167" s="21" t="str">
        <f aca="false">IF(E167="","",IFERROR(INDEX(02_INDICADORES!$C$2:$C$42,MATCH(E167,02_INDICADORES!$A$2:$A$42,0)),"ID?"))</f>
        <v/>
      </c>
      <c r="H167" s="22" t="str">
        <f aca="false">IF(E167="","",IFERROR(INDEX(02_INDICADORES!$D$2:$D$42,MATCH(E167,02_INDICADORES!$A$2:$A$42,0)),""))</f>
        <v/>
      </c>
      <c r="I167" s="9"/>
      <c r="J167" s="16" t="str">
        <f aca="false">IF(OR(I167="",H167=""),"",I167*H167)</f>
        <v/>
      </c>
      <c r="K167" s="9"/>
      <c r="L167" s="9"/>
      <c r="M167" s="9"/>
    </row>
    <row r="168" customFormat="false" ht="15" hidden="false" customHeight="false" outlineLevel="0" collapsed="false">
      <c r="A168" s="9"/>
      <c r="B168" s="9"/>
      <c r="C168" s="11"/>
      <c r="D168" s="9"/>
      <c r="E168" s="9"/>
      <c r="F168" s="22" t="str">
        <f aca="false">IF(E168="","",IFERROR(INDEX(02_INDICADORES!$B$2:$B$42,MATCH(E168,02_INDICADORES!$A$2:$A$42,0)),"ID?"))</f>
        <v/>
      </c>
      <c r="G168" s="21" t="str">
        <f aca="false">IF(E168="","",IFERROR(INDEX(02_INDICADORES!$C$2:$C$42,MATCH(E168,02_INDICADORES!$A$2:$A$42,0)),"ID?"))</f>
        <v/>
      </c>
      <c r="H168" s="22" t="str">
        <f aca="false">IF(E168="","",IFERROR(INDEX(02_INDICADORES!$D$2:$D$42,MATCH(E168,02_INDICADORES!$A$2:$A$42,0)),""))</f>
        <v/>
      </c>
      <c r="I168" s="9"/>
      <c r="J168" s="16" t="str">
        <f aca="false">IF(OR(I168="",H168=""),"",I168*H168)</f>
        <v/>
      </c>
      <c r="K168" s="9"/>
      <c r="L168" s="9"/>
      <c r="M168" s="9"/>
    </row>
    <row r="169" customFormat="false" ht="15" hidden="false" customHeight="false" outlineLevel="0" collapsed="false">
      <c r="A169" s="9"/>
      <c r="B169" s="9"/>
      <c r="C169" s="11"/>
      <c r="D169" s="9"/>
      <c r="E169" s="9"/>
      <c r="F169" s="22" t="str">
        <f aca="false">IF(E169="","",IFERROR(INDEX(02_INDICADORES!$B$2:$B$42,MATCH(E169,02_INDICADORES!$A$2:$A$42,0)),"ID?"))</f>
        <v/>
      </c>
      <c r="G169" s="21" t="str">
        <f aca="false">IF(E169="","",IFERROR(INDEX(02_INDICADORES!$C$2:$C$42,MATCH(E169,02_INDICADORES!$A$2:$A$42,0)),"ID?"))</f>
        <v/>
      </c>
      <c r="H169" s="22" t="str">
        <f aca="false">IF(E169="","",IFERROR(INDEX(02_INDICADORES!$D$2:$D$42,MATCH(E169,02_INDICADORES!$A$2:$A$42,0)),""))</f>
        <v/>
      </c>
      <c r="I169" s="9"/>
      <c r="J169" s="16" t="str">
        <f aca="false">IF(OR(I169="",H169=""),"",I169*H169)</f>
        <v/>
      </c>
      <c r="K169" s="9"/>
      <c r="L169" s="9"/>
      <c r="M169" s="9"/>
    </row>
    <row r="170" customFormat="false" ht="15" hidden="false" customHeight="false" outlineLevel="0" collapsed="false">
      <c r="A170" s="9"/>
      <c r="B170" s="9"/>
      <c r="C170" s="11"/>
      <c r="D170" s="9"/>
      <c r="E170" s="9"/>
      <c r="F170" s="22" t="str">
        <f aca="false">IF(E170="","",IFERROR(INDEX(02_INDICADORES!$B$2:$B$42,MATCH(E170,02_INDICADORES!$A$2:$A$42,0)),"ID?"))</f>
        <v/>
      </c>
      <c r="G170" s="21" t="str">
        <f aca="false">IF(E170="","",IFERROR(INDEX(02_INDICADORES!$C$2:$C$42,MATCH(E170,02_INDICADORES!$A$2:$A$42,0)),"ID?"))</f>
        <v/>
      </c>
      <c r="H170" s="22" t="str">
        <f aca="false">IF(E170="","",IFERROR(INDEX(02_INDICADORES!$D$2:$D$42,MATCH(E170,02_INDICADORES!$A$2:$A$42,0)),""))</f>
        <v/>
      </c>
      <c r="I170" s="9"/>
      <c r="J170" s="16" t="str">
        <f aca="false">IF(OR(I170="",H170=""),"",I170*H170)</f>
        <v/>
      </c>
      <c r="K170" s="9"/>
      <c r="L170" s="9"/>
      <c r="M170" s="9"/>
    </row>
    <row r="171" customFormat="false" ht="15" hidden="false" customHeight="false" outlineLevel="0" collapsed="false">
      <c r="A171" s="9"/>
      <c r="B171" s="9"/>
      <c r="C171" s="11"/>
      <c r="D171" s="9"/>
      <c r="E171" s="9"/>
      <c r="F171" s="22" t="str">
        <f aca="false">IF(E171="","",IFERROR(INDEX(02_INDICADORES!$B$2:$B$42,MATCH(E171,02_INDICADORES!$A$2:$A$42,0)),"ID?"))</f>
        <v/>
      </c>
      <c r="G171" s="21" t="str">
        <f aca="false">IF(E171="","",IFERROR(INDEX(02_INDICADORES!$C$2:$C$42,MATCH(E171,02_INDICADORES!$A$2:$A$42,0)),"ID?"))</f>
        <v/>
      </c>
      <c r="H171" s="22" t="str">
        <f aca="false">IF(E171="","",IFERROR(INDEX(02_INDICADORES!$D$2:$D$42,MATCH(E171,02_INDICADORES!$A$2:$A$42,0)),""))</f>
        <v/>
      </c>
      <c r="I171" s="9"/>
      <c r="J171" s="16" t="str">
        <f aca="false">IF(OR(I171="",H171=""),"",I171*H171)</f>
        <v/>
      </c>
      <c r="K171" s="9"/>
      <c r="L171" s="9"/>
      <c r="M171" s="9"/>
    </row>
    <row r="172" customFormat="false" ht="15" hidden="false" customHeight="false" outlineLevel="0" collapsed="false">
      <c r="A172" s="9"/>
      <c r="B172" s="9"/>
      <c r="C172" s="11"/>
      <c r="D172" s="9"/>
      <c r="E172" s="9"/>
      <c r="F172" s="22" t="str">
        <f aca="false">IF(E172="","",IFERROR(INDEX(02_INDICADORES!$B$2:$B$42,MATCH(E172,02_INDICADORES!$A$2:$A$42,0)),"ID?"))</f>
        <v/>
      </c>
      <c r="G172" s="21" t="str">
        <f aca="false">IF(E172="","",IFERROR(INDEX(02_INDICADORES!$C$2:$C$42,MATCH(E172,02_INDICADORES!$A$2:$A$42,0)),"ID?"))</f>
        <v/>
      </c>
      <c r="H172" s="22" t="str">
        <f aca="false">IF(E172="","",IFERROR(INDEX(02_INDICADORES!$D$2:$D$42,MATCH(E172,02_INDICADORES!$A$2:$A$42,0)),""))</f>
        <v/>
      </c>
      <c r="I172" s="9"/>
      <c r="J172" s="16" t="str">
        <f aca="false">IF(OR(I172="",H172=""),"",I172*H172)</f>
        <v/>
      </c>
      <c r="K172" s="9"/>
      <c r="L172" s="9"/>
      <c r="M172" s="9"/>
    </row>
    <row r="173" customFormat="false" ht="15" hidden="false" customHeight="false" outlineLevel="0" collapsed="false">
      <c r="A173" s="9"/>
      <c r="B173" s="9"/>
      <c r="C173" s="11"/>
      <c r="D173" s="9"/>
      <c r="E173" s="9"/>
      <c r="F173" s="22" t="str">
        <f aca="false">IF(E173="","",IFERROR(INDEX(02_INDICADORES!$B$2:$B$42,MATCH(E173,02_INDICADORES!$A$2:$A$42,0)),"ID?"))</f>
        <v/>
      </c>
      <c r="G173" s="21" t="str">
        <f aca="false">IF(E173="","",IFERROR(INDEX(02_INDICADORES!$C$2:$C$42,MATCH(E173,02_INDICADORES!$A$2:$A$42,0)),"ID?"))</f>
        <v/>
      </c>
      <c r="H173" s="22" t="str">
        <f aca="false">IF(E173="","",IFERROR(INDEX(02_INDICADORES!$D$2:$D$42,MATCH(E173,02_INDICADORES!$A$2:$A$42,0)),""))</f>
        <v/>
      </c>
      <c r="I173" s="9"/>
      <c r="J173" s="16" t="str">
        <f aca="false">IF(OR(I173="",H173=""),"",I173*H173)</f>
        <v/>
      </c>
      <c r="K173" s="9"/>
      <c r="L173" s="9"/>
      <c r="M173" s="9"/>
    </row>
    <row r="174" customFormat="false" ht="15" hidden="false" customHeight="false" outlineLevel="0" collapsed="false">
      <c r="A174" s="9"/>
      <c r="B174" s="9"/>
      <c r="C174" s="11"/>
      <c r="D174" s="9"/>
      <c r="E174" s="9"/>
      <c r="F174" s="22" t="str">
        <f aca="false">IF(E174="","",IFERROR(INDEX(02_INDICADORES!$B$2:$B$42,MATCH(E174,02_INDICADORES!$A$2:$A$42,0)),"ID?"))</f>
        <v/>
      </c>
      <c r="G174" s="21" t="str">
        <f aca="false">IF(E174="","",IFERROR(INDEX(02_INDICADORES!$C$2:$C$42,MATCH(E174,02_INDICADORES!$A$2:$A$42,0)),"ID?"))</f>
        <v/>
      </c>
      <c r="H174" s="22" t="str">
        <f aca="false">IF(E174="","",IFERROR(INDEX(02_INDICADORES!$D$2:$D$42,MATCH(E174,02_INDICADORES!$A$2:$A$42,0)),""))</f>
        <v/>
      </c>
      <c r="I174" s="9"/>
      <c r="J174" s="16" t="str">
        <f aca="false">IF(OR(I174="",H174=""),"",I174*H174)</f>
        <v/>
      </c>
      <c r="K174" s="9"/>
      <c r="L174" s="9"/>
      <c r="M174" s="9"/>
    </row>
    <row r="175" customFormat="false" ht="15" hidden="false" customHeight="false" outlineLevel="0" collapsed="false">
      <c r="A175" s="9"/>
      <c r="B175" s="9"/>
      <c r="C175" s="11"/>
      <c r="D175" s="9"/>
      <c r="E175" s="9"/>
      <c r="F175" s="22" t="str">
        <f aca="false">IF(E175="","",IFERROR(INDEX(02_INDICADORES!$B$2:$B$42,MATCH(E175,02_INDICADORES!$A$2:$A$42,0)),"ID?"))</f>
        <v/>
      </c>
      <c r="G175" s="21" t="str">
        <f aca="false">IF(E175="","",IFERROR(INDEX(02_INDICADORES!$C$2:$C$42,MATCH(E175,02_INDICADORES!$A$2:$A$42,0)),"ID?"))</f>
        <v/>
      </c>
      <c r="H175" s="22" t="str">
        <f aca="false">IF(E175="","",IFERROR(INDEX(02_INDICADORES!$D$2:$D$42,MATCH(E175,02_INDICADORES!$A$2:$A$42,0)),""))</f>
        <v/>
      </c>
      <c r="I175" s="9"/>
      <c r="J175" s="16" t="str">
        <f aca="false">IF(OR(I175="",H175=""),"",I175*H175)</f>
        <v/>
      </c>
      <c r="K175" s="9"/>
      <c r="L175" s="9"/>
      <c r="M175" s="9"/>
    </row>
    <row r="176" customFormat="false" ht="15" hidden="false" customHeight="false" outlineLevel="0" collapsed="false">
      <c r="A176" s="9"/>
      <c r="B176" s="9"/>
      <c r="C176" s="11"/>
      <c r="D176" s="9"/>
      <c r="E176" s="9"/>
      <c r="F176" s="22" t="str">
        <f aca="false">IF(E176="","",IFERROR(INDEX(02_INDICADORES!$B$2:$B$42,MATCH(E176,02_INDICADORES!$A$2:$A$42,0)),"ID?"))</f>
        <v/>
      </c>
      <c r="G176" s="21" t="str">
        <f aca="false">IF(E176="","",IFERROR(INDEX(02_INDICADORES!$C$2:$C$42,MATCH(E176,02_INDICADORES!$A$2:$A$42,0)),"ID?"))</f>
        <v/>
      </c>
      <c r="H176" s="22" t="str">
        <f aca="false">IF(E176="","",IFERROR(INDEX(02_INDICADORES!$D$2:$D$42,MATCH(E176,02_INDICADORES!$A$2:$A$42,0)),""))</f>
        <v/>
      </c>
      <c r="I176" s="9"/>
      <c r="J176" s="16" t="str">
        <f aca="false">IF(OR(I176="",H176=""),"",I176*H176)</f>
        <v/>
      </c>
      <c r="K176" s="9"/>
      <c r="L176" s="9"/>
      <c r="M176" s="9"/>
    </row>
    <row r="177" customFormat="false" ht="15" hidden="false" customHeight="false" outlineLevel="0" collapsed="false">
      <c r="A177" s="9"/>
      <c r="B177" s="9"/>
      <c r="C177" s="11"/>
      <c r="D177" s="9"/>
      <c r="E177" s="9"/>
      <c r="F177" s="22" t="str">
        <f aca="false">IF(E177="","",IFERROR(INDEX(02_INDICADORES!$B$2:$B$42,MATCH(E177,02_INDICADORES!$A$2:$A$42,0)),"ID?"))</f>
        <v/>
      </c>
      <c r="G177" s="21" t="str">
        <f aca="false">IF(E177="","",IFERROR(INDEX(02_INDICADORES!$C$2:$C$42,MATCH(E177,02_INDICADORES!$A$2:$A$42,0)),"ID?"))</f>
        <v/>
      </c>
      <c r="H177" s="22" t="str">
        <f aca="false">IF(E177="","",IFERROR(INDEX(02_INDICADORES!$D$2:$D$42,MATCH(E177,02_INDICADORES!$A$2:$A$42,0)),""))</f>
        <v/>
      </c>
      <c r="I177" s="9"/>
      <c r="J177" s="16" t="str">
        <f aca="false">IF(OR(I177="",H177=""),"",I177*H177)</f>
        <v/>
      </c>
      <c r="K177" s="9"/>
      <c r="L177" s="9"/>
      <c r="M177" s="9"/>
    </row>
    <row r="178" customFormat="false" ht="15" hidden="false" customHeight="false" outlineLevel="0" collapsed="false">
      <c r="A178" s="9"/>
      <c r="B178" s="9"/>
      <c r="C178" s="11"/>
      <c r="D178" s="9"/>
      <c r="E178" s="9"/>
      <c r="F178" s="22" t="str">
        <f aca="false">IF(E178="","",IFERROR(INDEX(02_INDICADORES!$B$2:$B$42,MATCH(E178,02_INDICADORES!$A$2:$A$42,0)),"ID?"))</f>
        <v/>
      </c>
      <c r="G178" s="21" t="str">
        <f aca="false">IF(E178="","",IFERROR(INDEX(02_INDICADORES!$C$2:$C$42,MATCH(E178,02_INDICADORES!$A$2:$A$42,0)),"ID?"))</f>
        <v/>
      </c>
      <c r="H178" s="22" t="str">
        <f aca="false">IF(E178="","",IFERROR(INDEX(02_INDICADORES!$D$2:$D$42,MATCH(E178,02_INDICADORES!$A$2:$A$42,0)),""))</f>
        <v/>
      </c>
      <c r="I178" s="9"/>
      <c r="J178" s="16" t="str">
        <f aca="false">IF(OR(I178="",H178=""),"",I178*H178)</f>
        <v/>
      </c>
      <c r="K178" s="9"/>
      <c r="L178" s="9"/>
      <c r="M178" s="9"/>
    </row>
    <row r="179" customFormat="false" ht="15" hidden="false" customHeight="false" outlineLevel="0" collapsed="false">
      <c r="A179" s="9"/>
      <c r="B179" s="9"/>
      <c r="C179" s="11"/>
      <c r="D179" s="9"/>
      <c r="E179" s="9"/>
      <c r="F179" s="22" t="str">
        <f aca="false">IF(E179="","",IFERROR(INDEX(02_INDICADORES!$B$2:$B$42,MATCH(E179,02_INDICADORES!$A$2:$A$42,0)),"ID?"))</f>
        <v/>
      </c>
      <c r="G179" s="21" t="str">
        <f aca="false">IF(E179="","",IFERROR(INDEX(02_INDICADORES!$C$2:$C$42,MATCH(E179,02_INDICADORES!$A$2:$A$42,0)),"ID?"))</f>
        <v/>
      </c>
      <c r="H179" s="22" t="str">
        <f aca="false">IF(E179="","",IFERROR(INDEX(02_INDICADORES!$D$2:$D$42,MATCH(E179,02_INDICADORES!$A$2:$A$42,0)),""))</f>
        <v/>
      </c>
      <c r="I179" s="9"/>
      <c r="J179" s="16" t="str">
        <f aca="false">IF(OR(I179="",H179=""),"",I179*H179)</f>
        <v/>
      </c>
      <c r="K179" s="9"/>
      <c r="L179" s="9"/>
      <c r="M179" s="9"/>
    </row>
    <row r="180" customFormat="false" ht="15" hidden="false" customHeight="false" outlineLevel="0" collapsed="false">
      <c r="A180" s="9"/>
      <c r="B180" s="9"/>
      <c r="C180" s="11"/>
      <c r="D180" s="9"/>
      <c r="E180" s="9"/>
      <c r="F180" s="22" t="str">
        <f aca="false">IF(E180="","",IFERROR(INDEX(02_INDICADORES!$B$2:$B$42,MATCH(E180,02_INDICADORES!$A$2:$A$42,0)),"ID?"))</f>
        <v/>
      </c>
      <c r="G180" s="21" t="str">
        <f aca="false">IF(E180="","",IFERROR(INDEX(02_INDICADORES!$C$2:$C$42,MATCH(E180,02_INDICADORES!$A$2:$A$42,0)),"ID?"))</f>
        <v/>
      </c>
      <c r="H180" s="22" t="str">
        <f aca="false">IF(E180="","",IFERROR(INDEX(02_INDICADORES!$D$2:$D$42,MATCH(E180,02_INDICADORES!$A$2:$A$42,0)),""))</f>
        <v/>
      </c>
      <c r="I180" s="9"/>
      <c r="J180" s="16" t="str">
        <f aca="false">IF(OR(I180="",H180=""),"",I180*H180)</f>
        <v/>
      </c>
      <c r="K180" s="9"/>
      <c r="L180" s="9"/>
      <c r="M180" s="9"/>
    </row>
    <row r="181" customFormat="false" ht="15" hidden="false" customHeight="false" outlineLevel="0" collapsed="false">
      <c r="A181" s="9"/>
      <c r="B181" s="9"/>
      <c r="C181" s="11"/>
      <c r="D181" s="9"/>
      <c r="E181" s="9"/>
      <c r="F181" s="22" t="str">
        <f aca="false">IF(E181="","",IFERROR(INDEX(02_INDICADORES!$B$2:$B$42,MATCH(E181,02_INDICADORES!$A$2:$A$42,0)),"ID?"))</f>
        <v/>
      </c>
      <c r="G181" s="21" t="str">
        <f aca="false">IF(E181="","",IFERROR(INDEX(02_INDICADORES!$C$2:$C$42,MATCH(E181,02_INDICADORES!$A$2:$A$42,0)),"ID?"))</f>
        <v/>
      </c>
      <c r="H181" s="22" t="str">
        <f aca="false">IF(E181="","",IFERROR(INDEX(02_INDICADORES!$D$2:$D$42,MATCH(E181,02_INDICADORES!$A$2:$A$42,0)),""))</f>
        <v/>
      </c>
      <c r="I181" s="9"/>
      <c r="J181" s="16" t="str">
        <f aca="false">IF(OR(I181="",H181=""),"",I181*H181)</f>
        <v/>
      </c>
      <c r="K181" s="9"/>
      <c r="L181" s="9"/>
      <c r="M181" s="9"/>
    </row>
    <row r="182" customFormat="false" ht="15" hidden="false" customHeight="false" outlineLevel="0" collapsed="false">
      <c r="A182" s="9"/>
      <c r="B182" s="9"/>
      <c r="C182" s="11"/>
      <c r="D182" s="9"/>
      <c r="E182" s="9"/>
      <c r="F182" s="22" t="str">
        <f aca="false">IF(E182="","",IFERROR(INDEX(02_INDICADORES!$B$2:$B$42,MATCH(E182,02_INDICADORES!$A$2:$A$42,0)),"ID?"))</f>
        <v/>
      </c>
      <c r="G182" s="21" t="str">
        <f aca="false">IF(E182="","",IFERROR(INDEX(02_INDICADORES!$C$2:$C$42,MATCH(E182,02_INDICADORES!$A$2:$A$42,0)),"ID?"))</f>
        <v/>
      </c>
      <c r="H182" s="22" t="str">
        <f aca="false">IF(E182="","",IFERROR(INDEX(02_INDICADORES!$D$2:$D$42,MATCH(E182,02_INDICADORES!$A$2:$A$42,0)),""))</f>
        <v/>
      </c>
      <c r="I182" s="9"/>
      <c r="J182" s="16" t="str">
        <f aca="false">IF(OR(I182="",H182=""),"",I182*H182)</f>
        <v/>
      </c>
      <c r="K182" s="9"/>
      <c r="L182" s="9"/>
      <c r="M182" s="9"/>
    </row>
    <row r="183" customFormat="false" ht="15" hidden="false" customHeight="false" outlineLevel="0" collapsed="false">
      <c r="A183" s="9"/>
      <c r="B183" s="9"/>
      <c r="C183" s="11"/>
      <c r="D183" s="9"/>
      <c r="E183" s="9"/>
      <c r="F183" s="22" t="str">
        <f aca="false">IF(E183="","",IFERROR(INDEX(02_INDICADORES!$B$2:$B$42,MATCH(E183,02_INDICADORES!$A$2:$A$42,0)),"ID?"))</f>
        <v/>
      </c>
      <c r="G183" s="21" t="str">
        <f aca="false">IF(E183="","",IFERROR(INDEX(02_INDICADORES!$C$2:$C$42,MATCH(E183,02_INDICADORES!$A$2:$A$42,0)),"ID?"))</f>
        <v/>
      </c>
      <c r="H183" s="22" t="str">
        <f aca="false">IF(E183="","",IFERROR(INDEX(02_INDICADORES!$D$2:$D$42,MATCH(E183,02_INDICADORES!$A$2:$A$42,0)),""))</f>
        <v/>
      </c>
      <c r="I183" s="9"/>
      <c r="J183" s="16" t="str">
        <f aca="false">IF(OR(I183="",H183=""),"",I183*H183)</f>
        <v/>
      </c>
      <c r="K183" s="9"/>
      <c r="L183" s="9"/>
      <c r="M183" s="9"/>
    </row>
    <row r="184" customFormat="false" ht="15" hidden="false" customHeight="false" outlineLevel="0" collapsed="false">
      <c r="A184" s="9"/>
      <c r="B184" s="9"/>
      <c r="C184" s="11"/>
      <c r="D184" s="9"/>
      <c r="E184" s="9"/>
      <c r="F184" s="22" t="str">
        <f aca="false">IF(E184="","",IFERROR(INDEX(02_INDICADORES!$B$2:$B$42,MATCH(E184,02_INDICADORES!$A$2:$A$42,0)),"ID?"))</f>
        <v/>
      </c>
      <c r="G184" s="21" t="str">
        <f aca="false">IF(E184="","",IFERROR(INDEX(02_INDICADORES!$C$2:$C$42,MATCH(E184,02_INDICADORES!$A$2:$A$42,0)),"ID?"))</f>
        <v/>
      </c>
      <c r="H184" s="22" t="str">
        <f aca="false">IF(E184="","",IFERROR(INDEX(02_INDICADORES!$D$2:$D$42,MATCH(E184,02_INDICADORES!$A$2:$A$42,0)),""))</f>
        <v/>
      </c>
      <c r="I184" s="9"/>
      <c r="J184" s="16" t="str">
        <f aca="false">IF(OR(I184="",H184=""),"",I184*H184)</f>
        <v/>
      </c>
      <c r="K184" s="9"/>
      <c r="L184" s="9"/>
      <c r="M184" s="9"/>
    </row>
    <row r="185" customFormat="false" ht="15" hidden="false" customHeight="false" outlineLevel="0" collapsed="false">
      <c r="A185" s="9"/>
      <c r="B185" s="9"/>
      <c r="C185" s="11"/>
      <c r="D185" s="9"/>
      <c r="E185" s="9"/>
      <c r="F185" s="22" t="str">
        <f aca="false">IF(E185="","",IFERROR(INDEX(02_INDICADORES!$B$2:$B$42,MATCH(E185,02_INDICADORES!$A$2:$A$42,0)),"ID?"))</f>
        <v/>
      </c>
      <c r="G185" s="21" t="str">
        <f aca="false">IF(E185="","",IFERROR(INDEX(02_INDICADORES!$C$2:$C$42,MATCH(E185,02_INDICADORES!$A$2:$A$42,0)),"ID?"))</f>
        <v/>
      </c>
      <c r="H185" s="22" t="str">
        <f aca="false">IF(E185="","",IFERROR(INDEX(02_INDICADORES!$D$2:$D$42,MATCH(E185,02_INDICADORES!$A$2:$A$42,0)),""))</f>
        <v/>
      </c>
      <c r="I185" s="9"/>
      <c r="J185" s="16" t="str">
        <f aca="false">IF(OR(I185="",H185=""),"",I185*H185)</f>
        <v/>
      </c>
      <c r="K185" s="9"/>
      <c r="L185" s="9"/>
      <c r="M185" s="9"/>
    </row>
    <row r="186" customFormat="false" ht="15" hidden="false" customHeight="false" outlineLevel="0" collapsed="false">
      <c r="A186" s="9"/>
      <c r="B186" s="9"/>
      <c r="C186" s="11"/>
      <c r="D186" s="9"/>
      <c r="E186" s="9"/>
      <c r="F186" s="22" t="str">
        <f aca="false">IF(E186="","",IFERROR(INDEX(02_INDICADORES!$B$2:$B$42,MATCH(E186,02_INDICADORES!$A$2:$A$42,0)),"ID?"))</f>
        <v/>
      </c>
      <c r="G186" s="21" t="str">
        <f aca="false">IF(E186="","",IFERROR(INDEX(02_INDICADORES!$C$2:$C$42,MATCH(E186,02_INDICADORES!$A$2:$A$42,0)),"ID?"))</f>
        <v/>
      </c>
      <c r="H186" s="22" t="str">
        <f aca="false">IF(E186="","",IFERROR(INDEX(02_INDICADORES!$D$2:$D$42,MATCH(E186,02_INDICADORES!$A$2:$A$42,0)),""))</f>
        <v/>
      </c>
      <c r="I186" s="9"/>
      <c r="J186" s="16" t="str">
        <f aca="false">IF(OR(I186="",H186=""),"",I186*H186)</f>
        <v/>
      </c>
      <c r="K186" s="9"/>
      <c r="L186" s="9"/>
      <c r="M186" s="9"/>
    </row>
    <row r="187" customFormat="false" ht="15" hidden="false" customHeight="false" outlineLevel="0" collapsed="false">
      <c r="A187" s="9"/>
      <c r="B187" s="9"/>
      <c r="C187" s="11"/>
      <c r="D187" s="9"/>
      <c r="E187" s="9"/>
      <c r="F187" s="22" t="str">
        <f aca="false">IF(E187="","",IFERROR(INDEX(02_INDICADORES!$B$2:$B$42,MATCH(E187,02_INDICADORES!$A$2:$A$42,0)),"ID?"))</f>
        <v/>
      </c>
      <c r="G187" s="21" t="str">
        <f aca="false">IF(E187="","",IFERROR(INDEX(02_INDICADORES!$C$2:$C$42,MATCH(E187,02_INDICADORES!$A$2:$A$42,0)),"ID?"))</f>
        <v/>
      </c>
      <c r="H187" s="22" t="str">
        <f aca="false">IF(E187="","",IFERROR(INDEX(02_INDICADORES!$D$2:$D$42,MATCH(E187,02_INDICADORES!$A$2:$A$42,0)),""))</f>
        <v/>
      </c>
      <c r="I187" s="9"/>
      <c r="J187" s="16" t="str">
        <f aca="false">IF(OR(I187="",H187=""),"",I187*H187)</f>
        <v/>
      </c>
      <c r="K187" s="9"/>
      <c r="L187" s="9"/>
      <c r="M187" s="9"/>
    </row>
    <row r="188" customFormat="false" ht="15" hidden="false" customHeight="false" outlineLevel="0" collapsed="false">
      <c r="A188" s="9"/>
      <c r="B188" s="9"/>
      <c r="C188" s="11"/>
      <c r="D188" s="9"/>
      <c r="E188" s="9"/>
      <c r="F188" s="22" t="str">
        <f aca="false">IF(E188="","",IFERROR(INDEX(02_INDICADORES!$B$2:$B$42,MATCH(E188,02_INDICADORES!$A$2:$A$42,0)),"ID?"))</f>
        <v/>
      </c>
      <c r="G188" s="21" t="str">
        <f aca="false">IF(E188="","",IFERROR(INDEX(02_INDICADORES!$C$2:$C$42,MATCH(E188,02_INDICADORES!$A$2:$A$42,0)),"ID?"))</f>
        <v/>
      </c>
      <c r="H188" s="22" t="str">
        <f aca="false">IF(E188="","",IFERROR(INDEX(02_INDICADORES!$D$2:$D$42,MATCH(E188,02_INDICADORES!$A$2:$A$42,0)),""))</f>
        <v/>
      </c>
      <c r="I188" s="9"/>
      <c r="J188" s="16" t="str">
        <f aca="false">IF(OR(I188="",H188=""),"",I188*H188)</f>
        <v/>
      </c>
      <c r="K188" s="9"/>
      <c r="L188" s="9"/>
      <c r="M188" s="9"/>
    </row>
    <row r="189" customFormat="false" ht="15" hidden="false" customHeight="false" outlineLevel="0" collapsed="false">
      <c r="A189" s="9"/>
      <c r="B189" s="9"/>
      <c r="C189" s="11"/>
      <c r="D189" s="9"/>
      <c r="E189" s="9"/>
      <c r="F189" s="22" t="str">
        <f aca="false">IF(E189="","",IFERROR(INDEX(02_INDICADORES!$B$2:$B$42,MATCH(E189,02_INDICADORES!$A$2:$A$42,0)),"ID?"))</f>
        <v/>
      </c>
      <c r="G189" s="21" t="str">
        <f aca="false">IF(E189="","",IFERROR(INDEX(02_INDICADORES!$C$2:$C$42,MATCH(E189,02_INDICADORES!$A$2:$A$42,0)),"ID?"))</f>
        <v/>
      </c>
      <c r="H189" s="22" t="str">
        <f aca="false">IF(E189="","",IFERROR(INDEX(02_INDICADORES!$D$2:$D$42,MATCH(E189,02_INDICADORES!$A$2:$A$42,0)),""))</f>
        <v/>
      </c>
      <c r="I189" s="9"/>
      <c r="J189" s="16" t="str">
        <f aca="false">IF(OR(I189="",H189=""),"",I189*H189)</f>
        <v/>
      </c>
      <c r="K189" s="9"/>
      <c r="L189" s="9"/>
      <c r="M189" s="9"/>
    </row>
    <row r="190" customFormat="false" ht="15" hidden="false" customHeight="false" outlineLevel="0" collapsed="false">
      <c r="A190" s="9"/>
      <c r="B190" s="9"/>
      <c r="C190" s="11"/>
      <c r="D190" s="9"/>
      <c r="E190" s="9"/>
      <c r="F190" s="22" t="str">
        <f aca="false">IF(E190="","",IFERROR(INDEX(02_INDICADORES!$B$2:$B$42,MATCH(E190,02_INDICADORES!$A$2:$A$42,0)),"ID?"))</f>
        <v/>
      </c>
      <c r="G190" s="21" t="str">
        <f aca="false">IF(E190="","",IFERROR(INDEX(02_INDICADORES!$C$2:$C$42,MATCH(E190,02_INDICADORES!$A$2:$A$42,0)),"ID?"))</f>
        <v/>
      </c>
      <c r="H190" s="22" t="str">
        <f aca="false">IF(E190="","",IFERROR(INDEX(02_INDICADORES!$D$2:$D$42,MATCH(E190,02_INDICADORES!$A$2:$A$42,0)),""))</f>
        <v/>
      </c>
      <c r="I190" s="9"/>
      <c r="J190" s="16" t="str">
        <f aca="false">IF(OR(I190="",H190=""),"",I190*H190)</f>
        <v/>
      </c>
      <c r="K190" s="9"/>
      <c r="L190" s="9"/>
      <c r="M190" s="9"/>
    </row>
    <row r="191" customFormat="false" ht="15" hidden="false" customHeight="false" outlineLevel="0" collapsed="false">
      <c r="A191" s="9"/>
      <c r="B191" s="9"/>
      <c r="C191" s="11"/>
      <c r="D191" s="9"/>
      <c r="E191" s="9"/>
      <c r="F191" s="22" t="str">
        <f aca="false">IF(E191="","",IFERROR(INDEX(02_INDICADORES!$B$2:$B$42,MATCH(E191,02_INDICADORES!$A$2:$A$42,0)),"ID?"))</f>
        <v/>
      </c>
      <c r="G191" s="21" t="str">
        <f aca="false">IF(E191="","",IFERROR(INDEX(02_INDICADORES!$C$2:$C$42,MATCH(E191,02_INDICADORES!$A$2:$A$42,0)),"ID?"))</f>
        <v/>
      </c>
      <c r="H191" s="22" t="str">
        <f aca="false">IF(E191="","",IFERROR(INDEX(02_INDICADORES!$D$2:$D$42,MATCH(E191,02_INDICADORES!$A$2:$A$42,0)),""))</f>
        <v/>
      </c>
      <c r="I191" s="9"/>
      <c r="J191" s="16" t="str">
        <f aca="false">IF(OR(I191="",H191=""),"",I191*H191)</f>
        <v/>
      </c>
      <c r="K191" s="9"/>
      <c r="L191" s="9"/>
      <c r="M191" s="9"/>
    </row>
    <row r="192" customFormat="false" ht="15" hidden="false" customHeight="false" outlineLevel="0" collapsed="false">
      <c r="A192" s="9"/>
      <c r="B192" s="9"/>
      <c r="C192" s="11"/>
      <c r="D192" s="9"/>
      <c r="E192" s="9"/>
      <c r="F192" s="22" t="str">
        <f aca="false">IF(E192="","",IFERROR(INDEX(02_INDICADORES!$B$2:$B$42,MATCH(E192,02_INDICADORES!$A$2:$A$42,0)),"ID?"))</f>
        <v/>
      </c>
      <c r="G192" s="21" t="str">
        <f aca="false">IF(E192="","",IFERROR(INDEX(02_INDICADORES!$C$2:$C$42,MATCH(E192,02_INDICADORES!$A$2:$A$42,0)),"ID?"))</f>
        <v/>
      </c>
      <c r="H192" s="22" t="str">
        <f aca="false">IF(E192="","",IFERROR(INDEX(02_INDICADORES!$D$2:$D$42,MATCH(E192,02_INDICADORES!$A$2:$A$42,0)),""))</f>
        <v/>
      </c>
      <c r="I192" s="9"/>
      <c r="J192" s="16" t="str">
        <f aca="false">IF(OR(I192="",H192=""),"",I192*H192)</f>
        <v/>
      </c>
      <c r="K192" s="9"/>
      <c r="L192" s="9"/>
      <c r="M192" s="9"/>
    </row>
    <row r="193" customFormat="false" ht="15" hidden="false" customHeight="false" outlineLevel="0" collapsed="false">
      <c r="A193" s="9"/>
      <c r="B193" s="9"/>
      <c r="C193" s="11"/>
      <c r="D193" s="9"/>
      <c r="E193" s="9"/>
      <c r="F193" s="22" t="str">
        <f aca="false">IF(E193="","",IFERROR(INDEX(02_INDICADORES!$B$2:$B$42,MATCH(E193,02_INDICADORES!$A$2:$A$42,0)),"ID?"))</f>
        <v/>
      </c>
      <c r="G193" s="21" t="str">
        <f aca="false">IF(E193="","",IFERROR(INDEX(02_INDICADORES!$C$2:$C$42,MATCH(E193,02_INDICADORES!$A$2:$A$42,0)),"ID?"))</f>
        <v/>
      </c>
      <c r="H193" s="22" t="str">
        <f aca="false">IF(E193="","",IFERROR(INDEX(02_INDICADORES!$D$2:$D$42,MATCH(E193,02_INDICADORES!$A$2:$A$42,0)),""))</f>
        <v/>
      </c>
      <c r="I193" s="9"/>
      <c r="J193" s="16" t="str">
        <f aca="false">IF(OR(I193="",H193=""),"",I193*H193)</f>
        <v/>
      </c>
      <c r="K193" s="9"/>
      <c r="L193" s="9"/>
      <c r="M193" s="9"/>
    </row>
    <row r="194" customFormat="false" ht="15" hidden="false" customHeight="false" outlineLevel="0" collapsed="false">
      <c r="A194" s="9"/>
      <c r="B194" s="9"/>
      <c r="C194" s="11"/>
      <c r="D194" s="9"/>
      <c r="E194" s="9"/>
      <c r="F194" s="22" t="str">
        <f aca="false">IF(E194="","",IFERROR(INDEX(02_INDICADORES!$B$2:$B$42,MATCH(E194,02_INDICADORES!$A$2:$A$42,0)),"ID?"))</f>
        <v/>
      </c>
      <c r="G194" s="21" t="str">
        <f aca="false">IF(E194="","",IFERROR(INDEX(02_INDICADORES!$C$2:$C$42,MATCH(E194,02_INDICADORES!$A$2:$A$42,0)),"ID?"))</f>
        <v/>
      </c>
      <c r="H194" s="22" t="str">
        <f aca="false">IF(E194="","",IFERROR(INDEX(02_INDICADORES!$D$2:$D$42,MATCH(E194,02_INDICADORES!$A$2:$A$42,0)),""))</f>
        <v/>
      </c>
      <c r="I194" s="9"/>
      <c r="J194" s="16" t="str">
        <f aca="false">IF(OR(I194="",H194=""),"",I194*H194)</f>
        <v/>
      </c>
      <c r="K194" s="9"/>
      <c r="L194" s="9"/>
      <c r="M194" s="9"/>
    </row>
    <row r="195" customFormat="false" ht="15" hidden="false" customHeight="false" outlineLevel="0" collapsed="false">
      <c r="A195" s="9"/>
      <c r="B195" s="9"/>
      <c r="C195" s="11"/>
      <c r="D195" s="9"/>
      <c r="E195" s="9"/>
      <c r="F195" s="22" t="str">
        <f aca="false">IF(E195="","",IFERROR(INDEX(02_INDICADORES!$B$2:$B$42,MATCH(E195,02_INDICADORES!$A$2:$A$42,0)),"ID?"))</f>
        <v/>
      </c>
      <c r="G195" s="21" t="str">
        <f aca="false">IF(E195="","",IFERROR(INDEX(02_INDICADORES!$C$2:$C$42,MATCH(E195,02_INDICADORES!$A$2:$A$42,0)),"ID?"))</f>
        <v/>
      </c>
      <c r="H195" s="22" t="str">
        <f aca="false">IF(E195="","",IFERROR(INDEX(02_INDICADORES!$D$2:$D$42,MATCH(E195,02_INDICADORES!$A$2:$A$42,0)),""))</f>
        <v/>
      </c>
      <c r="I195" s="9"/>
      <c r="J195" s="16" t="str">
        <f aca="false">IF(OR(I195="",H195=""),"",I195*H195)</f>
        <v/>
      </c>
      <c r="K195" s="9"/>
      <c r="L195" s="9"/>
      <c r="M195" s="9"/>
    </row>
    <row r="196" customFormat="false" ht="15" hidden="false" customHeight="false" outlineLevel="0" collapsed="false">
      <c r="A196" s="9"/>
      <c r="B196" s="9"/>
      <c r="C196" s="11"/>
      <c r="D196" s="9"/>
      <c r="E196" s="9"/>
      <c r="F196" s="22" t="str">
        <f aca="false">IF(E196="","",IFERROR(INDEX(02_INDICADORES!$B$2:$B$42,MATCH(E196,02_INDICADORES!$A$2:$A$42,0)),"ID?"))</f>
        <v/>
      </c>
      <c r="G196" s="21" t="str">
        <f aca="false">IF(E196="","",IFERROR(INDEX(02_INDICADORES!$C$2:$C$42,MATCH(E196,02_INDICADORES!$A$2:$A$42,0)),"ID?"))</f>
        <v/>
      </c>
      <c r="H196" s="22" t="str">
        <f aca="false">IF(E196="","",IFERROR(INDEX(02_INDICADORES!$D$2:$D$42,MATCH(E196,02_INDICADORES!$A$2:$A$42,0)),""))</f>
        <v/>
      </c>
      <c r="I196" s="9"/>
      <c r="J196" s="16" t="str">
        <f aca="false">IF(OR(I196="",H196=""),"",I196*H196)</f>
        <v/>
      </c>
      <c r="K196" s="9"/>
      <c r="L196" s="9"/>
      <c r="M196" s="9"/>
    </row>
    <row r="197" customFormat="false" ht="15" hidden="false" customHeight="false" outlineLevel="0" collapsed="false">
      <c r="A197" s="9"/>
      <c r="B197" s="9"/>
      <c r="C197" s="11"/>
      <c r="D197" s="9"/>
      <c r="E197" s="9"/>
      <c r="F197" s="22" t="str">
        <f aca="false">IF(E197="","",IFERROR(INDEX(02_INDICADORES!$B$2:$B$42,MATCH(E197,02_INDICADORES!$A$2:$A$42,0)),"ID?"))</f>
        <v/>
      </c>
      <c r="G197" s="21" t="str">
        <f aca="false">IF(E197="","",IFERROR(INDEX(02_INDICADORES!$C$2:$C$42,MATCH(E197,02_INDICADORES!$A$2:$A$42,0)),"ID?"))</f>
        <v/>
      </c>
      <c r="H197" s="22" t="str">
        <f aca="false">IF(E197="","",IFERROR(INDEX(02_INDICADORES!$D$2:$D$42,MATCH(E197,02_INDICADORES!$A$2:$A$42,0)),""))</f>
        <v/>
      </c>
      <c r="I197" s="9"/>
      <c r="J197" s="16" t="str">
        <f aca="false">IF(OR(I197="",H197=""),"",I197*H197)</f>
        <v/>
      </c>
      <c r="K197" s="9"/>
      <c r="L197" s="9"/>
      <c r="M197" s="9"/>
    </row>
    <row r="198" customFormat="false" ht="15" hidden="false" customHeight="false" outlineLevel="0" collapsed="false">
      <c r="A198" s="9"/>
      <c r="B198" s="9"/>
      <c r="C198" s="11"/>
      <c r="D198" s="9"/>
      <c r="E198" s="9"/>
      <c r="F198" s="22" t="str">
        <f aca="false">IF(E198="","",IFERROR(INDEX(02_INDICADORES!$B$2:$B$42,MATCH(E198,02_INDICADORES!$A$2:$A$42,0)),"ID?"))</f>
        <v/>
      </c>
      <c r="G198" s="21" t="str">
        <f aca="false">IF(E198="","",IFERROR(INDEX(02_INDICADORES!$C$2:$C$42,MATCH(E198,02_INDICADORES!$A$2:$A$42,0)),"ID?"))</f>
        <v/>
      </c>
      <c r="H198" s="22" t="str">
        <f aca="false">IF(E198="","",IFERROR(INDEX(02_INDICADORES!$D$2:$D$42,MATCH(E198,02_INDICADORES!$A$2:$A$42,0)),""))</f>
        <v/>
      </c>
      <c r="I198" s="9"/>
      <c r="J198" s="16" t="str">
        <f aca="false">IF(OR(I198="",H198=""),"",I198*H198)</f>
        <v/>
      </c>
      <c r="K198" s="9"/>
      <c r="L198" s="9"/>
      <c r="M198" s="9"/>
    </row>
    <row r="199" customFormat="false" ht="15" hidden="false" customHeight="false" outlineLevel="0" collapsed="false">
      <c r="A199" s="9"/>
      <c r="B199" s="9"/>
      <c r="C199" s="11"/>
      <c r="D199" s="9"/>
      <c r="E199" s="9"/>
      <c r="F199" s="22" t="str">
        <f aca="false">IF(E199="","",IFERROR(INDEX(02_INDICADORES!$B$2:$B$42,MATCH(E199,02_INDICADORES!$A$2:$A$42,0)),"ID?"))</f>
        <v/>
      </c>
      <c r="G199" s="21" t="str">
        <f aca="false">IF(E199="","",IFERROR(INDEX(02_INDICADORES!$C$2:$C$42,MATCH(E199,02_INDICADORES!$A$2:$A$42,0)),"ID?"))</f>
        <v/>
      </c>
      <c r="H199" s="22" t="str">
        <f aca="false">IF(E199="","",IFERROR(INDEX(02_INDICADORES!$D$2:$D$42,MATCH(E199,02_INDICADORES!$A$2:$A$42,0)),""))</f>
        <v/>
      </c>
      <c r="I199" s="9"/>
      <c r="J199" s="16" t="str">
        <f aca="false">IF(OR(I199="",H199=""),"",I199*H199)</f>
        <v/>
      </c>
      <c r="K199" s="9"/>
      <c r="L199" s="9"/>
      <c r="M199" s="9"/>
    </row>
    <row r="200" customFormat="false" ht="15" hidden="false" customHeight="false" outlineLevel="0" collapsed="false">
      <c r="A200" s="9"/>
      <c r="B200" s="9"/>
      <c r="C200" s="11"/>
      <c r="D200" s="9"/>
      <c r="E200" s="9"/>
      <c r="F200" s="22" t="str">
        <f aca="false">IF(E200="","",IFERROR(INDEX(02_INDICADORES!$B$2:$B$42,MATCH(E200,02_INDICADORES!$A$2:$A$42,0)),"ID?"))</f>
        <v/>
      </c>
      <c r="G200" s="21" t="str">
        <f aca="false">IF(E200="","",IFERROR(INDEX(02_INDICADORES!$C$2:$C$42,MATCH(E200,02_INDICADORES!$A$2:$A$42,0)),"ID?"))</f>
        <v/>
      </c>
      <c r="H200" s="22" t="str">
        <f aca="false">IF(E200="","",IFERROR(INDEX(02_INDICADORES!$D$2:$D$42,MATCH(E200,02_INDICADORES!$A$2:$A$42,0)),""))</f>
        <v/>
      </c>
      <c r="I200" s="9"/>
      <c r="J200" s="16" t="str">
        <f aca="false">IF(OR(I200="",H200=""),"",I200*H200)</f>
        <v/>
      </c>
      <c r="K200" s="9"/>
      <c r="L200" s="9"/>
      <c r="M200" s="9"/>
    </row>
    <row r="201" customFormat="false" ht="15" hidden="false" customHeight="false" outlineLevel="0" collapsed="false">
      <c r="A201" s="9"/>
      <c r="B201" s="9"/>
      <c r="C201" s="11"/>
      <c r="D201" s="9"/>
      <c r="E201" s="9"/>
      <c r="F201" s="22" t="str">
        <f aca="false">IF(E201="","",IFERROR(INDEX(02_INDICADORES!$B$2:$B$42,MATCH(E201,02_INDICADORES!$A$2:$A$42,0)),"ID?"))</f>
        <v/>
      </c>
      <c r="G201" s="21" t="str">
        <f aca="false">IF(E201="","",IFERROR(INDEX(02_INDICADORES!$C$2:$C$42,MATCH(E201,02_INDICADORES!$A$2:$A$42,0)),"ID?"))</f>
        <v/>
      </c>
      <c r="H201" s="22" t="str">
        <f aca="false">IF(E201="","",IFERROR(INDEX(02_INDICADORES!$D$2:$D$42,MATCH(E201,02_INDICADORES!$A$2:$A$42,0)),""))</f>
        <v/>
      </c>
      <c r="I201" s="9"/>
      <c r="J201" s="16" t="str">
        <f aca="false">IF(OR(I201="",H201=""),"",I201*H201)</f>
        <v/>
      </c>
      <c r="K201" s="9"/>
      <c r="L201" s="9"/>
      <c r="M201" s="9"/>
    </row>
    <row r="202" customFormat="false" ht="15" hidden="false" customHeight="false" outlineLevel="0" collapsed="false">
      <c r="A202" s="9"/>
      <c r="B202" s="9"/>
      <c r="C202" s="11"/>
      <c r="D202" s="9"/>
      <c r="E202" s="9"/>
      <c r="F202" s="22" t="str">
        <f aca="false">IF(E202="","",IFERROR(INDEX(02_INDICADORES!$B$2:$B$42,MATCH(E202,02_INDICADORES!$A$2:$A$42,0)),"ID?"))</f>
        <v/>
      </c>
      <c r="G202" s="21" t="str">
        <f aca="false">IF(E202="","",IFERROR(INDEX(02_INDICADORES!$C$2:$C$42,MATCH(E202,02_INDICADORES!$A$2:$A$42,0)),"ID?"))</f>
        <v/>
      </c>
      <c r="H202" s="22" t="str">
        <f aca="false">IF(E202="","",IFERROR(INDEX(02_INDICADORES!$D$2:$D$42,MATCH(E202,02_INDICADORES!$A$2:$A$42,0)),""))</f>
        <v/>
      </c>
      <c r="I202" s="9"/>
      <c r="J202" s="16" t="str">
        <f aca="false">IF(OR(I202="",H202=""),"",I202*H202)</f>
        <v/>
      </c>
      <c r="K202" s="9"/>
      <c r="L202" s="9"/>
      <c r="M202" s="9"/>
    </row>
    <row r="203" customFormat="false" ht="15" hidden="false" customHeight="false" outlineLevel="0" collapsed="false">
      <c r="A203" s="9"/>
      <c r="B203" s="9"/>
      <c r="C203" s="11"/>
      <c r="D203" s="9"/>
      <c r="E203" s="9"/>
      <c r="F203" s="22" t="str">
        <f aca="false">IF(E203="","",IFERROR(INDEX(02_INDICADORES!$B$2:$B$42,MATCH(E203,02_INDICADORES!$A$2:$A$42,0)),"ID?"))</f>
        <v/>
      </c>
      <c r="G203" s="21" t="str">
        <f aca="false">IF(E203="","",IFERROR(INDEX(02_INDICADORES!$C$2:$C$42,MATCH(E203,02_INDICADORES!$A$2:$A$42,0)),"ID?"))</f>
        <v/>
      </c>
      <c r="H203" s="22" t="str">
        <f aca="false">IF(E203="","",IFERROR(INDEX(02_INDICADORES!$D$2:$D$42,MATCH(E203,02_INDICADORES!$A$2:$A$42,0)),""))</f>
        <v/>
      </c>
      <c r="I203" s="9"/>
      <c r="J203" s="16" t="str">
        <f aca="false">IF(OR(I203="",H203=""),"",I203*H203)</f>
        <v/>
      </c>
      <c r="K203" s="9"/>
      <c r="L203" s="9"/>
      <c r="M203" s="9"/>
    </row>
    <row r="204" customFormat="false" ht="15" hidden="false" customHeight="false" outlineLevel="0" collapsed="false">
      <c r="A204" s="9"/>
      <c r="B204" s="9"/>
      <c r="C204" s="11"/>
      <c r="D204" s="9"/>
      <c r="E204" s="9"/>
      <c r="F204" s="22" t="str">
        <f aca="false">IF(E204="","",IFERROR(INDEX(02_INDICADORES!$B$2:$B$42,MATCH(E204,02_INDICADORES!$A$2:$A$42,0)),"ID?"))</f>
        <v/>
      </c>
      <c r="G204" s="21" t="str">
        <f aca="false">IF(E204="","",IFERROR(INDEX(02_INDICADORES!$C$2:$C$42,MATCH(E204,02_INDICADORES!$A$2:$A$42,0)),"ID?"))</f>
        <v/>
      </c>
      <c r="H204" s="22" t="str">
        <f aca="false">IF(E204="","",IFERROR(INDEX(02_INDICADORES!$D$2:$D$42,MATCH(E204,02_INDICADORES!$A$2:$A$42,0)),""))</f>
        <v/>
      </c>
      <c r="I204" s="9"/>
      <c r="J204" s="16" t="str">
        <f aca="false">IF(OR(I204="",H204=""),"",I204*H204)</f>
        <v/>
      </c>
      <c r="K204" s="9"/>
      <c r="L204" s="9"/>
      <c r="M204" s="9"/>
    </row>
    <row r="205" customFormat="false" ht="15" hidden="false" customHeight="false" outlineLevel="0" collapsed="false">
      <c r="A205" s="9"/>
      <c r="B205" s="9"/>
      <c r="C205" s="11"/>
      <c r="D205" s="9"/>
      <c r="E205" s="9"/>
      <c r="F205" s="22" t="str">
        <f aca="false">IF(E205="","",IFERROR(INDEX(02_INDICADORES!$B$2:$B$42,MATCH(E205,02_INDICADORES!$A$2:$A$42,0)),"ID?"))</f>
        <v/>
      </c>
      <c r="G205" s="21" t="str">
        <f aca="false">IF(E205="","",IFERROR(INDEX(02_INDICADORES!$C$2:$C$42,MATCH(E205,02_INDICADORES!$A$2:$A$42,0)),"ID?"))</f>
        <v/>
      </c>
      <c r="H205" s="22" t="str">
        <f aca="false">IF(E205="","",IFERROR(INDEX(02_INDICADORES!$D$2:$D$42,MATCH(E205,02_INDICADORES!$A$2:$A$42,0)),""))</f>
        <v/>
      </c>
      <c r="I205" s="9"/>
      <c r="J205" s="16" t="str">
        <f aca="false">IF(OR(I205="",H205=""),"",I205*H205)</f>
        <v/>
      </c>
      <c r="K205" s="9"/>
      <c r="L205" s="9"/>
      <c r="M205" s="9"/>
    </row>
    <row r="206" customFormat="false" ht="15" hidden="false" customHeight="false" outlineLevel="0" collapsed="false">
      <c r="A206" s="9"/>
      <c r="B206" s="9"/>
      <c r="C206" s="11"/>
      <c r="D206" s="9"/>
      <c r="E206" s="9"/>
      <c r="F206" s="22" t="str">
        <f aca="false">IF(E206="","",IFERROR(INDEX(02_INDICADORES!$B$2:$B$42,MATCH(E206,02_INDICADORES!$A$2:$A$42,0)),"ID?"))</f>
        <v/>
      </c>
      <c r="G206" s="21" t="str">
        <f aca="false">IF(E206="","",IFERROR(INDEX(02_INDICADORES!$C$2:$C$42,MATCH(E206,02_INDICADORES!$A$2:$A$42,0)),"ID?"))</f>
        <v/>
      </c>
      <c r="H206" s="22" t="str">
        <f aca="false">IF(E206="","",IFERROR(INDEX(02_INDICADORES!$D$2:$D$42,MATCH(E206,02_INDICADORES!$A$2:$A$42,0)),""))</f>
        <v/>
      </c>
      <c r="I206" s="9"/>
      <c r="J206" s="16" t="str">
        <f aca="false">IF(OR(I206="",H206=""),"",I206*H206)</f>
        <v/>
      </c>
      <c r="K206" s="9"/>
      <c r="L206" s="9"/>
      <c r="M206" s="9"/>
    </row>
    <row r="207" customFormat="false" ht="15" hidden="false" customHeight="false" outlineLevel="0" collapsed="false">
      <c r="A207" s="9"/>
      <c r="B207" s="9"/>
      <c r="C207" s="11"/>
      <c r="D207" s="9"/>
      <c r="E207" s="9"/>
      <c r="F207" s="22" t="str">
        <f aca="false">IF(E207="","",IFERROR(INDEX(02_INDICADORES!$B$2:$B$42,MATCH(E207,02_INDICADORES!$A$2:$A$42,0)),"ID?"))</f>
        <v/>
      </c>
      <c r="G207" s="21" t="str">
        <f aca="false">IF(E207="","",IFERROR(INDEX(02_INDICADORES!$C$2:$C$42,MATCH(E207,02_INDICADORES!$A$2:$A$42,0)),"ID?"))</f>
        <v/>
      </c>
      <c r="H207" s="22" t="str">
        <f aca="false">IF(E207="","",IFERROR(INDEX(02_INDICADORES!$D$2:$D$42,MATCH(E207,02_INDICADORES!$A$2:$A$42,0)),""))</f>
        <v/>
      </c>
      <c r="I207" s="9"/>
      <c r="J207" s="16" t="str">
        <f aca="false">IF(OR(I207="",H207=""),"",I207*H207)</f>
        <v/>
      </c>
      <c r="K207" s="9"/>
      <c r="L207" s="9"/>
      <c r="M207" s="9"/>
    </row>
    <row r="208" customFormat="false" ht="15" hidden="false" customHeight="false" outlineLevel="0" collapsed="false">
      <c r="A208" s="9"/>
      <c r="B208" s="9"/>
      <c r="C208" s="11"/>
      <c r="D208" s="9"/>
      <c r="E208" s="9"/>
      <c r="F208" s="22" t="str">
        <f aca="false">IF(E208="","",IFERROR(INDEX(02_INDICADORES!$B$2:$B$42,MATCH(E208,02_INDICADORES!$A$2:$A$42,0)),"ID?"))</f>
        <v/>
      </c>
      <c r="G208" s="21" t="str">
        <f aca="false">IF(E208="","",IFERROR(INDEX(02_INDICADORES!$C$2:$C$42,MATCH(E208,02_INDICADORES!$A$2:$A$42,0)),"ID?"))</f>
        <v/>
      </c>
      <c r="H208" s="22" t="str">
        <f aca="false">IF(E208="","",IFERROR(INDEX(02_INDICADORES!$D$2:$D$42,MATCH(E208,02_INDICADORES!$A$2:$A$42,0)),""))</f>
        <v/>
      </c>
      <c r="I208" s="9"/>
      <c r="J208" s="16" t="str">
        <f aca="false">IF(OR(I208="",H208=""),"",I208*H208)</f>
        <v/>
      </c>
      <c r="K208" s="9"/>
      <c r="L208" s="9"/>
      <c r="M208" s="9"/>
    </row>
    <row r="209" customFormat="false" ht="15" hidden="false" customHeight="false" outlineLevel="0" collapsed="false">
      <c r="A209" s="9"/>
      <c r="B209" s="9"/>
      <c r="C209" s="11"/>
      <c r="D209" s="9"/>
      <c r="E209" s="9"/>
      <c r="F209" s="22" t="str">
        <f aca="false">IF(E209="","",IFERROR(INDEX(02_INDICADORES!$B$2:$B$42,MATCH(E209,02_INDICADORES!$A$2:$A$42,0)),"ID?"))</f>
        <v/>
      </c>
      <c r="G209" s="21" t="str">
        <f aca="false">IF(E209="","",IFERROR(INDEX(02_INDICADORES!$C$2:$C$42,MATCH(E209,02_INDICADORES!$A$2:$A$42,0)),"ID?"))</f>
        <v/>
      </c>
      <c r="H209" s="22" t="str">
        <f aca="false">IF(E209="","",IFERROR(INDEX(02_INDICADORES!$D$2:$D$42,MATCH(E209,02_INDICADORES!$A$2:$A$42,0)),""))</f>
        <v/>
      </c>
      <c r="I209" s="9"/>
      <c r="J209" s="16" t="str">
        <f aca="false">IF(OR(I209="",H209=""),"",I209*H209)</f>
        <v/>
      </c>
      <c r="K209" s="9"/>
      <c r="L209" s="9"/>
      <c r="M209" s="9"/>
    </row>
    <row r="210" customFormat="false" ht="15" hidden="false" customHeight="false" outlineLevel="0" collapsed="false">
      <c r="A210" s="9"/>
      <c r="B210" s="9"/>
      <c r="C210" s="11"/>
      <c r="D210" s="9"/>
      <c r="E210" s="9"/>
      <c r="F210" s="22" t="str">
        <f aca="false">IF(E210="","",IFERROR(INDEX(02_INDICADORES!$B$2:$B$42,MATCH(E210,02_INDICADORES!$A$2:$A$42,0)),"ID?"))</f>
        <v/>
      </c>
      <c r="G210" s="21" t="str">
        <f aca="false">IF(E210="","",IFERROR(INDEX(02_INDICADORES!$C$2:$C$42,MATCH(E210,02_INDICADORES!$A$2:$A$42,0)),"ID?"))</f>
        <v/>
      </c>
      <c r="H210" s="22" t="str">
        <f aca="false">IF(E210="","",IFERROR(INDEX(02_INDICADORES!$D$2:$D$42,MATCH(E210,02_INDICADORES!$A$2:$A$42,0)),""))</f>
        <v/>
      </c>
      <c r="I210" s="9"/>
      <c r="J210" s="16" t="str">
        <f aca="false">IF(OR(I210="",H210=""),"",I210*H210)</f>
        <v/>
      </c>
      <c r="K210" s="9"/>
      <c r="L210" s="9"/>
      <c r="M210" s="9"/>
    </row>
    <row r="211" customFormat="false" ht="15" hidden="false" customHeight="false" outlineLevel="0" collapsed="false">
      <c r="A211" s="9"/>
      <c r="B211" s="9"/>
      <c r="C211" s="11"/>
      <c r="D211" s="9"/>
      <c r="E211" s="9"/>
      <c r="F211" s="22" t="str">
        <f aca="false">IF(E211="","",IFERROR(INDEX(02_INDICADORES!$B$2:$B$42,MATCH(E211,02_INDICADORES!$A$2:$A$42,0)),"ID?"))</f>
        <v/>
      </c>
      <c r="G211" s="21" t="str">
        <f aca="false">IF(E211="","",IFERROR(INDEX(02_INDICADORES!$C$2:$C$42,MATCH(E211,02_INDICADORES!$A$2:$A$42,0)),"ID?"))</f>
        <v/>
      </c>
      <c r="H211" s="22" t="str">
        <f aca="false">IF(E211="","",IFERROR(INDEX(02_INDICADORES!$D$2:$D$42,MATCH(E211,02_INDICADORES!$A$2:$A$42,0)),""))</f>
        <v/>
      </c>
      <c r="I211" s="9"/>
      <c r="J211" s="16" t="str">
        <f aca="false">IF(OR(I211="",H211=""),"",I211*H211)</f>
        <v/>
      </c>
      <c r="K211" s="9"/>
      <c r="L211" s="9"/>
      <c r="M211" s="9"/>
    </row>
    <row r="212" customFormat="false" ht="15" hidden="false" customHeight="false" outlineLevel="0" collapsed="false">
      <c r="A212" s="9"/>
      <c r="B212" s="9"/>
      <c r="C212" s="11"/>
      <c r="D212" s="9"/>
      <c r="E212" s="9"/>
      <c r="F212" s="22" t="str">
        <f aca="false">IF(E212="","",IFERROR(INDEX(02_INDICADORES!$B$2:$B$42,MATCH(E212,02_INDICADORES!$A$2:$A$42,0)),"ID?"))</f>
        <v/>
      </c>
      <c r="G212" s="21" t="str">
        <f aca="false">IF(E212="","",IFERROR(INDEX(02_INDICADORES!$C$2:$C$42,MATCH(E212,02_INDICADORES!$A$2:$A$42,0)),"ID?"))</f>
        <v/>
      </c>
      <c r="H212" s="22" t="str">
        <f aca="false">IF(E212="","",IFERROR(INDEX(02_INDICADORES!$D$2:$D$42,MATCH(E212,02_INDICADORES!$A$2:$A$42,0)),""))</f>
        <v/>
      </c>
      <c r="I212" s="9"/>
      <c r="J212" s="16" t="str">
        <f aca="false">IF(OR(I212="",H212=""),"",I212*H212)</f>
        <v/>
      </c>
      <c r="K212" s="9"/>
      <c r="L212" s="9"/>
      <c r="M212" s="9"/>
    </row>
    <row r="213" customFormat="false" ht="15" hidden="false" customHeight="false" outlineLevel="0" collapsed="false">
      <c r="A213" s="9"/>
      <c r="B213" s="9"/>
      <c r="C213" s="11"/>
      <c r="D213" s="9"/>
      <c r="E213" s="9"/>
      <c r="F213" s="22" t="str">
        <f aca="false">IF(E213="","",IFERROR(INDEX(02_INDICADORES!$B$2:$B$42,MATCH(E213,02_INDICADORES!$A$2:$A$42,0)),"ID?"))</f>
        <v/>
      </c>
      <c r="G213" s="21" t="str">
        <f aca="false">IF(E213="","",IFERROR(INDEX(02_INDICADORES!$C$2:$C$42,MATCH(E213,02_INDICADORES!$A$2:$A$42,0)),"ID?"))</f>
        <v/>
      </c>
      <c r="H213" s="22" t="str">
        <f aca="false">IF(E213="","",IFERROR(INDEX(02_INDICADORES!$D$2:$D$42,MATCH(E213,02_INDICADORES!$A$2:$A$42,0)),""))</f>
        <v/>
      </c>
      <c r="I213" s="9"/>
      <c r="J213" s="16" t="str">
        <f aca="false">IF(OR(I213="",H213=""),"",I213*H213)</f>
        <v/>
      </c>
      <c r="K213" s="9"/>
      <c r="L213" s="9"/>
      <c r="M213" s="9"/>
    </row>
    <row r="214" customFormat="false" ht="15" hidden="false" customHeight="false" outlineLevel="0" collapsed="false">
      <c r="A214" s="9"/>
      <c r="B214" s="9"/>
      <c r="C214" s="11"/>
      <c r="D214" s="9"/>
      <c r="E214" s="9"/>
      <c r="F214" s="22" t="str">
        <f aca="false">IF(E214="","",IFERROR(INDEX(02_INDICADORES!$B$2:$B$42,MATCH(E214,02_INDICADORES!$A$2:$A$42,0)),"ID?"))</f>
        <v/>
      </c>
      <c r="G214" s="21" t="str">
        <f aca="false">IF(E214="","",IFERROR(INDEX(02_INDICADORES!$C$2:$C$42,MATCH(E214,02_INDICADORES!$A$2:$A$42,0)),"ID?"))</f>
        <v/>
      </c>
      <c r="H214" s="22" t="str">
        <f aca="false">IF(E214="","",IFERROR(INDEX(02_INDICADORES!$D$2:$D$42,MATCH(E214,02_INDICADORES!$A$2:$A$42,0)),""))</f>
        <v/>
      </c>
      <c r="I214" s="9"/>
      <c r="J214" s="16" t="str">
        <f aca="false">IF(OR(I214="",H214=""),"",I214*H214)</f>
        <v/>
      </c>
      <c r="K214" s="9"/>
      <c r="L214" s="9"/>
      <c r="M214" s="9"/>
    </row>
    <row r="215" customFormat="false" ht="15" hidden="false" customHeight="false" outlineLevel="0" collapsed="false">
      <c r="A215" s="9"/>
      <c r="B215" s="9"/>
      <c r="C215" s="11"/>
      <c r="D215" s="9"/>
      <c r="E215" s="9"/>
      <c r="F215" s="22" t="str">
        <f aca="false">IF(E215="","",IFERROR(INDEX(02_INDICADORES!$B$2:$B$42,MATCH(E215,02_INDICADORES!$A$2:$A$42,0)),"ID?"))</f>
        <v/>
      </c>
      <c r="G215" s="21" t="str">
        <f aca="false">IF(E215="","",IFERROR(INDEX(02_INDICADORES!$C$2:$C$42,MATCH(E215,02_INDICADORES!$A$2:$A$42,0)),"ID?"))</f>
        <v/>
      </c>
      <c r="H215" s="22" t="str">
        <f aca="false">IF(E215="","",IFERROR(INDEX(02_INDICADORES!$D$2:$D$42,MATCH(E215,02_INDICADORES!$A$2:$A$42,0)),""))</f>
        <v/>
      </c>
      <c r="I215" s="9"/>
      <c r="J215" s="16" t="str">
        <f aca="false">IF(OR(I215="",H215=""),"",I215*H215)</f>
        <v/>
      </c>
      <c r="K215" s="9"/>
      <c r="L215" s="9"/>
      <c r="M215" s="9"/>
    </row>
    <row r="216" customFormat="false" ht="15" hidden="false" customHeight="false" outlineLevel="0" collapsed="false">
      <c r="A216" s="9"/>
      <c r="B216" s="9"/>
      <c r="C216" s="11"/>
      <c r="D216" s="9"/>
      <c r="E216" s="9"/>
      <c r="F216" s="22" t="str">
        <f aca="false">IF(E216="","",IFERROR(INDEX(02_INDICADORES!$B$2:$B$42,MATCH(E216,02_INDICADORES!$A$2:$A$42,0)),"ID?"))</f>
        <v/>
      </c>
      <c r="G216" s="21" t="str">
        <f aca="false">IF(E216="","",IFERROR(INDEX(02_INDICADORES!$C$2:$C$42,MATCH(E216,02_INDICADORES!$A$2:$A$42,0)),"ID?"))</f>
        <v/>
      </c>
      <c r="H216" s="22" t="str">
        <f aca="false">IF(E216="","",IFERROR(INDEX(02_INDICADORES!$D$2:$D$42,MATCH(E216,02_INDICADORES!$A$2:$A$42,0)),""))</f>
        <v/>
      </c>
      <c r="I216" s="9"/>
      <c r="J216" s="16" t="str">
        <f aca="false">IF(OR(I216="",H216=""),"",I216*H216)</f>
        <v/>
      </c>
      <c r="K216" s="9"/>
      <c r="L216" s="9"/>
      <c r="M216" s="9"/>
    </row>
    <row r="217" customFormat="false" ht="15" hidden="false" customHeight="false" outlineLevel="0" collapsed="false">
      <c r="A217" s="9"/>
      <c r="B217" s="9"/>
      <c r="C217" s="11"/>
      <c r="D217" s="9"/>
      <c r="E217" s="9"/>
      <c r="F217" s="22" t="str">
        <f aca="false">IF(E217="","",IFERROR(INDEX(02_INDICADORES!$B$2:$B$42,MATCH(E217,02_INDICADORES!$A$2:$A$42,0)),"ID?"))</f>
        <v/>
      </c>
      <c r="G217" s="21" t="str">
        <f aca="false">IF(E217="","",IFERROR(INDEX(02_INDICADORES!$C$2:$C$42,MATCH(E217,02_INDICADORES!$A$2:$A$42,0)),"ID?"))</f>
        <v/>
      </c>
      <c r="H217" s="22" t="str">
        <f aca="false">IF(E217="","",IFERROR(INDEX(02_INDICADORES!$D$2:$D$42,MATCH(E217,02_INDICADORES!$A$2:$A$42,0)),""))</f>
        <v/>
      </c>
      <c r="I217" s="9"/>
      <c r="J217" s="16" t="str">
        <f aca="false">IF(OR(I217="",H217=""),"",I217*H217)</f>
        <v/>
      </c>
      <c r="K217" s="9"/>
      <c r="L217" s="9"/>
      <c r="M217" s="9"/>
    </row>
    <row r="218" customFormat="false" ht="15" hidden="false" customHeight="false" outlineLevel="0" collapsed="false">
      <c r="A218" s="9"/>
      <c r="B218" s="9"/>
      <c r="C218" s="11"/>
      <c r="D218" s="9"/>
      <c r="E218" s="9"/>
      <c r="F218" s="22" t="str">
        <f aca="false">IF(E218="","",IFERROR(INDEX(02_INDICADORES!$B$2:$B$42,MATCH(E218,02_INDICADORES!$A$2:$A$42,0)),"ID?"))</f>
        <v/>
      </c>
      <c r="G218" s="21" t="str">
        <f aca="false">IF(E218="","",IFERROR(INDEX(02_INDICADORES!$C$2:$C$42,MATCH(E218,02_INDICADORES!$A$2:$A$42,0)),"ID?"))</f>
        <v/>
      </c>
      <c r="H218" s="22" t="str">
        <f aca="false">IF(E218="","",IFERROR(INDEX(02_INDICADORES!$D$2:$D$42,MATCH(E218,02_INDICADORES!$A$2:$A$42,0)),""))</f>
        <v/>
      </c>
      <c r="I218" s="9"/>
      <c r="J218" s="16" t="str">
        <f aca="false">IF(OR(I218="",H218=""),"",I218*H218)</f>
        <v/>
      </c>
      <c r="K218" s="9"/>
      <c r="L218" s="9"/>
      <c r="M218" s="9"/>
    </row>
    <row r="219" customFormat="false" ht="15" hidden="false" customHeight="false" outlineLevel="0" collapsed="false">
      <c r="A219" s="9"/>
      <c r="B219" s="9"/>
      <c r="C219" s="11"/>
      <c r="D219" s="9"/>
      <c r="E219" s="9"/>
      <c r="F219" s="22" t="str">
        <f aca="false">IF(E219="","",IFERROR(INDEX(02_INDICADORES!$B$2:$B$42,MATCH(E219,02_INDICADORES!$A$2:$A$42,0)),"ID?"))</f>
        <v/>
      </c>
      <c r="G219" s="21" t="str">
        <f aca="false">IF(E219="","",IFERROR(INDEX(02_INDICADORES!$C$2:$C$42,MATCH(E219,02_INDICADORES!$A$2:$A$42,0)),"ID?"))</f>
        <v/>
      </c>
      <c r="H219" s="22" t="str">
        <f aca="false">IF(E219="","",IFERROR(INDEX(02_INDICADORES!$D$2:$D$42,MATCH(E219,02_INDICADORES!$A$2:$A$42,0)),""))</f>
        <v/>
      </c>
      <c r="I219" s="9"/>
      <c r="J219" s="16" t="str">
        <f aca="false">IF(OR(I219="",H219=""),"",I219*H219)</f>
        <v/>
      </c>
      <c r="K219" s="9"/>
      <c r="L219" s="9"/>
      <c r="M219" s="9"/>
    </row>
    <row r="220" customFormat="false" ht="15" hidden="false" customHeight="false" outlineLevel="0" collapsed="false">
      <c r="A220" s="9"/>
      <c r="B220" s="9"/>
      <c r="C220" s="11"/>
      <c r="D220" s="9"/>
      <c r="E220" s="9"/>
      <c r="F220" s="22" t="str">
        <f aca="false">IF(E220="","",IFERROR(INDEX(02_INDICADORES!$B$2:$B$42,MATCH(E220,02_INDICADORES!$A$2:$A$42,0)),"ID?"))</f>
        <v/>
      </c>
      <c r="G220" s="21" t="str">
        <f aca="false">IF(E220="","",IFERROR(INDEX(02_INDICADORES!$C$2:$C$42,MATCH(E220,02_INDICADORES!$A$2:$A$42,0)),"ID?"))</f>
        <v/>
      </c>
      <c r="H220" s="22" t="str">
        <f aca="false">IF(E220="","",IFERROR(INDEX(02_INDICADORES!$D$2:$D$42,MATCH(E220,02_INDICADORES!$A$2:$A$42,0)),""))</f>
        <v/>
      </c>
      <c r="I220" s="9"/>
      <c r="J220" s="16" t="str">
        <f aca="false">IF(OR(I220="",H220=""),"",I220*H220)</f>
        <v/>
      </c>
      <c r="K220" s="9"/>
      <c r="L220" s="9"/>
      <c r="M220" s="9"/>
    </row>
    <row r="221" customFormat="false" ht="15" hidden="false" customHeight="false" outlineLevel="0" collapsed="false">
      <c r="A221" s="9"/>
      <c r="B221" s="9"/>
      <c r="C221" s="11"/>
      <c r="D221" s="9"/>
      <c r="E221" s="9"/>
      <c r="F221" s="22" t="str">
        <f aca="false">IF(E221="","",IFERROR(INDEX(02_INDICADORES!$B$2:$B$42,MATCH(E221,02_INDICADORES!$A$2:$A$42,0)),"ID?"))</f>
        <v/>
      </c>
      <c r="G221" s="21" t="str">
        <f aca="false">IF(E221="","",IFERROR(INDEX(02_INDICADORES!$C$2:$C$42,MATCH(E221,02_INDICADORES!$A$2:$A$42,0)),"ID?"))</f>
        <v/>
      </c>
      <c r="H221" s="22" t="str">
        <f aca="false">IF(E221="","",IFERROR(INDEX(02_INDICADORES!$D$2:$D$42,MATCH(E221,02_INDICADORES!$A$2:$A$42,0)),""))</f>
        <v/>
      </c>
      <c r="I221" s="9"/>
      <c r="J221" s="16" t="str">
        <f aca="false">IF(OR(I221="",H221=""),"",I221*H221)</f>
        <v/>
      </c>
      <c r="K221" s="9"/>
      <c r="L221" s="9"/>
      <c r="M221" s="9"/>
    </row>
    <row r="222" customFormat="false" ht="15" hidden="false" customHeight="false" outlineLevel="0" collapsed="false">
      <c r="A222" s="9"/>
      <c r="B222" s="9"/>
      <c r="C222" s="11"/>
      <c r="D222" s="9"/>
      <c r="E222" s="9"/>
      <c r="F222" s="22" t="str">
        <f aca="false">IF(E222="","",IFERROR(INDEX(02_INDICADORES!$B$2:$B$42,MATCH(E222,02_INDICADORES!$A$2:$A$42,0)),"ID?"))</f>
        <v/>
      </c>
      <c r="G222" s="21" t="str">
        <f aca="false">IF(E222="","",IFERROR(INDEX(02_INDICADORES!$C$2:$C$42,MATCH(E222,02_INDICADORES!$A$2:$A$42,0)),"ID?"))</f>
        <v/>
      </c>
      <c r="H222" s="22" t="str">
        <f aca="false">IF(E222="","",IFERROR(INDEX(02_INDICADORES!$D$2:$D$42,MATCH(E222,02_INDICADORES!$A$2:$A$42,0)),""))</f>
        <v/>
      </c>
      <c r="I222" s="9"/>
      <c r="J222" s="16" t="str">
        <f aca="false">IF(OR(I222="",H222=""),"",I222*H222)</f>
        <v/>
      </c>
      <c r="K222" s="9"/>
      <c r="L222" s="9"/>
      <c r="M222" s="9"/>
    </row>
    <row r="223" customFormat="false" ht="15" hidden="false" customHeight="false" outlineLevel="0" collapsed="false">
      <c r="A223" s="9"/>
      <c r="B223" s="9"/>
      <c r="C223" s="11"/>
      <c r="D223" s="9"/>
      <c r="E223" s="9"/>
      <c r="F223" s="22" t="str">
        <f aca="false">IF(E223="","",IFERROR(INDEX(02_INDICADORES!$B$2:$B$42,MATCH(E223,02_INDICADORES!$A$2:$A$42,0)),"ID?"))</f>
        <v/>
      </c>
      <c r="G223" s="21" t="str">
        <f aca="false">IF(E223="","",IFERROR(INDEX(02_INDICADORES!$C$2:$C$42,MATCH(E223,02_INDICADORES!$A$2:$A$42,0)),"ID?"))</f>
        <v/>
      </c>
      <c r="H223" s="22" t="str">
        <f aca="false">IF(E223="","",IFERROR(INDEX(02_INDICADORES!$D$2:$D$42,MATCH(E223,02_INDICADORES!$A$2:$A$42,0)),""))</f>
        <v/>
      </c>
      <c r="I223" s="9"/>
      <c r="J223" s="16" t="str">
        <f aca="false">IF(OR(I223="",H223=""),"",I223*H223)</f>
        <v/>
      </c>
      <c r="K223" s="9"/>
      <c r="L223" s="9"/>
      <c r="M223" s="9"/>
    </row>
    <row r="224" customFormat="false" ht="15" hidden="false" customHeight="false" outlineLevel="0" collapsed="false">
      <c r="A224" s="9"/>
      <c r="B224" s="9"/>
      <c r="C224" s="11"/>
      <c r="D224" s="9"/>
      <c r="E224" s="9"/>
      <c r="F224" s="22" t="str">
        <f aca="false">IF(E224="","",IFERROR(INDEX(02_INDICADORES!$B$2:$B$42,MATCH(E224,02_INDICADORES!$A$2:$A$42,0)),"ID?"))</f>
        <v/>
      </c>
      <c r="G224" s="21" t="str">
        <f aca="false">IF(E224="","",IFERROR(INDEX(02_INDICADORES!$C$2:$C$42,MATCH(E224,02_INDICADORES!$A$2:$A$42,0)),"ID?"))</f>
        <v/>
      </c>
      <c r="H224" s="22" t="str">
        <f aca="false">IF(E224="","",IFERROR(INDEX(02_INDICADORES!$D$2:$D$42,MATCH(E224,02_INDICADORES!$A$2:$A$42,0)),""))</f>
        <v/>
      </c>
      <c r="I224" s="9"/>
      <c r="J224" s="16" t="str">
        <f aca="false">IF(OR(I224="",H224=""),"",I224*H224)</f>
        <v/>
      </c>
      <c r="K224" s="9"/>
      <c r="L224" s="9"/>
      <c r="M224" s="9"/>
    </row>
    <row r="225" customFormat="false" ht="15" hidden="false" customHeight="false" outlineLevel="0" collapsed="false">
      <c r="A225" s="9"/>
      <c r="B225" s="9"/>
      <c r="C225" s="11"/>
      <c r="D225" s="9"/>
      <c r="E225" s="9"/>
      <c r="F225" s="22" t="str">
        <f aca="false">IF(E225="","",IFERROR(INDEX(02_INDICADORES!$B$2:$B$42,MATCH(E225,02_INDICADORES!$A$2:$A$42,0)),"ID?"))</f>
        <v/>
      </c>
      <c r="G225" s="21" t="str">
        <f aca="false">IF(E225="","",IFERROR(INDEX(02_INDICADORES!$C$2:$C$42,MATCH(E225,02_INDICADORES!$A$2:$A$42,0)),"ID?"))</f>
        <v/>
      </c>
      <c r="H225" s="22" t="str">
        <f aca="false">IF(E225="","",IFERROR(INDEX(02_INDICADORES!$D$2:$D$42,MATCH(E225,02_INDICADORES!$A$2:$A$42,0)),""))</f>
        <v/>
      </c>
      <c r="I225" s="9"/>
      <c r="J225" s="16" t="str">
        <f aca="false">IF(OR(I225="",H225=""),"",I225*H225)</f>
        <v/>
      </c>
      <c r="K225" s="9"/>
      <c r="L225" s="9"/>
      <c r="M225" s="9"/>
    </row>
    <row r="226" customFormat="false" ht="15" hidden="false" customHeight="false" outlineLevel="0" collapsed="false">
      <c r="A226" s="9"/>
      <c r="B226" s="9"/>
      <c r="C226" s="11"/>
      <c r="D226" s="9"/>
      <c r="E226" s="9"/>
      <c r="F226" s="22" t="str">
        <f aca="false">IF(E226="","",IFERROR(INDEX(02_INDICADORES!$B$2:$B$42,MATCH(E226,02_INDICADORES!$A$2:$A$42,0)),"ID?"))</f>
        <v/>
      </c>
      <c r="G226" s="21" t="str">
        <f aca="false">IF(E226="","",IFERROR(INDEX(02_INDICADORES!$C$2:$C$42,MATCH(E226,02_INDICADORES!$A$2:$A$42,0)),"ID?"))</f>
        <v/>
      </c>
      <c r="H226" s="22" t="str">
        <f aca="false">IF(E226="","",IFERROR(INDEX(02_INDICADORES!$D$2:$D$42,MATCH(E226,02_INDICADORES!$A$2:$A$42,0)),""))</f>
        <v/>
      </c>
      <c r="I226" s="9"/>
      <c r="J226" s="16" t="str">
        <f aca="false">IF(OR(I226="",H226=""),"",I226*H226)</f>
        <v/>
      </c>
      <c r="K226" s="9"/>
      <c r="L226" s="9"/>
      <c r="M226" s="9"/>
    </row>
    <row r="227" customFormat="false" ht="15" hidden="false" customHeight="false" outlineLevel="0" collapsed="false">
      <c r="A227" s="9"/>
      <c r="B227" s="9"/>
      <c r="C227" s="11"/>
      <c r="D227" s="9"/>
      <c r="E227" s="9"/>
      <c r="F227" s="22" t="str">
        <f aca="false">IF(E227="","",IFERROR(INDEX(02_INDICADORES!$B$2:$B$42,MATCH(E227,02_INDICADORES!$A$2:$A$42,0)),"ID?"))</f>
        <v/>
      </c>
      <c r="G227" s="21" t="str">
        <f aca="false">IF(E227="","",IFERROR(INDEX(02_INDICADORES!$C$2:$C$42,MATCH(E227,02_INDICADORES!$A$2:$A$42,0)),"ID?"))</f>
        <v/>
      </c>
      <c r="H227" s="22" t="str">
        <f aca="false">IF(E227="","",IFERROR(INDEX(02_INDICADORES!$D$2:$D$42,MATCH(E227,02_INDICADORES!$A$2:$A$42,0)),""))</f>
        <v/>
      </c>
      <c r="I227" s="9"/>
      <c r="J227" s="16" t="str">
        <f aca="false">IF(OR(I227="",H227=""),"",I227*H227)</f>
        <v/>
      </c>
      <c r="K227" s="9"/>
      <c r="L227" s="9"/>
      <c r="M227" s="9"/>
    </row>
    <row r="228" customFormat="false" ht="15" hidden="false" customHeight="false" outlineLevel="0" collapsed="false">
      <c r="A228" s="9"/>
      <c r="B228" s="9"/>
      <c r="C228" s="11"/>
      <c r="D228" s="9"/>
      <c r="E228" s="9"/>
      <c r="F228" s="22" t="str">
        <f aca="false">IF(E228="","",IFERROR(INDEX(02_INDICADORES!$B$2:$B$42,MATCH(E228,02_INDICADORES!$A$2:$A$42,0)),"ID?"))</f>
        <v/>
      </c>
      <c r="G228" s="21" t="str">
        <f aca="false">IF(E228="","",IFERROR(INDEX(02_INDICADORES!$C$2:$C$42,MATCH(E228,02_INDICADORES!$A$2:$A$42,0)),"ID?"))</f>
        <v/>
      </c>
      <c r="H228" s="22" t="str">
        <f aca="false">IF(E228="","",IFERROR(INDEX(02_INDICADORES!$D$2:$D$42,MATCH(E228,02_INDICADORES!$A$2:$A$42,0)),""))</f>
        <v/>
      </c>
      <c r="I228" s="9"/>
      <c r="J228" s="16" t="str">
        <f aca="false">IF(OR(I228="",H228=""),"",I228*H228)</f>
        <v/>
      </c>
      <c r="K228" s="9"/>
      <c r="L228" s="9"/>
      <c r="M228" s="9"/>
    </row>
    <row r="229" customFormat="false" ht="15" hidden="false" customHeight="false" outlineLevel="0" collapsed="false">
      <c r="A229" s="9"/>
      <c r="B229" s="9"/>
      <c r="C229" s="11"/>
      <c r="D229" s="9"/>
      <c r="E229" s="9"/>
      <c r="F229" s="22" t="str">
        <f aca="false">IF(E229="","",IFERROR(INDEX(02_INDICADORES!$B$2:$B$42,MATCH(E229,02_INDICADORES!$A$2:$A$42,0)),"ID?"))</f>
        <v/>
      </c>
      <c r="G229" s="21" t="str">
        <f aca="false">IF(E229="","",IFERROR(INDEX(02_INDICADORES!$C$2:$C$42,MATCH(E229,02_INDICADORES!$A$2:$A$42,0)),"ID?"))</f>
        <v/>
      </c>
      <c r="H229" s="22" t="str">
        <f aca="false">IF(E229="","",IFERROR(INDEX(02_INDICADORES!$D$2:$D$42,MATCH(E229,02_INDICADORES!$A$2:$A$42,0)),""))</f>
        <v/>
      </c>
      <c r="I229" s="9"/>
      <c r="J229" s="16" t="str">
        <f aca="false">IF(OR(I229="",H229=""),"",I229*H229)</f>
        <v/>
      </c>
      <c r="K229" s="9"/>
      <c r="L229" s="9"/>
      <c r="M229" s="9"/>
    </row>
    <row r="230" customFormat="false" ht="15" hidden="false" customHeight="false" outlineLevel="0" collapsed="false">
      <c r="A230" s="9"/>
      <c r="B230" s="9"/>
      <c r="C230" s="11"/>
      <c r="D230" s="9"/>
      <c r="E230" s="9"/>
      <c r="F230" s="22" t="str">
        <f aca="false">IF(E230="","",IFERROR(INDEX(02_INDICADORES!$B$2:$B$42,MATCH(E230,02_INDICADORES!$A$2:$A$42,0)),"ID?"))</f>
        <v/>
      </c>
      <c r="G230" s="21" t="str">
        <f aca="false">IF(E230="","",IFERROR(INDEX(02_INDICADORES!$C$2:$C$42,MATCH(E230,02_INDICADORES!$A$2:$A$42,0)),"ID?"))</f>
        <v/>
      </c>
      <c r="H230" s="22" t="str">
        <f aca="false">IF(E230="","",IFERROR(INDEX(02_INDICADORES!$D$2:$D$42,MATCH(E230,02_INDICADORES!$A$2:$A$42,0)),""))</f>
        <v/>
      </c>
      <c r="I230" s="9"/>
      <c r="J230" s="16" t="str">
        <f aca="false">IF(OR(I230="",H230=""),"",I230*H230)</f>
        <v/>
      </c>
      <c r="K230" s="9"/>
      <c r="L230" s="9"/>
      <c r="M230" s="9"/>
    </row>
    <row r="231" customFormat="false" ht="15" hidden="false" customHeight="false" outlineLevel="0" collapsed="false">
      <c r="A231" s="9"/>
      <c r="B231" s="9"/>
      <c r="C231" s="11"/>
      <c r="D231" s="9"/>
      <c r="E231" s="9"/>
      <c r="F231" s="22" t="str">
        <f aca="false">IF(E231="","",IFERROR(INDEX(02_INDICADORES!$B$2:$B$42,MATCH(E231,02_INDICADORES!$A$2:$A$42,0)),"ID?"))</f>
        <v/>
      </c>
      <c r="G231" s="21" t="str">
        <f aca="false">IF(E231="","",IFERROR(INDEX(02_INDICADORES!$C$2:$C$42,MATCH(E231,02_INDICADORES!$A$2:$A$42,0)),"ID?"))</f>
        <v/>
      </c>
      <c r="H231" s="22" t="str">
        <f aca="false">IF(E231="","",IFERROR(INDEX(02_INDICADORES!$D$2:$D$42,MATCH(E231,02_INDICADORES!$A$2:$A$42,0)),""))</f>
        <v/>
      </c>
      <c r="I231" s="9"/>
      <c r="J231" s="16" t="str">
        <f aca="false">IF(OR(I231="",H231=""),"",I231*H231)</f>
        <v/>
      </c>
      <c r="K231" s="9"/>
      <c r="L231" s="9"/>
      <c r="M231" s="9"/>
    </row>
    <row r="232" customFormat="false" ht="15" hidden="false" customHeight="false" outlineLevel="0" collapsed="false">
      <c r="A232" s="9"/>
      <c r="B232" s="9"/>
      <c r="C232" s="11"/>
      <c r="D232" s="9"/>
      <c r="E232" s="9"/>
      <c r="F232" s="22" t="str">
        <f aca="false">IF(E232="","",IFERROR(INDEX(02_INDICADORES!$B$2:$B$42,MATCH(E232,02_INDICADORES!$A$2:$A$42,0)),"ID?"))</f>
        <v/>
      </c>
      <c r="G232" s="21" t="str">
        <f aca="false">IF(E232="","",IFERROR(INDEX(02_INDICADORES!$C$2:$C$42,MATCH(E232,02_INDICADORES!$A$2:$A$42,0)),"ID?"))</f>
        <v/>
      </c>
      <c r="H232" s="22" t="str">
        <f aca="false">IF(E232="","",IFERROR(INDEX(02_INDICADORES!$D$2:$D$42,MATCH(E232,02_INDICADORES!$A$2:$A$42,0)),""))</f>
        <v/>
      </c>
      <c r="I232" s="9"/>
      <c r="J232" s="16" t="str">
        <f aca="false">IF(OR(I232="",H232=""),"",I232*H232)</f>
        <v/>
      </c>
      <c r="K232" s="9"/>
      <c r="L232" s="9"/>
      <c r="M232" s="9"/>
    </row>
    <row r="233" customFormat="false" ht="15" hidden="false" customHeight="false" outlineLevel="0" collapsed="false">
      <c r="A233" s="9"/>
      <c r="B233" s="9"/>
      <c r="C233" s="11"/>
      <c r="D233" s="9"/>
      <c r="E233" s="9"/>
      <c r="F233" s="22" t="str">
        <f aca="false">IF(E233="","",IFERROR(INDEX(02_INDICADORES!$B$2:$B$42,MATCH(E233,02_INDICADORES!$A$2:$A$42,0)),"ID?"))</f>
        <v/>
      </c>
      <c r="G233" s="21" t="str">
        <f aca="false">IF(E233="","",IFERROR(INDEX(02_INDICADORES!$C$2:$C$42,MATCH(E233,02_INDICADORES!$A$2:$A$42,0)),"ID?"))</f>
        <v/>
      </c>
      <c r="H233" s="22" t="str">
        <f aca="false">IF(E233="","",IFERROR(INDEX(02_INDICADORES!$D$2:$D$42,MATCH(E233,02_INDICADORES!$A$2:$A$42,0)),""))</f>
        <v/>
      </c>
      <c r="I233" s="9"/>
      <c r="J233" s="16" t="str">
        <f aca="false">IF(OR(I233="",H233=""),"",I233*H233)</f>
        <v/>
      </c>
      <c r="K233" s="9"/>
      <c r="L233" s="9"/>
      <c r="M233" s="9"/>
    </row>
    <row r="234" customFormat="false" ht="15" hidden="false" customHeight="false" outlineLevel="0" collapsed="false">
      <c r="A234" s="9"/>
      <c r="B234" s="9"/>
      <c r="C234" s="11"/>
      <c r="D234" s="9"/>
      <c r="E234" s="9"/>
      <c r="F234" s="22" t="str">
        <f aca="false">IF(E234="","",IFERROR(INDEX(02_INDICADORES!$B$2:$B$42,MATCH(E234,02_INDICADORES!$A$2:$A$42,0)),"ID?"))</f>
        <v/>
      </c>
      <c r="G234" s="21" t="str">
        <f aca="false">IF(E234="","",IFERROR(INDEX(02_INDICADORES!$C$2:$C$42,MATCH(E234,02_INDICADORES!$A$2:$A$42,0)),"ID?"))</f>
        <v/>
      </c>
      <c r="H234" s="22" t="str">
        <f aca="false">IF(E234="","",IFERROR(INDEX(02_INDICADORES!$D$2:$D$42,MATCH(E234,02_INDICADORES!$A$2:$A$42,0)),""))</f>
        <v/>
      </c>
      <c r="I234" s="9"/>
      <c r="J234" s="16" t="str">
        <f aca="false">IF(OR(I234="",H234=""),"",I234*H234)</f>
        <v/>
      </c>
      <c r="K234" s="9"/>
      <c r="L234" s="9"/>
      <c r="M234" s="9"/>
    </row>
    <row r="235" customFormat="false" ht="15" hidden="false" customHeight="false" outlineLevel="0" collapsed="false">
      <c r="A235" s="9"/>
      <c r="B235" s="9"/>
      <c r="C235" s="11"/>
      <c r="D235" s="9"/>
      <c r="E235" s="9"/>
      <c r="F235" s="22" t="str">
        <f aca="false">IF(E235="","",IFERROR(INDEX(02_INDICADORES!$B$2:$B$42,MATCH(E235,02_INDICADORES!$A$2:$A$42,0)),"ID?"))</f>
        <v/>
      </c>
      <c r="G235" s="21" t="str">
        <f aca="false">IF(E235="","",IFERROR(INDEX(02_INDICADORES!$C$2:$C$42,MATCH(E235,02_INDICADORES!$A$2:$A$42,0)),"ID?"))</f>
        <v/>
      </c>
      <c r="H235" s="22" t="str">
        <f aca="false">IF(E235="","",IFERROR(INDEX(02_INDICADORES!$D$2:$D$42,MATCH(E235,02_INDICADORES!$A$2:$A$42,0)),""))</f>
        <v/>
      </c>
      <c r="I235" s="9"/>
      <c r="J235" s="16" t="str">
        <f aca="false">IF(OR(I235="",H235=""),"",I235*H235)</f>
        <v/>
      </c>
      <c r="K235" s="9"/>
      <c r="L235" s="9"/>
      <c r="M235" s="9"/>
    </row>
    <row r="236" customFormat="false" ht="15" hidden="false" customHeight="false" outlineLevel="0" collapsed="false">
      <c r="A236" s="9"/>
      <c r="B236" s="9"/>
      <c r="C236" s="11"/>
      <c r="D236" s="9"/>
      <c r="E236" s="9"/>
      <c r="F236" s="22" t="str">
        <f aca="false">IF(E236="","",IFERROR(INDEX(02_INDICADORES!$B$2:$B$42,MATCH(E236,02_INDICADORES!$A$2:$A$42,0)),"ID?"))</f>
        <v/>
      </c>
      <c r="G236" s="21" t="str">
        <f aca="false">IF(E236="","",IFERROR(INDEX(02_INDICADORES!$C$2:$C$42,MATCH(E236,02_INDICADORES!$A$2:$A$42,0)),"ID?"))</f>
        <v/>
      </c>
      <c r="H236" s="22" t="str">
        <f aca="false">IF(E236="","",IFERROR(INDEX(02_INDICADORES!$D$2:$D$42,MATCH(E236,02_INDICADORES!$A$2:$A$42,0)),""))</f>
        <v/>
      </c>
      <c r="I236" s="9"/>
      <c r="J236" s="16" t="str">
        <f aca="false">IF(OR(I236="",H236=""),"",I236*H236)</f>
        <v/>
      </c>
      <c r="K236" s="9"/>
      <c r="L236" s="9"/>
      <c r="M236" s="9"/>
    </row>
    <row r="237" customFormat="false" ht="15" hidden="false" customHeight="false" outlineLevel="0" collapsed="false">
      <c r="A237" s="9"/>
      <c r="B237" s="9"/>
      <c r="C237" s="11"/>
      <c r="D237" s="9"/>
      <c r="E237" s="9"/>
      <c r="F237" s="22" t="str">
        <f aca="false">IF(E237="","",IFERROR(INDEX(02_INDICADORES!$B$2:$B$42,MATCH(E237,02_INDICADORES!$A$2:$A$42,0)),"ID?"))</f>
        <v/>
      </c>
      <c r="G237" s="21" t="str">
        <f aca="false">IF(E237="","",IFERROR(INDEX(02_INDICADORES!$C$2:$C$42,MATCH(E237,02_INDICADORES!$A$2:$A$42,0)),"ID?"))</f>
        <v/>
      </c>
      <c r="H237" s="22" t="str">
        <f aca="false">IF(E237="","",IFERROR(INDEX(02_INDICADORES!$D$2:$D$42,MATCH(E237,02_INDICADORES!$A$2:$A$42,0)),""))</f>
        <v/>
      </c>
      <c r="I237" s="9"/>
      <c r="J237" s="16" t="str">
        <f aca="false">IF(OR(I237="",H237=""),"",I237*H237)</f>
        <v/>
      </c>
      <c r="K237" s="9"/>
      <c r="L237" s="9"/>
      <c r="M237" s="9"/>
    </row>
    <row r="238" customFormat="false" ht="15" hidden="false" customHeight="false" outlineLevel="0" collapsed="false">
      <c r="A238" s="9"/>
      <c r="B238" s="9"/>
      <c r="C238" s="11"/>
      <c r="D238" s="9"/>
      <c r="E238" s="9"/>
      <c r="F238" s="22" t="str">
        <f aca="false">IF(E238="","",IFERROR(INDEX(02_INDICADORES!$B$2:$B$42,MATCH(E238,02_INDICADORES!$A$2:$A$42,0)),"ID?"))</f>
        <v/>
      </c>
      <c r="G238" s="21" t="str">
        <f aca="false">IF(E238="","",IFERROR(INDEX(02_INDICADORES!$C$2:$C$42,MATCH(E238,02_INDICADORES!$A$2:$A$42,0)),"ID?"))</f>
        <v/>
      </c>
      <c r="H238" s="22" t="str">
        <f aca="false">IF(E238="","",IFERROR(INDEX(02_INDICADORES!$D$2:$D$42,MATCH(E238,02_INDICADORES!$A$2:$A$42,0)),""))</f>
        <v/>
      </c>
      <c r="I238" s="9"/>
      <c r="J238" s="16" t="str">
        <f aca="false">IF(OR(I238="",H238=""),"",I238*H238)</f>
        <v/>
      </c>
      <c r="K238" s="9"/>
      <c r="L238" s="9"/>
      <c r="M238" s="9"/>
    </row>
    <row r="239" customFormat="false" ht="15" hidden="false" customHeight="false" outlineLevel="0" collapsed="false">
      <c r="A239" s="9"/>
      <c r="B239" s="9"/>
      <c r="C239" s="11"/>
      <c r="D239" s="9"/>
      <c r="E239" s="9"/>
      <c r="F239" s="22" t="str">
        <f aca="false">IF(E239="","",IFERROR(INDEX(02_INDICADORES!$B$2:$B$42,MATCH(E239,02_INDICADORES!$A$2:$A$42,0)),"ID?"))</f>
        <v/>
      </c>
      <c r="G239" s="21" t="str">
        <f aca="false">IF(E239="","",IFERROR(INDEX(02_INDICADORES!$C$2:$C$42,MATCH(E239,02_INDICADORES!$A$2:$A$42,0)),"ID?"))</f>
        <v/>
      </c>
      <c r="H239" s="22" t="str">
        <f aca="false">IF(E239="","",IFERROR(INDEX(02_INDICADORES!$D$2:$D$42,MATCH(E239,02_INDICADORES!$A$2:$A$42,0)),""))</f>
        <v/>
      </c>
      <c r="I239" s="9"/>
      <c r="J239" s="16" t="str">
        <f aca="false">IF(OR(I239="",H239=""),"",I239*H239)</f>
        <v/>
      </c>
      <c r="K239" s="9"/>
      <c r="L239" s="9"/>
      <c r="M239" s="9"/>
    </row>
    <row r="240" customFormat="false" ht="15" hidden="false" customHeight="false" outlineLevel="0" collapsed="false">
      <c r="A240" s="9"/>
      <c r="B240" s="9"/>
      <c r="C240" s="11"/>
      <c r="D240" s="9"/>
      <c r="E240" s="9"/>
      <c r="F240" s="22" t="str">
        <f aca="false">IF(E240="","",IFERROR(INDEX(02_INDICADORES!$B$2:$B$42,MATCH(E240,02_INDICADORES!$A$2:$A$42,0)),"ID?"))</f>
        <v/>
      </c>
      <c r="G240" s="21" t="str">
        <f aca="false">IF(E240="","",IFERROR(INDEX(02_INDICADORES!$C$2:$C$42,MATCH(E240,02_INDICADORES!$A$2:$A$42,0)),"ID?"))</f>
        <v/>
      </c>
      <c r="H240" s="22" t="str">
        <f aca="false">IF(E240="","",IFERROR(INDEX(02_INDICADORES!$D$2:$D$42,MATCH(E240,02_INDICADORES!$A$2:$A$42,0)),""))</f>
        <v/>
      </c>
      <c r="I240" s="9"/>
      <c r="J240" s="16" t="str">
        <f aca="false">IF(OR(I240="",H240=""),"",I240*H240)</f>
        <v/>
      </c>
      <c r="K240" s="9"/>
      <c r="L240" s="9"/>
      <c r="M240" s="9"/>
    </row>
    <row r="241" customFormat="false" ht="15" hidden="false" customHeight="false" outlineLevel="0" collapsed="false">
      <c r="A241" s="9"/>
      <c r="B241" s="9"/>
      <c r="C241" s="11"/>
      <c r="D241" s="9"/>
      <c r="E241" s="9"/>
      <c r="F241" s="22" t="str">
        <f aca="false">IF(E241="","",IFERROR(INDEX(02_INDICADORES!$B$2:$B$42,MATCH(E241,02_INDICADORES!$A$2:$A$42,0)),"ID?"))</f>
        <v/>
      </c>
      <c r="G241" s="21" t="str">
        <f aca="false">IF(E241="","",IFERROR(INDEX(02_INDICADORES!$C$2:$C$42,MATCH(E241,02_INDICADORES!$A$2:$A$42,0)),"ID?"))</f>
        <v/>
      </c>
      <c r="H241" s="22" t="str">
        <f aca="false">IF(E241="","",IFERROR(INDEX(02_INDICADORES!$D$2:$D$42,MATCH(E241,02_INDICADORES!$A$2:$A$42,0)),""))</f>
        <v/>
      </c>
      <c r="I241" s="9"/>
      <c r="J241" s="16" t="str">
        <f aca="false">IF(OR(I241="",H241=""),"",I241*H241)</f>
        <v/>
      </c>
      <c r="K241" s="9"/>
      <c r="L241" s="9"/>
      <c r="M241" s="9"/>
    </row>
    <row r="242" customFormat="false" ht="15" hidden="false" customHeight="false" outlineLevel="0" collapsed="false">
      <c r="A242" s="9"/>
      <c r="B242" s="9"/>
      <c r="C242" s="11"/>
      <c r="D242" s="9"/>
      <c r="E242" s="9"/>
      <c r="F242" s="22" t="str">
        <f aca="false">IF(E242="","",IFERROR(INDEX(02_INDICADORES!$B$2:$B$42,MATCH(E242,02_INDICADORES!$A$2:$A$42,0)),"ID?"))</f>
        <v/>
      </c>
      <c r="G242" s="21" t="str">
        <f aca="false">IF(E242="","",IFERROR(INDEX(02_INDICADORES!$C$2:$C$42,MATCH(E242,02_INDICADORES!$A$2:$A$42,0)),"ID?"))</f>
        <v/>
      </c>
      <c r="H242" s="22" t="str">
        <f aca="false">IF(E242="","",IFERROR(INDEX(02_INDICADORES!$D$2:$D$42,MATCH(E242,02_INDICADORES!$A$2:$A$42,0)),""))</f>
        <v/>
      </c>
      <c r="I242" s="9"/>
      <c r="J242" s="16" t="str">
        <f aca="false">IF(OR(I242="",H242=""),"",I242*H242)</f>
        <v/>
      </c>
      <c r="K242" s="9"/>
      <c r="L242" s="9"/>
      <c r="M242" s="9"/>
    </row>
    <row r="243" customFormat="false" ht="15" hidden="false" customHeight="false" outlineLevel="0" collapsed="false">
      <c r="A243" s="9"/>
      <c r="B243" s="9"/>
      <c r="C243" s="11"/>
      <c r="D243" s="9"/>
      <c r="E243" s="9"/>
      <c r="F243" s="22" t="str">
        <f aca="false">IF(E243="","",IFERROR(INDEX(02_INDICADORES!$B$2:$B$42,MATCH(E243,02_INDICADORES!$A$2:$A$42,0)),"ID?"))</f>
        <v/>
      </c>
      <c r="G243" s="21" t="str">
        <f aca="false">IF(E243="","",IFERROR(INDEX(02_INDICADORES!$C$2:$C$42,MATCH(E243,02_INDICADORES!$A$2:$A$42,0)),"ID?"))</f>
        <v/>
      </c>
      <c r="H243" s="22" t="str">
        <f aca="false">IF(E243="","",IFERROR(INDEX(02_INDICADORES!$D$2:$D$42,MATCH(E243,02_INDICADORES!$A$2:$A$42,0)),""))</f>
        <v/>
      </c>
      <c r="I243" s="9"/>
      <c r="J243" s="16" t="str">
        <f aca="false">IF(OR(I243="",H243=""),"",I243*H243)</f>
        <v/>
      </c>
      <c r="K243" s="9"/>
      <c r="L243" s="9"/>
      <c r="M243" s="9"/>
    </row>
    <row r="244" customFormat="false" ht="15" hidden="false" customHeight="false" outlineLevel="0" collapsed="false">
      <c r="A244" s="9"/>
      <c r="B244" s="9"/>
      <c r="C244" s="11"/>
      <c r="D244" s="9"/>
      <c r="E244" s="9"/>
      <c r="F244" s="22" t="str">
        <f aca="false">IF(E244="","",IFERROR(INDEX(02_INDICADORES!$B$2:$B$42,MATCH(E244,02_INDICADORES!$A$2:$A$42,0)),"ID?"))</f>
        <v/>
      </c>
      <c r="G244" s="21" t="str">
        <f aca="false">IF(E244="","",IFERROR(INDEX(02_INDICADORES!$C$2:$C$42,MATCH(E244,02_INDICADORES!$A$2:$A$42,0)),"ID?"))</f>
        <v/>
      </c>
      <c r="H244" s="22" t="str">
        <f aca="false">IF(E244="","",IFERROR(INDEX(02_INDICADORES!$D$2:$D$42,MATCH(E244,02_INDICADORES!$A$2:$A$42,0)),""))</f>
        <v/>
      </c>
      <c r="I244" s="9"/>
      <c r="J244" s="16" t="str">
        <f aca="false">IF(OR(I244="",H244=""),"",I244*H244)</f>
        <v/>
      </c>
      <c r="K244" s="9"/>
      <c r="L244" s="9"/>
      <c r="M244" s="9"/>
    </row>
    <row r="245" customFormat="false" ht="15" hidden="false" customHeight="false" outlineLevel="0" collapsed="false">
      <c r="A245" s="9"/>
      <c r="B245" s="9"/>
      <c r="C245" s="11"/>
      <c r="D245" s="9"/>
      <c r="E245" s="9"/>
      <c r="F245" s="22" t="str">
        <f aca="false">IF(E245="","",IFERROR(INDEX(02_INDICADORES!$B$2:$B$42,MATCH(E245,02_INDICADORES!$A$2:$A$42,0)),"ID?"))</f>
        <v/>
      </c>
      <c r="G245" s="21" t="str">
        <f aca="false">IF(E245="","",IFERROR(INDEX(02_INDICADORES!$C$2:$C$42,MATCH(E245,02_INDICADORES!$A$2:$A$42,0)),"ID?"))</f>
        <v/>
      </c>
      <c r="H245" s="22" t="str">
        <f aca="false">IF(E245="","",IFERROR(INDEX(02_INDICADORES!$D$2:$D$42,MATCH(E245,02_INDICADORES!$A$2:$A$42,0)),""))</f>
        <v/>
      </c>
      <c r="I245" s="9"/>
      <c r="J245" s="16" t="str">
        <f aca="false">IF(OR(I245="",H245=""),"",I245*H245)</f>
        <v/>
      </c>
      <c r="K245" s="9"/>
      <c r="L245" s="9"/>
      <c r="M245" s="9"/>
    </row>
    <row r="246" customFormat="false" ht="15" hidden="false" customHeight="false" outlineLevel="0" collapsed="false">
      <c r="A246" s="9"/>
      <c r="B246" s="9"/>
      <c r="C246" s="11"/>
      <c r="D246" s="9"/>
      <c r="E246" s="9"/>
      <c r="F246" s="22" t="str">
        <f aca="false">IF(E246="","",IFERROR(INDEX(02_INDICADORES!$B$2:$B$42,MATCH(E246,02_INDICADORES!$A$2:$A$42,0)),"ID?"))</f>
        <v/>
      </c>
      <c r="G246" s="21" t="str">
        <f aca="false">IF(E246="","",IFERROR(INDEX(02_INDICADORES!$C$2:$C$42,MATCH(E246,02_INDICADORES!$A$2:$A$42,0)),"ID?"))</f>
        <v/>
      </c>
      <c r="H246" s="22" t="str">
        <f aca="false">IF(E246="","",IFERROR(INDEX(02_INDICADORES!$D$2:$D$42,MATCH(E246,02_INDICADORES!$A$2:$A$42,0)),""))</f>
        <v/>
      </c>
      <c r="I246" s="9"/>
      <c r="J246" s="16" t="str">
        <f aca="false">IF(OR(I246="",H246=""),"",I246*H246)</f>
        <v/>
      </c>
      <c r="K246" s="9"/>
      <c r="L246" s="9"/>
      <c r="M246" s="9"/>
    </row>
    <row r="247" customFormat="false" ht="15" hidden="false" customHeight="false" outlineLevel="0" collapsed="false">
      <c r="A247" s="9"/>
      <c r="B247" s="9"/>
      <c r="C247" s="11"/>
      <c r="D247" s="9"/>
      <c r="E247" s="9"/>
      <c r="F247" s="22" t="str">
        <f aca="false">IF(E247="","",IFERROR(INDEX(02_INDICADORES!$B$2:$B$42,MATCH(E247,02_INDICADORES!$A$2:$A$42,0)),"ID?"))</f>
        <v/>
      </c>
      <c r="G247" s="21" t="str">
        <f aca="false">IF(E247="","",IFERROR(INDEX(02_INDICADORES!$C$2:$C$42,MATCH(E247,02_INDICADORES!$A$2:$A$42,0)),"ID?"))</f>
        <v/>
      </c>
      <c r="H247" s="22" t="str">
        <f aca="false">IF(E247="","",IFERROR(INDEX(02_INDICADORES!$D$2:$D$42,MATCH(E247,02_INDICADORES!$A$2:$A$42,0)),""))</f>
        <v/>
      </c>
      <c r="I247" s="9"/>
      <c r="J247" s="16" t="str">
        <f aca="false">IF(OR(I247="",H247=""),"",I247*H247)</f>
        <v/>
      </c>
      <c r="K247" s="9"/>
      <c r="L247" s="9"/>
      <c r="M247" s="9"/>
    </row>
    <row r="248" customFormat="false" ht="15" hidden="false" customHeight="false" outlineLevel="0" collapsed="false">
      <c r="A248" s="9"/>
      <c r="B248" s="9"/>
      <c r="C248" s="11"/>
      <c r="D248" s="9"/>
      <c r="E248" s="9"/>
      <c r="F248" s="22" t="str">
        <f aca="false">IF(E248="","",IFERROR(INDEX(02_INDICADORES!$B$2:$B$42,MATCH(E248,02_INDICADORES!$A$2:$A$42,0)),"ID?"))</f>
        <v/>
      </c>
      <c r="G248" s="21" t="str">
        <f aca="false">IF(E248="","",IFERROR(INDEX(02_INDICADORES!$C$2:$C$42,MATCH(E248,02_INDICADORES!$A$2:$A$42,0)),"ID?"))</f>
        <v/>
      </c>
      <c r="H248" s="22" t="str">
        <f aca="false">IF(E248="","",IFERROR(INDEX(02_INDICADORES!$D$2:$D$42,MATCH(E248,02_INDICADORES!$A$2:$A$42,0)),""))</f>
        <v/>
      </c>
      <c r="I248" s="9"/>
      <c r="J248" s="16" t="str">
        <f aca="false">IF(OR(I248="",H248=""),"",I248*H248)</f>
        <v/>
      </c>
      <c r="K248" s="9"/>
      <c r="L248" s="9"/>
      <c r="M248" s="9"/>
    </row>
    <row r="249" customFormat="false" ht="15" hidden="false" customHeight="false" outlineLevel="0" collapsed="false">
      <c r="A249" s="9"/>
      <c r="B249" s="9"/>
      <c r="C249" s="11"/>
      <c r="D249" s="9"/>
      <c r="E249" s="9"/>
      <c r="F249" s="22" t="str">
        <f aca="false">IF(E249="","",IFERROR(INDEX(02_INDICADORES!$B$2:$B$42,MATCH(E249,02_INDICADORES!$A$2:$A$42,0)),"ID?"))</f>
        <v/>
      </c>
      <c r="G249" s="21" t="str">
        <f aca="false">IF(E249="","",IFERROR(INDEX(02_INDICADORES!$C$2:$C$42,MATCH(E249,02_INDICADORES!$A$2:$A$42,0)),"ID?"))</f>
        <v/>
      </c>
      <c r="H249" s="22" t="str">
        <f aca="false">IF(E249="","",IFERROR(INDEX(02_INDICADORES!$D$2:$D$42,MATCH(E249,02_INDICADORES!$A$2:$A$42,0)),""))</f>
        <v/>
      </c>
      <c r="I249" s="9"/>
      <c r="J249" s="16" t="str">
        <f aca="false">IF(OR(I249="",H249=""),"",I249*H249)</f>
        <v/>
      </c>
      <c r="K249" s="9"/>
      <c r="L249" s="9"/>
      <c r="M249" s="9"/>
    </row>
    <row r="250" customFormat="false" ht="15" hidden="false" customHeight="false" outlineLevel="0" collapsed="false">
      <c r="A250" s="9"/>
      <c r="B250" s="9"/>
      <c r="C250" s="11"/>
      <c r="D250" s="9"/>
      <c r="E250" s="9"/>
      <c r="F250" s="22" t="str">
        <f aca="false">IF(E250="","",IFERROR(INDEX(02_INDICADORES!$B$2:$B$42,MATCH(E250,02_INDICADORES!$A$2:$A$42,0)),"ID?"))</f>
        <v/>
      </c>
      <c r="G250" s="21" t="str">
        <f aca="false">IF(E250="","",IFERROR(INDEX(02_INDICADORES!$C$2:$C$42,MATCH(E250,02_INDICADORES!$A$2:$A$42,0)),"ID?"))</f>
        <v/>
      </c>
      <c r="H250" s="22" t="str">
        <f aca="false">IF(E250="","",IFERROR(INDEX(02_INDICADORES!$D$2:$D$42,MATCH(E250,02_INDICADORES!$A$2:$A$42,0)),""))</f>
        <v/>
      </c>
      <c r="I250" s="9"/>
      <c r="J250" s="16" t="str">
        <f aca="false">IF(OR(I250="",H250=""),"",I250*H250)</f>
        <v/>
      </c>
      <c r="K250" s="9"/>
      <c r="L250" s="9"/>
      <c r="M250" s="9"/>
    </row>
    <row r="251" customFormat="false" ht="15" hidden="false" customHeight="false" outlineLevel="0" collapsed="false">
      <c r="A251" s="9"/>
      <c r="B251" s="9"/>
      <c r="C251" s="11"/>
      <c r="D251" s="9"/>
      <c r="E251" s="9"/>
      <c r="F251" s="22" t="str">
        <f aca="false">IF(E251="","",IFERROR(INDEX(02_INDICADORES!$B$2:$B$42,MATCH(E251,02_INDICADORES!$A$2:$A$42,0)),"ID?"))</f>
        <v/>
      </c>
      <c r="G251" s="21" t="str">
        <f aca="false">IF(E251="","",IFERROR(INDEX(02_INDICADORES!$C$2:$C$42,MATCH(E251,02_INDICADORES!$A$2:$A$42,0)),"ID?"))</f>
        <v/>
      </c>
      <c r="H251" s="22" t="str">
        <f aca="false">IF(E251="","",IFERROR(INDEX(02_INDICADORES!$D$2:$D$42,MATCH(E251,02_INDICADORES!$A$2:$A$42,0)),""))</f>
        <v/>
      </c>
      <c r="I251" s="9"/>
      <c r="J251" s="16" t="str">
        <f aca="false">IF(OR(I251="",H251=""),"",I251*H251)</f>
        <v/>
      </c>
      <c r="K251" s="9"/>
      <c r="L251" s="9"/>
      <c r="M251" s="9"/>
    </row>
    <row r="252" customFormat="false" ht="15" hidden="false" customHeight="false" outlineLevel="0" collapsed="false">
      <c r="A252" s="9"/>
      <c r="B252" s="9"/>
      <c r="C252" s="11"/>
      <c r="D252" s="9"/>
      <c r="E252" s="9"/>
      <c r="F252" s="22" t="str">
        <f aca="false">IF(E252="","",IFERROR(INDEX(02_INDICADORES!$B$2:$B$42,MATCH(E252,02_INDICADORES!$A$2:$A$42,0)),"ID?"))</f>
        <v/>
      </c>
      <c r="G252" s="21" t="str">
        <f aca="false">IF(E252="","",IFERROR(INDEX(02_INDICADORES!$C$2:$C$42,MATCH(E252,02_INDICADORES!$A$2:$A$42,0)),"ID?"))</f>
        <v/>
      </c>
      <c r="H252" s="22" t="str">
        <f aca="false">IF(E252="","",IFERROR(INDEX(02_INDICADORES!$D$2:$D$42,MATCH(E252,02_INDICADORES!$A$2:$A$42,0)),""))</f>
        <v/>
      </c>
      <c r="I252" s="9"/>
      <c r="J252" s="16" t="str">
        <f aca="false">IF(OR(I252="",H252=""),"",I252*H252)</f>
        <v/>
      </c>
      <c r="K252" s="9"/>
      <c r="L252" s="9"/>
      <c r="M252" s="9"/>
    </row>
    <row r="253" customFormat="false" ht="15" hidden="false" customHeight="false" outlineLevel="0" collapsed="false">
      <c r="A253" s="9"/>
      <c r="B253" s="9"/>
      <c r="C253" s="11"/>
      <c r="D253" s="9"/>
      <c r="E253" s="9"/>
      <c r="F253" s="22" t="str">
        <f aca="false">IF(E253="","",IFERROR(INDEX(02_INDICADORES!$B$2:$B$42,MATCH(E253,02_INDICADORES!$A$2:$A$42,0)),"ID?"))</f>
        <v/>
      </c>
      <c r="G253" s="21" t="str">
        <f aca="false">IF(E253="","",IFERROR(INDEX(02_INDICADORES!$C$2:$C$42,MATCH(E253,02_INDICADORES!$A$2:$A$42,0)),"ID?"))</f>
        <v/>
      </c>
      <c r="H253" s="22" t="str">
        <f aca="false">IF(E253="","",IFERROR(INDEX(02_INDICADORES!$D$2:$D$42,MATCH(E253,02_INDICADORES!$A$2:$A$42,0)),""))</f>
        <v/>
      </c>
      <c r="I253" s="9"/>
      <c r="J253" s="16" t="str">
        <f aca="false">IF(OR(I253="",H253=""),"",I253*H253)</f>
        <v/>
      </c>
      <c r="K253" s="9"/>
      <c r="L253" s="9"/>
      <c r="M253" s="9"/>
    </row>
    <row r="254" customFormat="false" ht="15" hidden="false" customHeight="false" outlineLevel="0" collapsed="false">
      <c r="A254" s="9"/>
      <c r="B254" s="9"/>
      <c r="C254" s="11"/>
      <c r="D254" s="9"/>
      <c r="E254" s="9"/>
      <c r="F254" s="22" t="str">
        <f aca="false">IF(E254="","",IFERROR(INDEX(02_INDICADORES!$B$2:$B$42,MATCH(E254,02_INDICADORES!$A$2:$A$42,0)),"ID?"))</f>
        <v/>
      </c>
      <c r="G254" s="21" t="str">
        <f aca="false">IF(E254="","",IFERROR(INDEX(02_INDICADORES!$C$2:$C$42,MATCH(E254,02_INDICADORES!$A$2:$A$42,0)),"ID?"))</f>
        <v/>
      </c>
      <c r="H254" s="22" t="str">
        <f aca="false">IF(E254="","",IFERROR(INDEX(02_INDICADORES!$D$2:$D$42,MATCH(E254,02_INDICADORES!$A$2:$A$42,0)),""))</f>
        <v/>
      </c>
      <c r="I254" s="9"/>
      <c r="J254" s="16" t="str">
        <f aca="false">IF(OR(I254="",H254=""),"",I254*H254)</f>
        <v/>
      </c>
      <c r="K254" s="9"/>
      <c r="L254" s="9"/>
      <c r="M254" s="9"/>
    </row>
    <row r="255" customFormat="false" ht="15" hidden="false" customHeight="false" outlineLevel="0" collapsed="false">
      <c r="A255" s="9"/>
      <c r="B255" s="9"/>
      <c r="C255" s="11"/>
      <c r="D255" s="9"/>
      <c r="E255" s="9"/>
      <c r="F255" s="22" t="str">
        <f aca="false">IF(E255="","",IFERROR(INDEX(02_INDICADORES!$B$2:$B$42,MATCH(E255,02_INDICADORES!$A$2:$A$42,0)),"ID?"))</f>
        <v/>
      </c>
      <c r="G255" s="21" t="str">
        <f aca="false">IF(E255="","",IFERROR(INDEX(02_INDICADORES!$C$2:$C$42,MATCH(E255,02_INDICADORES!$A$2:$A$42,0)),"ID?"))</f>
        <v/>
      </c>
      <c r="H255" s="22" t="str">
        <f aca="false">IF(E255="","",IFERROR(INDEX(02_INDICADORES!$D$2:$D$42,MATCH(E255,02_INDICADORES!$A$2:$A$42,0)),""))</f>
        <v/>
      </c>
      <c r="I255" s="9"/>
      <c r="J255" s="16" t="str">
        <f aca="false">IF(OR(I255="",H255=""),"",I255*H255)</f>
        <v/>
      </c>
      <c r="K255" s="9"/>
      <c r="L255" s="9"/>
      <c r="M255" s="9"/>
    </row>
    <row r="256" customFormat="false" ht="15" hidden="false" customHeight="false" outlineLevel="0" collapsed="false">
      <c r="A256" s="9"/>
      <c r="B256" s="9"/>
      <c r="C256" s="11"/>
      <c r="D256" s="9"/>
      <c r="E256" s="9"/>
      <c r="F256" s="22" t="str">
        <f aca="false">IF(E256="","",IFERROR(INDEX(02_INDICADORES!$B$2:$B$42,MATCH(E256,02_INDICADORES!$A$2:$A$42,0)),"ID?"))</f>
        <v/>
      </c>
      <c r="G256" s="21" t="str">
        <f aca="false">IF(E256="","",IFERROR(INDEX(02_INDICADORES!$C$2:$C$42,MATCH(E256,02_INDICADORES!$A$2:$A$42,0)),"ID?"))</f>
        <v/>
      </c>
      <c r="H256" s="22" t="str">
        <f aca="false">IF(E256="","",IFERROR(INDEX(02_INDICADORES!$D$2:$D$42,MATCH(E256,02_INDICADORES!$A$2:$A$42,0)),""))</f>
        <v/>
      </c>
      <c r="I256" s="9"/>
      <c r="J256" s="16" t="str">
        <f aca="false">IF(OR(I256="",H256=""),"",I256*H256)</f>
        <v/>
      </c>
      <c r="K256" s="9"/>
      <c r="L256" s="9"/>
      <c r="M256" s="9"/>
    </row>
    <row r="257" customFormat="false" ht="15" hidden="false" customHeight="false" outlineLevel="0" collapsed="false">
      <c r="A257" s="9"/>
      <c r="B257" s="9"/>
      <c r="C257" s="11"/>
      <c r="D257" s="9"/>
      <c r="E257" s="9"/>
      <c r="F257" s="22" t="str">
        <f aca="false">IF(E257="","",IFERROR(INDEX(02_INDICADORES!$B$2:$B$42,MATCH(E257,02_INDICADORES!$A$2:$A$42,0)),"ID?"))</f>
        <v/>
      </c>
      <c r="G257" s="21" t="str">
        <f aca="false">IF(E257="","",IFERROR(INDEX(02_INDICADORES!$C$2:$C$42,MATCH(E257,02_INDICADORES!$A$2:$A$42,0)),"ID?"))</f>
        <v/>
      </c>
      <c r="H257" s="22" t="str">
        <f aca="false">IF(E257="","",IFERROR(INDEX(02_INDICADORES!$D$2:$D$42,MATCH(E257,02_INDICADORES!$A$2:$A$42,0)),""))</f>
        <v/>
      </c>
      <c r="I257" s="9"/>
      <c r="J257" s="16" t="str">
        <f aca="false">IF(OR(I257="",H257=""),"",I257*H257)</f>
        <v/>
      </c>
      <c r="K257" s="9"/>
      <c r="L257" s="9"/>
      <c r="M257" s="9"/>
    </row>
    <row r="258" customFormat="false" ht="15" hidden="false" customHeight="false" outlineLevel="0" collapsed="false">
      <c r="A258" s="9"/>
      <c r="B258" s="9"/>
      <c r="C258" s="11"/>
      <c r="D258" s="9"/>
      <c r="E258" s="9"/>
      <c r="F258" s="22" t="str">
        <f aca="false">IF(E258="","",IFERROR(INDEX(02_INDICADORES!$B$2:$B$42,MATCH(E258,02_INDICADORES!$A$2:$A$42,0)),"ID?"))</f>
        <v/>
      </c>
      <c r="G258" s="21" t="str">
        <f aca="false">IF(E258="","",IFERROR(INDEX(02_INDICADORES!$C$2:$C$42,MATCH(E258,02_INDICADORES!$A$2:$A$42,0)),"ID?"))</f>
        <v/>
      </c>
      <c r="H258" s="22" t="str">
        <f aca="false">IF(E258="","",IFERROR(INDEX(02_INDICADORES!$D$2:$D$42,MATCH(E258,02_INDICADORES!$A$2:$A$42,0)),""))</f>
        <v/>
      </c>
      <c r="I258" s="9"/>
      <c r="J258" s="16" t="str">
        <f aca="false">IF(OR(I258="",H258=""),"",I258*H258)</f>
        <v/>
      </c>
      <c r="K258" s="9"/>
      <c r="L258" s="9"/>
      <c r="M258" s="9"/>
    </row>
    <row r="259" customFormat="false" ht="15" hidden="false" customHeight="false" outlineLevel="0" collapsed="false">
      <c r="A259" s="9"/>
      <c r="B259" s="9"/>
      <c r="C259" s="11"/>
      <c r="D259" s="9"/>
      <c r="E259" s="9"/>
      <c r="F259" s="22" t="str">
        <f aca="false">IF(E259="","",IFERROR(INDEX(02_INDICADORES!$B$2:$B$42,MATCH(E259,02_INDICADORES!$A$2:$A$42,0)),"ID?"))</f>
        <v/>
      </c>
      <c r="G259" s="21" t="str">
        <f aca="false">IF(E259="","",IFERROR(INDEX(02_INDICADORES!$C$2:$C$42,MATCH(E259,02_INDICADORES!$A$2:$A$42,0)),"ID?"))</f>
        <v/>
      </c>
      <c r="H259" s="22" t="str">
        <f aca="false">IF(E259="","",IFERROR(INDEX(02_INDICADORES!$D$2:$D$42,MATCH(E259,02_INDICADORES!$A$2:$A$42,0)),""))</f>
        <v/>
      </c>
      <c r="I259" s="9"/>
      <c r="J259" s="16" t="str">
        <f aca="false">IF(OR(I259="",H259=""),"",I259*H259)</f>
        <v/>
      </c>
      <c r="K259" s="9"/>
      <c r="L259" s="9"/>
      <c r="M259" s="9"/>
    </row>
    <row r="260" customFormat="false" ht="15" hidden="false" customHeight="false" outlineLevel="0" collapsed="false">
      <c r="A260" s="9"/>
      <c r="B260" s="9"/>
      <c r="C260" s="11"/>
      <c r="D260" s="9"/>
      <c r="E260" s="9"/>
      <c r="F260" s="22" t="str">
        <f aca="false">IF(E260="","",IFERROR(INDEX(02_INDICADORES!$B$2:$B$42,MATCH(E260,02_INDICADORES!$A$2:$A$42,0)),"ID?"))</f>
        <v/>
      </c>
      <c r="G260" s="21" t="str">
        <f aca="false">IF(E260="","",IFERROR(INDEX(02_INDICADORES!$C$2:$C$42,MATCH(E260,02_INDICADORES!$A$2:$A$42,0)),"ID?"))</f>
        <v/>
      </c>
      <c r="H260" s="22" t="str">
        <f aca="false">IF(E260="","",IFERROR(INDEX(02_INDICADORES!$D$2:$D$42,MATCH(E260,02_INDICADORES!$A$2:$A$42,0)),""))</f>
        <v/>
      </c>
      <c r="I260" s="9"/>
      <c r="J260" s="16" t="str">
        <f aca="false">IF(OR(I260="",H260=""),"",I260*H260)</f>
        <v/>
      </c>
      <c r="K260" s="9"/>
      <c r="L260" s="9"/>
      <c r="M260" s="9"/>
    </row>
    <row r="261" customFormat="false" ht="15" hidden="false" customHeight="false" outlineLevel="0" collapsed="false">
      <c r="A261" s="9"/>
      <c r="B261" s="9"/>
      <c r="C261" s="11"/>
      <c r="D261" s="9"/>
      <c r="E261" s="9"/>
      <c r="F261" s="22" t="str">
        <f aca="false">IF(E261="","",IFERROR(INDEX(02_INDICADORES!$B$2:$B$42,MATCH(E261,02_INDICADORES!$A$2:$A$42,0)),"ID?"))</f>
        <v/>
      </c>
      <c r="G261" s="21" t="str">
        <f aca="false">IF(E261="","",IFERROR(INDEX(02_INDICADORES!$C$2:$C$42,MATCH(E261,02_INDICADORES!$A$2:$A$42,0)),"ID?"))</f>
        <v/>
      </c>
      <c r="H261" s="22" t="str">
        <f aca="false">IF(E261="","",IFERROR(INDEX(02_INDICADORES!$D$2:$D$42,MATCH(E261,02_INDICADORES!$A$2:$A$42,0)),""))</f>
        <v/>
      </c>
      <c r="I261" s="9"/>
      <c r="J261" s="16" t="str">
        <f aca="false">IF(OR(I261="",H261=""),"",I261*H261)</f>
        <v/>
      </c>
      <c r="K261" s="9"/>
      <c r="L261" s="9"/>
      <c r="M261" s="9"/>
    </row>
    <row r="262" customFormat="false" ht="15" hidden="false" customHeight="false" outlineLevel="0" collapsed="false">
      <c r="A262" s="9"/>
      <c r="B262" s="9"/>
      <c r="C262" s="11"/>
      <c r="D262" s="9"/>
      <c r="E262" s="9"/>
      <c r="F262" s="22" t="str">
        <f aca="false">IF(E262="","",IFERROR(INDEX(02_INDICADORES!$B$2:$B$42,MATCH(E262,02_INDICADORES!$A$2:$A$42,0)),"ID?"))</f>
        <v/>
      </c>
      <c r="G262" s="21" t="str">
        <f aca="false">IF(E262="","",IFERROR(INDEX(02_INDICADORES!$C$2:$C$42,MATCH(E262,02_INDICADORES!$A$2:$A$42,0)),"ID?"))</f>
        <v/>
      </c>
      <c r="H262" s="22" t="str">
        <f aca="false">IF(E262="","",IFERROR(INDEX(02_INDICADORES!$D$2:$D$42,MATCH(E262,02_INDICADORES!$A$2:$A$42,0)),""))</f>
        <v/>
      </c>
      <c r="I262" s="9"/>
      <c r="J262" s="16" t="str">
        <f aca="false">IF(OR(I262="",H262=""),"",I262*H262)</f>
        <v/>
      </c>
      <c r="K262" s="9"/>
      <c r="L262" s="9"/>
      <c r="M262" s="9"/>
    </row>
    <row r="263" customFormat="false" ht="15" hidden="false" customHeight="false" outlineLevel="0" collapsed="false">
      <c r="A263" s="9"/>
      <c r="B263" s="9"/>
      <c r="C263" s="11"/>
      <c r="D263" s="9"/>
      <c r="E263" s="9"/>
      <c r="F263" s="22" t="str">
        <f aca="false">IF(E263="","",IFERROR(INDEX(02_INDICADORES!$B$2:$B$42,MATCH(E263,02_INDICADORES!$A$2:$A$42,0)),"ID?"))</f>
        <v/>
      </c>
      <c r="G263" s="21" t="str">
        <f aca="false">IF(E263="","",IFERROR(INDEX(02_INDICADORES!$C$2:$C$42,MATCH(E263,02_INDICADORES!$A$2:$A$42,0)),"ID?"))</f>
        <v/>
      </c>
      <c r="H263" s="22" t="str">
        <f aca="false">IF(E263="","",IFERROR(INDEX(02_INDICADORES!$D$2:$D$42,MATCH(E263,02_INDICADORES!$A$2:$A$42,0)),""))</f>
        <v/>
      </c>
      <c r="I263" s="9"/>
      <c r="J263" s="16" t="str">
        <f aca="false">IF(OR(I263="",H263=""),"",I263*H263)</f>
        <v/>
      </c>
      <c r="K263" s="9"/>
      <c r="L263" s="9"/>
      <c r="M263" s="9"/>
    </row>
    <row r="264" customFormat="false" ht="15" hidden="false" customHeight="false" outlineLevel="0" collapsed="false">
      <c r="A264" s="9"/>
      <c r="B264" s="9"/>
      <c r="C264" s="11"/>
      <c r="D264" s="9"/>
      <c r="E264" s="9"/>
      <c r="F264" s="22" t="str">
        <f aca="false">IF(E264="","",IFERROR(INDEX(02_INDICADORES!$B$2:$B$42,MATCH(E264,02_INDICADORES!$A$2:$A$42,0)),"ID?"))</f>
        <v/>
      </c>
      <c r="G264" s="21" t="str">
        <f aca="false">IF(E264="","",IFERROR(INDEX(02_INDICADORES!$C$2:$C$42,MATCH(E264,02_INDICADORES!$A$2:$A$42,0)),"ID?"))</f>
        <v/>
      </c>
      <c r="H264" s="22" t="str">
        <f aca="false">IF(E264="","",IFERROR(INDEX(02_INDICADORES!$D$2:$D$42,MATCH(E264,02_INDICADORES!$A$2:$A$42,0)),""))</f>
        <v/>
      </c>
      <c r="I264" s="9"/>
      <c r="J264" s="16" t="str">
        <f aca="false">IF(OR(I264="",H264=""),"",I264*H264)</f>
        <v/>
      </c>
      <c r="K264" s="9"/>
      <c r="L264" s="9"/>
      <c r="M264" s="9"/>
    </row>
    <row r="265" customFormat="false" ht="15" hidden="false" customHeight="false" outlineLevel="0" collapsed="false">
      <c r="A265" s="9"/>
      <c r="B265" s="9"/>
      <c r="C265" s="11"/>
      <c r="D265" s="9"/>
      <c r="E265" s="9"/>
      <c r="F265" s="22" t="str">
        <f aca="false">IF(E265="","",IFERROR(INDEX(02_INDICADORES!$B$2:$B$42,MATCH(E265,02_INDICADORES!$A$2:$A$42,0)),"ID?"))</f>
        <v/>
      </c>
      <c r="G265" s="21" t="str">
        <f aca="false">IF(E265="","",IFERROR(INDEX(02_INDICADORES!$C$2:$C$42,MATCH(E265,02_INDICADORES!$A$2:$A$42,0)),"ID?"))</f>
        <v/>
      </c>
      <c r="H265" s="22" t="str">
        <f aca="false">IF(E265="","",IFERROR(INDEX(02_INDICADORES!$D$2:$D$42,MATCH(E265,02_INDICADORES!$A$2:$A$42,0)),""))</f>
        <v/>
      </c>
      <c r="I265" s="9"/>
      <c r="J265" s="16" t="str">
        <f aca="false">IF(OR(I265="",H265=""),"",I265*H265)</f>
        <v/>
      </c>
      <c r="K265" s="9"/>
      <c r="L265" s="9"/>
      <c r="M265" s="9"/>
    </row>
    <row r="266" customFormat="false" ht="15" hidden="false" customHeight="false" outlineLevel="0" collapsed="false">
      <c r="A266" s="9"/>
      <c r="B266" s="9"/>
      <c r="C266" s="11"/>
      <c r="D266" s="9"/>
      <c r="E266" s="9"/>
      <c r="F266" s="22" t="str">
        <f aca="false">IF(E266="","",IFERROR(INDEX(02_INDICADORES!$B$2:$B$42,MATCH(E266,02_INDICADORES!$A$2:$A$42,0)),"ID?"))</f>
        <v/>
      </c>
      <c r="G266" s="21" t="str">
        <f aca="false">IF(E266="","",IFERROR(INDEX(02_INDICADORES!$C$2:$C$42,MATCH(E266,02_INDICADORES!$A$2:$A$42,0)),"ID?"))</f>
        <v/>
      </c>
      <c r="H266" s="22" t="str">
        <f aca="false">IF(E266="","",IFERROR(INDEX(02_INDICADORES!$D$2:$D$42,MATCH(E266,02_INDICADORES!$A$2:$A$42,0)),""))</f>
        <v/>
      </c>
      <c r="I266" s="9"/>
      <c r="J266" s="16" t="str">
        <f aca="false">IF(OR(I266="",H266=""),"",I266*H266)</f>
        <v/>
      </c>
      <c r="K266" s="9"/>
      <c r="L266" s="9"/>
      <c r="M266" s="9"/>
    </row>
    <row r="267" customFormat="false" ht="15" hidden="false" customHeight="false" outlineLevel="0" collapsed="false">
      <c r="A267" s="9"/>
      <c r="B267" s="9"/>
      <c r="C267" s="11"/>
      <c r="D267" s="9"/>
      <c r="E267" s="9"/>
      <c r="F267" s="22" t="str">
        <f aca="false">IF(E267="","",IFERROR(INDEX(02_INDICADORES!$B$2:$B$42,MATCH(E267,02_INDICADORES!$A$2:$A$42,0)),"ID?"))</f>
        <v/>
      </c>
      <c r="G267" s="21" t="str">
        <f aca="false">IF(E267="","",IFERROR(INDEX(02_INDICADORES!$C$2:$C$42,MATCH(E267,02_INDICADORES!$A$2:$A$42,0)),"ID?"))</f>
        <v/>
      </c>
      <c r="H267" s="22" t="str">
        <f aca="false">IF(E267="","",IFERROR(INDEX(02_INDICADORES!$D$2:$D$42,MATCH(E267,02_INDICADORES!$A$2:$A$42,0)),""))</f>
        <v/>
      </c>
      <c r="I267" s="9"/>
      <c r="J267" s="16" t="str">
        <f aca="false">IF(OR(I267="",H267=""),"",I267*H267)</f>
        <v/>
      </c>
      <c r="K267" s="9"/>
      <c r="L267" s="9"/>
      <c r="M267" s="9"/>
    </row>
    <row r="268" customFormat="false" ht="15" hidden="false" customHeight="false" outlineLevel="0" collapsed="false">
      <c r="A268" s="9"/>
      <c r="B268" s="9"/>
      <c r="C268" s="11"/>
      <c r="D268" s="9"/>
      <c r="E268" s="9"/>
      <c r="F268" s="22" t="str">
        <f aca="false">IF(E268="","",IFERROR(INDEX(02_INDICADORES!$B$2:$B$42,MATCH(E268,02_INDICADORES!$A$2:$A$42,0)),"ID?"))</f>
        <v/>
      </c>
      <c r="G268" s="21" t="str">
        <f aca="false">IF(E268="","",IFERROR(INDEX(02_INDICADORES!$C$2:$C$42,MATCH(E268,02_INDICADORES!$A$2:$A$42,0)),"ID?"))</f>
        <v/>
      </c>
      <c r="H268" s="22" t="str">
        <f aca="false">IF(E268="","",IFERROR(INDEX(02_INDICADORES!$D$2:$D$42,MATCH(E268,02_INDICADORES!$A$2:$A$42,0)),""))</f>
        <v/>
      </c>
      <c r="I268" s="9"/>
      <c r="J268" s="16" t="str">
        <f aca="false">IF(OR(I268="",H268=""),"",I268*H268)</f>
        <v/>
      </c>
      <c r="K268" s="9"/>
      <c r="L268" s="9"/>
      <c r="M268" s="9"/>
    </row>
    <row r="269" customFormat="false" ht="15" hidden="false" customHeight="false" outlineLevel="0" collapsed="false">
      <c r="A269" s="9"/>
      <c r="B269" s="9"/>
      <c r="C269" s="11"/>
      <c r="D269" s="9"/>
      <c r="E269" s="9"/>
      <c r="F269" s="22" t="str">
        <f aca="false">IF(E269="","",IFERROR(INDEX(02_INDICADORES!$B$2:$B$42,MATCH(E269,02_INDICADORES!$A$2:$A$42,0)),"ID?"))</f>
        <v/>
      </c>
      <c r="G269" s="21" t="str">
        <f aca="false">IF(E269="","",IFERROR(INDEX(02_INDICADORES!$C$2:$C$42,MATCH(E269,02_INDICADORES!$A$2:$A$42,0)),"ID?"))</f>
        <v/>
      </c>
      <c r="H269" s="22" t="str">
        <f aca="false">IF(E269="","",IFERROR(INDEX(02_INDICADORES!$D$2:$D$42,MATCH(E269,02_INDICADORES!$A$2:$A$42,0)),""))</f>
        <v/>
      </c>
      <c r="I269" s="9"/>
      <c r="J269" s="16" t="str">
        <f aca="false">IF(OR(I269="",H269=""),"",I269*H269)</f>
        <v/>
      </c>
      <c r="K269" s="9"/>
      <c r="L269" s="9"/>
      <c r="M269" s="9"/>
    </row>
    <row r="270" customFormat="false" ht="15" hidden="false" customHeight="false" outlineLevel="0" collapsed="false">
      <c r="A270" s="9"/>
      <c r="B270" s="9"/>
      <c r="C270" s="11"/>
      <c r="D270" s="9"/>
      <c r="E270" s="9"/>
      <c r="F270" s="22" t="str">
        <f aca="false">IF(E270="","",IFERROR(INDEX(02_INDICADORES!$B$2:$B$42,MATCH(E270,02_INDICADORES!$A$2:$A$42,0)),"ID?"))</f>
        <v/>
      </c>
      <c r="G270" s="21" t="str">
        <f aca="false">IF(E270="","",IFERROR(INDEX(02_INDICADORES!$C$2:$C$42,MATCH(E270,02_INDICADORES!$A$2:$A$42,0)),"ID?"))</f>
        <v/>
      </c>
      <c r="H270" s="22" t="str">
        <f aca="false">IF(E270="","",IFERROR(INDEX(02_INDICADORES!$D$2:$D$42,MATCH(E270,02_INDICADORES!$A$2:$A$42,0)),""))</f>
        <v/>
      </c>
      <c r="I270" s="9"/>
      <c r="J270" s="16" t="str">
        <f aca="false">IF(OR(I270="",H270=""),"",I270*H270)</f>
        <v/>
      </c>
      <c r="K270" s="9"/>
      <c r="L270" s="9"/>
      <c r="M270" s="9"/>
    </row>
    <row r="271" customFormat="false" ht="15" hidden="false" customHeight="false" outlineLevel="0" collapsed="false">
      <c r="A271" s="9"/>
      <c r="B271" s="9"/>
      <c r="C271" s="11"/>
      <c r="D271" s="9"/>
      <c r="E271" s="9"/>
      <c r="F271" s="22" t="str">
        <f aca="false">IF(E271="","",IFERROR(INDEX(02_INDICADORES!$B$2:$B$42,MATCH(E271,02_INDICADORES!$A$2:$A$42,0)),"ID?"))</f>
        <v/>
      </c>
      <c r="G271" s="21" t="str">
        <f aca="false">IF(E271="","",IFERROR(INDEX(02_INDICADORES!$C$2:$C$42,MATCH(E271,02_INDICADORES!$A$2:$A$42,0)),"ID?"))</f>
        <v/>
      </c>
      <c r="H271" s="22" t="str">
        <f aca="false">IF(E271="","",IFERROR(INDEX(02_INDICADORES!$D$2:$D$42,MATCH(E271,02_INDICADORES!$A$2:$A$42,0)),""))</f>
        <v/>
      </c>
      <c r="I271" s="9"/>
      <c r="J271" s="16" t="str">
        <f aca="false">IF(OR(I271="",H271=""),"",I271*H271)</f>
        <v/>
      </c>
      <c r="K271" s="9"/>
      <c r="L271" s="9"/>
      <c r="M271" s="9"/>
    </row>
    <row r="272" customFormat="false" ht="15" hidden="false" customHeight="false" outlineLevel="0" collapsed="false">
      <c r="A272" s="9"/>
      <c r="B272" s="9"/>
      <c r="C272" s="11"/>
      <c r="D272" s="9"/>
      <c r="E272" s="9"/>
      <c r="F272" s="22" t="str">
        <f aca="false">IF(E272="","",IFERROR(INDEX(02_INDICADORES!$B$2:$B$42,MATCH(E272,02_INDICADORES!$A$2:$A$42,0)),"ID?"))</f>
        <v/>
      </c>
      <c r="G272" s="21" t="str">
        <f aca="false">IF(E272="","",IFERROR(INDEX(02_INDICADORES!$C$2:$C$42,MATCH(E272,02_INDICADORES!$A$2:$A$42,0)),"ID?"))</f>
        <v/>
      </c>
      <c r="H272" s="22" t="str">
        <f aca="false">IF(E272="","",IFERROR(INDEX(02_INDICADORES!$D$2:$D$42,MATCH(E272,02_INDICADORES!$A$2:$A$42,0)),""))</f>
        <v/>
      </c>
      <c r="I272" s="9"/>
      <c r="J272" s="16" t="str">
        <f aca="false">IF(OR(I272="",H272=""),"",I272*H272)</f>
        <v/>
      </c>
      <c r="K272" s="9"/>
      <c r="L272" s="9"/>
      <c r="M272" s="9"/>
    </row>
    <row r="273" customFormat="false" ht="15" hidden="false" customHeight="false" outlineLevel="0" collapsed="false">
      <c r="A273" s="9"/>
      <c r="B273" s="9"/>
      <c r="C273" s="11"/>
      <c r="D273" s="9"/>
      <c r="E273" s="9"/>
      <c r="F273" s="22" t="str">
        <f aca="false">IF(E273="","",IFERROR(INDEX(02_INDICADORES!$B$2:$B$42,MATCH(E273,02_INDICADORES!$A$2:$A$42,0)),"ID?"))</f>
        <v/>
      </c>
      <c r="G273" s="21" t="str">
        <f aca="false">IF(E273="","",IFERROR(INDEX(02_INDICADORES!$C$2:$C$42,MATCH(E273,02_INDICADORES!$A$2:$A$42,0)),"ID?"))</f>
        <v/>
      </c>
      <c r="H273" s="22" t="str">
        <f aca="false">IF(E273="","",IFERROR(INDEX(02_INDICADORES!$D$2:$D$42,MATCH(E273,02_INDICADORES!$A$2:$A$42,0)),""))</f>
        <v/>
      </c>
      <c r="I273" s="9"/>
      <c r="J273" s="16" t="str">
        <f aca="false">IF(OR(I273="",H273=""),"",I273*H273)</f>
        <v/>
      </c>
      <c r="K273" s="9"/>
      <c r="L273" s="9"/>
      <c r="M273" s="9"/>
    </row>
    <row r="274" customFormat="false" ht="15" hidden="false" customHeight="false" outlineLevel="0" collapsed="false">
      <c r="A274" s="9"/>
      <c r="B274" s="9"/>
      <c r="C274" s="11"/>
      <c r="D274" s="9"/>
      <c r="E274" s="9"/>
      <c r="F274" s="22" t="str">
        <f aca="false">IF(E274="","",IFERROR(INDEX(02_INDICADORES!$B$2:$B$42,MATCH(E274,02_INDICADORES!$A$2:$A$42,0)),"ID?"))</f>
        <v/>
      </c>
      <c r="G274" s="21" t="str">
        <f aca="false">IF(E274="","",IFERROR(INDEX(02_INDICADORES!$C$2:$C$42,MATCH(E274,02_INDICADORES!$A$2:$A$42,0)),"ID?"))</f>
        <v/>
      </c>
      <c r="H274" s="22" t="str">
        <f aca="false">IF(E274="","",IFERROR(INDEX(02_INDICADORES!$D$2:$D$42,MATCH(E274,02_INDICADORES!$A$2:$A$42,0)),""))</f>
        <v/>
      </c>
      <c r="I274" s="9"/>
      <c r="J274" s="16" t="str">
        <f aca="false">IF(OR(I274="",H274=""),"",I274*H274)</f>
        <v/>
      </c>
      <c r="K274" s="9"/>
      <c r="L274" s="9"/>
      <c r="M274" s="9"/>
    </row>
    <row r="275" customFormat="false" ht="15" hidden="false" customHeight="false" outlineLevel="0" collapsed="false">
      <c r="A275" s="9"/>
      <c r="B275" s="9"/>
      <c r="C275" s="11"/>
      <c r="D275" s="9"/>
      <c r="E275" s="9"/>
      <c r="F275" s="22" t="str">
        <f aca="false">IF(E275="","",IFERROR(INDEX(02_INDICADORES!$B$2:$B$42,MATCH(E275,02_INDICADORES!$A$2:$A$42,0)),"ID?"))</f>
        <v/>
      </c>
      <c r="G275" s="21" t="str">
        <f aca="false">IF(E275="","",IFERROR(INDEX(02_INDICADORES!$C$2:$C$42,MATCH(E275,02_INDICADORES!$A$2:$A$42,0)),"ID?"))</f>
        <v/>
      </c>
      <c r="H275" s="22" t="str">
        <f aca="false">IF(E275="","",IFERROR(INDEX(02_INDICADORES!$D$2:$D$42,MATCH(E275,02_INDICADORES!$A$2:$A$42,0)),""))</f>
        <v/>
      </c>
      <c r="I275" s="9"/>
      <c r="J275" s="16" t="str">
        <f aca="false">IF(OR(I275="",H275=""),"",I275*H275)</f>
        <v/>
      </c>
      <c r="K275" s="9"/>
      <c r="L275" s="9"/>
      <c r="M275" s="9"/>
    </row>
    <row r="276" customFormat="false" ht="15" hidden="false" customHeight="false" outlineLevel="0" collapsed="false">
      <c r="A276" s="9"/>
      <c r="B276" s="9"/>
      <c r="C276" s="11"/>
      <c r="D276" s="9"/>
      <c r="E276" s="9"/>
      <c r="F276" s="22" t="str">
        <f aca="false">IF(E276="","",IFERROR(INDEX(02_INDICADORES!$B$2:$B$42,MATCH(E276,02_INDICADORES!$A$2:$A$42,0)),"ID?"))</f>
        <v/>
      </c>
      <c r="G276" s="21" t="str">
        <f aca="false">IF(E276="","",IFERROR(INDEX(02_INDICADORES!$C$2:$C$42,MATCH(E276,02_INDICADORES!$A$2:$A$42,0)),"ID?"))</f>
        <v/>
      </c>
      <c r="H276" s="22" t="str">
        <f aca="false">IF(E276="","",IFERROR(INDEX(02_INDICADORES!$D$2:$D$42,MATCH(E276,02_INDICADORES!$A$2:$A$42,0)),""))</f>
        <v/>
      </c>
      <c r="I276" s="9"/>
      <c r="J276" s="16" t="str">
        <f aca="false">IF(OR(I276="",H276=""),"",I276*H276)</f>
        <v/>
      </c>
      <c r="K276" s="9"/>
      <c r="L276" s="9"/>
      <c r="M276" s="9"/>
    </row>
    <row r="277" customFormat="false" ht="15" hidden="false" customHeight="false" outlineLevel="0" collapsed="false">
      <c r="A277" s="9"/>
      <c r="B277" s="9"/>
      <c r="C277" s="11"/>
      <c r="D277" s="9"/>
      <c r="E277" s="9"/>
      <c r="F277" s="22" t="str">
        <f aca="false">IF(E277="","",IFERROR(INDEX(02_INDICADORES!$B$2:$B$42,MATCH(E277,02_INDICADORES!$A$2:$A$42,0)),"ID?"))</f>
        <v/>
      </c>
      <c r="G277" s="21" t="str">
        <f aca="false">IF(E277="","",IFERROR(INDEX(02_INDICADORES!$C$2:$C$42,MATCH(E277,02_INDICADORES!$A$2:$A$42,0)),"ID?"))</f>
        <v/>
      </c>
      <c r="H277" s="22" t="str">
        <f aca="false">IF(E277="","",IFERROR(INDEX(02_INDICADORES!$D$2:$D$42,MATCH(E277,02_INDICADORES!$A$2:$A$42,0)),""))</f>
        <v/>
      </c>
      <c r="I277" s="9"/>
      <c r="J277" s="16" t="str">
        <f aca="false">IF(OR(I277="",H277=""),"",I277*H277)</f>
        <v/>
      </c>
      <c r="K277" s="9"/>
      <c r="L277" s="9"/>
      <c r="M277" s="9"/>
    </row>
    <row r="278" customFormat="false" ht="15" hidden="false" customHeight="false" outlineLevel="0" collapsed="false">
      <c r="A278" s="9"/>
      <c r="B278" s="9"/>
      <c r="C278" s="11"/>
      <c r="D278" s="9"/>
      <c r="E278" s="9"/>
      <c r="F278" s="22" t="str">
        <f aca="false">IF(E278="","",IFERROR(INDEX(02_INDICADORES!$B$2:$B$42,MATCH(E278,02_INDICADORES!$A$2:$A$42,0)),"ID?"))</f>
        <v/>
      </c>
      <c r="G278" s="21" t="str">
        <f aca="false">IF(E278="","",IFERROR(INDEX(02_INDICADORES!$C$2:$C$42,MATCH(E278,02_INDICADORES!$A$2:$A$42,0)),"ID?"))</f>
        <v/>
      </c>
      <c r="H278" s="22" t="str">
        <f aca="false">IF(E278="","",IFERROR(INDEX(02_INDICADORES!$D$2:$D$42,MATCH(E278,02_INDICADORES!$A$2:$A$42,0)),""))</f>
        <v/>
      </c>
      <c r="I278" s="9"/>
      <c r="J278" s="16" t="str">
        <f aca="false">IF(OR(I278="",H278=""),"",I278*H278)</f>
        <v/>
      </c>
      <c r="K278" s="9"/>
      <c r="L278" s="9"/>
      <c r="M278" s="9"/>
    </row>
    <row r="279" customFormat="false" ht="15" hidden="false" customHeight="false" outlineLevel="0" collapsed="false">
      <c r="A279" s="9"/>
      <c r="B279" s="9"/>
      <c r="C279" s="11"/>
      <c r="D279" s="9"/>
      <c r="E279" s="9"/>
      <c r="F279" s="22" t="str">
        <f aca="false">IF(E279="","",IFERROR(INDEX(02_INDICADORES!$B$2:$B$42,MATCH(E279,02_INDICADORES!$A$2:$A$42,0)),"ID?"))</f>
        <v/>
      </c>
      <c r="G279" s="21" t="str">
        <f aca="false">IF(E279="","",IFERROR(INDEX(02_INDICADORES!$C$2:$C$42,MATCH(E279,02_INDICADORES!$A$2:$A$42,0)),"ID?"))</f>
        <v/>
      </c>
      <c r="H279" s="22" t="str">
        <f aca="false">IF(E279="","",IFERROR(INDEX(02_INDICADORES!$D$2:$D$42,MATCH(E279,02_INDICADORES!$A$2:$A$42,0)),""))</f>
        <v/>
      </c>
      <c r="I279" s="9"/>
      <c r="J279" s="16" t="str">
        <f aca="false">IF(OR(I279="",H279=""),"",I279*H279)</f>
        <v/>
      </c>
      <c r="K279" s="9"/>
      <c r="L279" s="9"/>
      <c r="M279" s="9"/>
    </row>
    <row r="280" customFormat="false" ht="15" hidden="false" customHeight="false" outlineLevel="0" collapsed="false">
      <c r="A280" s="9"/>
      <c r="B280" s="9"/>
      <c r="C280" s="11"/>
      <c r="D280" s="9"/>
      <c r="E280" s="9"/>
      <c r="F280" s="22" t="str">
        <f aca="false">IF(E280="","",IFERROR(INDEX(02_INDICADORES!$B$2:$B$42,MATCH(E280,02_INDICADORES!$A$2:$A$42,0)),"ID?"))</f>
        <v/>
      </c>
      <c r="G280" s="21" t="str">
        <f aca="false">IF(E280="","",IFERROR(INDEX(02_INDICADORES!$C$2:$C$42,MATCH(E280,02_INDICADORES!$A$2:$A$42,0)),"ID?"))</f>
        <v/>
      </c>
      <c r="H280" s="22" t="str">
        <f aca="false">IF(E280="","",IFERROR(INDEX(02_INDICADORES!$D$2:$D$42,MATCH(E280,02_INDICADORES!$A$2:$A$42,0)),""))</f>
        <v/>
      </c>
      <c r="I280" s="9"/>
      <c r="J280" s="16" t="str">
        <f aca="false">IF(OR(I280="",H280=""),"",I280*H280)</f>
        <v/>
      </c>
      <c r="K280" s="9"/>
      <c r="L280" s="9"/>
      <c r="M280" s="9"/>
    </row>
    <row r="281" customFormat="false" ht="15" hidden="false" customHeight="false" outlineLevel="0" collapsed="false">
      <c r="A281" s="9"/>
      <c r="B281" s="9"/>
      <c r="C281" s="11"/>
      <c r="D281" s="9"/>
      <c r="E281" s="9"/>
      <c r="F281" s="22" t="str">
        <f aca="false">IF(E281="","",IFERROR(INDEX(02_INDICADORES!$B$2:$B$42,MATCH(E281,02_INDICADORES!$A$2:$A$42,0)),"ID?"))</f>
        <v/>
      </c>
      <c r="G281" s="21" t="str">
        <f aca="false">IF(E281="","",IFERROR(INDEX(02_INDICADORES!$C$2:$C$42,MATCH(E281,02_INDICADORES!$A$2:$A$42,0)),"ID?"))</f>
        <v/>
      </c>
      <c r="H281" s="22" t="str">
        <f aca="false">IF(E281="","",IFERROR(INDEX(02_INDICADORES!$D$2:$D$42,MATCH(E281,02_INDICADORES!$A$2:$A$42,0)),""))</f>
        <v/>
      </c>
      <c r="I281" s="9"/>
      <c r="J281" s="16" t="str">
        <f aca="false">IF(OR(I281="",H281=""),"",I281*H281)</f>
        <v/>
      </c>
      <c r="K281" s="9"/>
      <c r="L281" s="9"/>
      <c r="M281" s="9"/>
    </row>
    <row r="282" customFormat="false" ht="15" hidden="false" customHeight="false" outlineLevel="0" collapsed="false">
      <c r="A282" s="9"/>
      <c r="B282" s="9"/>
      <c r="C282" s="11"/>
      <c r="D282" s="9"/>
      <c r="E282" s="9"/>
      <c r="F282" s="22" t="str">
        <f aca="false">IF(E282="","",IFERROR(INDEX(02_INDICADORES!$B$2:$B$42,MATCH(E282,02_INDICADORES!$A$2:$A$42,0)),"ID?"))</f>
        <v/>
      </c>
      <c r="G282" s="21" t="str">
        <f aca="false">IF(E282="","",IFERROR(INDEX(02_INDICADORES!$C$2:$C$42,MATCH(E282,02_INDICADORES!$A$2:$A$42,0)),"ID?"))</f>
        <v/>
      </c>
      <c r="H282" s="22" t="str">
        <f aca="false">IF(E282="","",IFERROR(INDEX(02_INDICADORES!$D$2:$D$42,MATCH(E282,02_INDICADORES!$A$2:$A$42,0)),""))</f>
        <v/>
      </c>
      <c r="I282" s="9"/>
      <c r="J282" s="16" t="str">
        <f aca="false">IF(OR(I282="",H282=""),"",I282*H282)</f>
        <v/>
      </c>
      <c r="K282" s="9"/>
      <c r="L282" s="9"/>
      <c r="M282" s="9"/>
    </row>
    <row r="283" customFormat="false" ht="15" hidden="false" customHeight="false" outlineLevel="0" collapsed="false">
      <c r="A283" s="9"/>
      <c r="B283" s="9"/>
      <c r="C283" s="11"/>
      <c r="D283" s="9"/>
      <c r="E283" s="9"/>
      <c r="F283" s="22" t="str">
        <f aca="false">IF(E283="","",IFERROR(INDEX(02_INDICADORES!$B$2:$B$42,MATCH(E283,02_INDICADORES!$A$2:$A$42,0)),"ID?"))</f>
        <v/>
      </c>
      <c r="G283" s="21" t="str">
        <f aca="false">IF(E283="","",IFERROR(INDEX(02_INDICADORES!$C$2:$C$42,MATCH(E283,02_INDICADORES!$A$2:$A$42,0)),"ID?"))</f>
        <v/>
      </c>
      <c r="H283" s="22" t="str">
        <f aca="false">IF(E283="","",IFERROR(INDEX(02_INDICADORES!$D$2:$D$42,MATCH(E283,02_INDICADORES!$A$2:$A$42,0)),""))</f>
        <v/>
      </c>
      <c r="I283" s="9"/>
      <c r="J283" s="16" t="str">
        <f aca="false">IF(OR(I283="",H283=""),"",I283*H283)</f>
        <v/>
      </c>
      <c r="K283" s="9"/>
      <c r="L283" s="9"/>
      <c r="M283" s="9"/>
    </row>
    <row r="284" customFormat="false" ht="15" hidden="false" customHeight="false" outlineLevel="0" collapsed="false">
      <c r="A284" s="9"/>
      <c r="B284" s="9"/>
      <c r="C284" s="11"/>
      <c r="D284" s="9"/>
      <c r="E284" s="9"/>
      <c r="F284" s="22" t="str">
        <f aca="false">IF(E284="","",IFERROR(INDEX(02_INDICADORES!$B$2:$B$42,MATCH(E284,02_INDICADORES!$A$2:$A$42,0)),"ID?"))</f>
        <v/>
      </c>
      <c r="G284" s="21" t="str">
        <f aca="false">IF(E284="","",IFERROR(INDEX(02_INDICADORES!$C$2:$C$42,MATCH(E284,02_INDICADORES!$A$2:$A$42,0)),"ID?"))</f>
        <v/>
      </c>
      <c r="H284" s="22" t="str">
        <f aca="false">IF(E284="","",IFERROR(INDEX(02_INDICADORES!$D$2:$D$42,MATCH(E284,02_INDICADORES!$A$2:$A$42,0)),""))</f>
        <v/>
      </c>
      <c r="I284" s="9"/>
      <c r="J284" s="16" t="str">
        <f aca="false">IF(OR(I284="",H284=""),"",I284*H284)</f>
        <v/>
      </c>
      <c r="K284" s="9"/>
      <c r="L284" s="9"/>
      <c r="M284" s="9"/>
    </row>
    <row r="285" customFormat="false" ht="15" hidden="false" customHeight="false" outlineLevel="0" collapsed="false">
      <c r="A285" s="9"/>
      <c r="B285" s="9"/>
      <c r="C285" s="11"/>
      <c r="D285" s="9"/>
      <c r="E285" s="9"/>
      <c r="F285" s="22" t="str">
        <f aca="false">IF(E285="","",IFERROR(INDEX(02_INDICADORES!$B$2:$B$42,MATCH(E285,02_INDICADORES!$A$2:$A$42,0)),"ID?"))</f>
        <v/>
      </c>
      <c r="G285" s="21" t="str">
        <f aca="false">IF(E285="","",IFERROR(INDEX(02_INDICADORES!$C$2:$C$42,MATCH(E285,02_INDICADORES!$A$2:$A$42,0)),"ID?"))</f>
        <v/>
      </c>
      <c r="H285" s="22" t="str">
        <f aca="false">IF(E285="","",IFERROR(INDEX(02_INDICADORES!$D$2:$D$42,MATCH(E285,02_INDICADORES!$A$2:$A$42,0)),""))</f>
        <v/>
      </c>
      <c r="I285" s="9"/>
      <c r="J285" s="16" t="str">
        <f aca="false">IF(OR(I285="",H285=""),"",I285*H285)</f>
        <v/>
      </c>
      <c r="K285" s="9"/>
      <c r="L285" s="9"/>
      <c r="M285" s="9"/>
    </row>
    <row r="286" customFormat="false" ht="15" hidden="false" customHeight="false" outlineLevel="0" collapsed="false">
      <c r="A286" s="9"/>
      <c r="B286" s="9"/>
      <c r="C286" s="11"/>
      <c r="D286" s="9"/>
      <c r="E286" s="9"/>
      <c r="F286" s="22" t="str">
        <f aca="false">IF(E286="","",IFERROR(INDEX(02_INDICADORES!$B$2:$B$42,MATCH(E286,02_INDICADORES!$A$2:$A$42,0)),"ID?"))</f>
        <v/>
      </c>
      <c r="G286" s="21" t="str">
        <f aca="false">IF(E286="","",IFERROR(INDEX(02_INDICADORES!$C$2:$C$42,MATCH(E286,02_INDICADORES!$A$2:$A$42,0)),"ID?"))</f>
        <v/>
      </c>
      <c r="H286" s="22" t="str">
        <f aca="false">IF(E286="","",IFERROR(INDEX(02_INDICADORES!$D$2:$D$42,MATCH(E286,02_INDICADORES!$A$2:$A$42,0)),""))</f>
        <v/>
      </c>
      <c r="I286" s="9"/>
      <c r="J286" s="16" t="str">
        <f aca="false">IF(OR(I286="",H286=""),"",I286*H286)</f>
        <v/>
      </c>
      <c r="K286" s="9"/>
      <c r="L286" s="9"/>
      <c r="M286" s="9"/>
    </row>
    <row r="287" customFormat="false" ht="15" hidden="false" customHeight="false" outlineLevel="0" collapsed="false">
      <c r="A287" s="9"/>
      <c r="B287" s="9"/>
      <c r="C287" s="11"/>
      <c r="D287" s="9"/>
      <c r="E287" s="9"/>
      <c r="F287" s="22" t="str">
        <f aca="false">IF(E287="","",IFERROR(INDEX(02_INDICADORES!$B$2:$B$42,MATCH(E287,02_INDICADORES!$A$2:$A$42,0)),"ID?"))</f>
        <v/>
      </c>
      <c r="G287" s="21" t="str">
        <f aca="false">IF(E287="","",IFERROR(INDEX(02_INDICADORES!$C$2:$C$42,MATCH(E287,02_INDICADORES!$A$2:$A$42,0)),"ID?"))</f>
        <v/>
      </c>
      <c r="H287" s="22" t="str">
        <f aca="false">IF(E287="","",IFERROR(INDEX(02_INDICADORES!$D$2:$D$42,MATCH(E287,02_INDICADORES!$A$2:$A$42,0)),""))</f>
        <v/>
      </c>
      <c r="I287" s="9"/>
      <c r="J287" s="16" t="str">
        <f aca="false">IF(OR(I287="",H287=""),"",I287*H287)</f>
        <v/>
      </c>
      <c r="K287" s="9"/>
      <c r="L287" s="9"/>
      <c r="M287" s="9"/>
    </row>
    <row r="288" customFormat="false" ht="15" hidden="false" customHeight="false" outlineLevel="0" collapsed="false">
      <c r="A288" s="9"/>
      <c r="B288" s="9"/>
      <c r="C288" s="11"/>
      <c r="D288" s="9"/>
      <c r="E288" s="9"/>
      <c r="F288" s="22" t="str">
        <f aca="false">IF(E288="","",IFERROR(INDEX(02_INDICADORES!$B$2:$B$42,MATCH(E288,02_INDICADORES!$A$2:$A$42,0)),"ID?"))</f>
        <v/>
      </c>
      <c r="G288" s="21" t="str">
        <f aca="false">IF(E288="","",IFERROR(INDEX(02_INDICADORES!$C$2:$C$42,MATCH(E288,02_INDICADORES!$A$2:$A$42,0)),"ID?"))</f>
        <v/>
      </c>
      <c r="H288" s="22" t="str">
        <f aca="false">IF(E288="","",IFERROR(INDEX(02_INDICADORES!$D$2:$D$42,MATCH(E288,02_INDICADORES!$A$2:$A$42,0)),""))</f>
        <v/>
      </c>
      <c r="I288" s="9"/>
      <c r="J288" s="16" t="str">
        <f aca="false">IF(OR(I288="",H288=""),"",I288*H288)</f>
        <v/>
      </c>
      <c r="K288" s="9"/>
      <c r="L288" s="9"/>
      <c r="M288" s="9"/>
    </row>
    <row r="289" customFormat="false" ht="15" hidden="false" customHeight="false" outlineLevel="0" collapsed="false">
      <c r="A289" s="9"/>
      <c r="B289" s="9"/>
      <c r="C289" s="11"/>
      <c r="D289" s="9"/>
      <c r="E289" s="9"/>
      <c r="F289" s="22" t="str">
        <f aca="false">IF(E289="","",IFERROR(INDEX(02_INDICADORES!$B$2:$B$42,MATCH(E289,02_INDICADORES!$A$2:$A$42,0)),"ID?"))</f>
        <v/>
      </c>
      <c r="G289" s="21" t="str">
        <f aca="false">IF(E289="","",IFERROR(INDEX(02_INDICADORES!$C$2:$C$42,MATCH(E289,02_INDICADORES!$A$2:$A$42,0)),"ID?"))</f>
        <v/>
      </c>
      <c r="H289" s="22" t="str">
        <f aca="false">IF(E289="","",IFERROR(INDEX(02_INDICADORES!$D$2:$D$42,MATCH(E289,02_INDICADORES!$A$2:$A$42,0)),""))</f>
        <v/>
      </c>
      <c r="I289" s="9"/>
      <c r="J289" s="16" t="str">
        <f aca="false">IF(OR(I289="",H289=""),"",I289*H289)</f>
        <v/>
      </c>
      <c r="K289" s="9"/>
      <c r="L289" s="9"/>
      <c r="M289" s="9"/>
    </row>
    <row r="290" customFormat="false" ht="15" hidden="false" customHeight="false" outlineLevel="0" collapsed="false">
      <c r="A290" s="9"/>
      <c r="B290" s="9"/>
      <c r="C290" s="11"/>
      <c r="D290" s="9"/>
      <c r="E290" s="9"/>
      <c r="F290" s="22" t="str">
        <f aca="false">IF(E290="","",IFERROR(INDEX(02_INDICADORES!$B$2:$B$42,MATCH(E290,02_INDICADORES!$A$2:$A$42,0)),"ID?"))</f>
        <v/>
      </c>
      <c r="G290" s="21" t="str">
        <f aca="false">IF(E290="","",IFERROR(INDEX(02_INDICADORES!$C$2:$C$42,MATCH(E290,02_INDICADORES!$A$2:$A$42,0)),"ID?"))</f>
        <v/>
      </c>
      <c r="H290" s="22" t="str">
        <f aca="false">IF(E290="","",IFERROR(INDEX(02_INDICADORES!$D$2:$D$42,MATCH(E290,02_INDICADORES!$A$2:$A$42,0)),""))</f>
        <v/>
      </c>
      <c r="I290" s="9"/>
      <c r="J290" s="16" t="str">
        <f aca="false">IF(OR(I290="",H290=""),"",I290*H290)</f>
        <v/>
      </c>
      <c r="K290" s="9"/>
      <c r="L290" s="9"/>
      <c r="M290" s="9"/>
    </row>
    <row r="291" customFormat="false" ht="15" hidden="false" customHeight="false" outlineLevel="0" collapsed="false">
      <c r="A291" s="9"/>
      <c r="B291" s="9"/>
      <c r="C291" s="11"/>
      <c r="D291" s="9"/>
      <c r="E291" s="9"/>
      <c r="F291" s="22" t="str">
        <f aca="false">IF(E291="","",IFERROR(INDEX(02_INDICADORES!$B$2:$B$42,MATCH(E291,02_INDICADORES!$A$2:$A$42,0)),"ID?"))</f>
        <v/>
      </c>
      <c r="G291" s="21" t="str">
        <f aca="false">IF(E291="","",IFERROR(INDEX(02_INDICADORES!$C$2:$C$42,MATCH(E291,02_INDICADORES!$A$2:$A$42,0)),"ID?"))</f>
        <v/>
      </c>
      <c r="H291" s="22" t="str">
        <f aca="false">IF(E291="","",IFERROR(INDEX(02_INDICADORES!$D$2:$D$42,MATCH(E291,02_INDICADORES!$A$2:$A$42,0)),""))</f>
        <v/>
      </c>
      <c r="I291" s="9"/>
      <c r="J291" s="16" t="str">
        <f aca="false">IF(OR(I291="",H291=""),"",I291*H291)</f>
        <v/>
      </c>
      <c r="K291" s="9"/>
      <c r="L291" s="9"/>
      <c r="M291" s="9"/>
    </row>
    <row r="292" customFormat="false" ht="15" hidden="false" customHeight="false" outlineLevel="0" collapsed="false">
      <c r="A292" s="9"/>
      <c r="B292" s="9"/>
      <c r="C292" s="11"/>
      <c r="D292" s="9"/>
      <c r="E292" s="9"/>
      <c r="F292" s="22" t="str">
        <f aca="false">IF(E292="","",IFERROR(INDEX(02_INDICADORES!$B$2:$B$42,MATCH(E292,02_INDICADORES!$A$2:$A$42,0)),"ID?"))</f>
        <v/>
      </c>
      <c r="G292" s="21" t="str">
        <f aca="false">IF(E292="","",IFERROR(INDEX(02_INDICADORES!$C$2:$C$42,MATCH(E292,02_INDICADORES!$A$2:$A$42,0)),"ID?"))</f>
        <v/>
      </c>
      <c r="H292" s="22" t="str">
        <f aca="false">IF(E292="","",IFERROR(INDEX(02_INDICADORES!$D$2:$D$42,MATCH(E292,02_INDICADORES!$A$2:$A$42,0)),""))</f>
        <v/>
      </c>
      <c r="I292" s="9"/>
      <c r="J292" s="16" t="str">
        <f aca="false">IF(OR(I292="",H292=""),"",I292*H292)</f>
        <v/>
      </c>
      <c r="K292" s="9"/>
      <c r="L292" s="9"/>
      <c r="M292" s="9"/>
    </row>
    <row r="293" customFormat="false" ht="15" hidden="false" customHeight="false" outlineLevel="0" collapsed="false">
      <c r="A293" s="9"/>
      <c r="B293" s="9"/>
      <c r="C293" s="11"/>
      <c r="D293" s="9"/>
      <c r="E293" s="9"/>
      <c r="F293" s="22" t="str">
        <f aca="false">IF(E293="","",IFERROR(INDEX(02_INDICADORES!$B$2:$B$42,MATCH(E293,02_INDICADORES!$A$2:$A$42,0)),"ID?"))</f>
        <v/>
      </c>
      <c r="G293" s="21" t="str">
        <f aca="false">IF(E293="","",IFERROR(INDEX(02_INDICADORES!$C$2:$C$42,MATCH(E293,02_INDICADORES!$A$2:$A$42,0)),"ID?"))</f>
        <v/>
      </c>
      <c r="H293" s="22" t="str">
        <f aca="false">IF(E293="","",IFERROR(INDEX(02_INDICADORES!$D$2:$D$42,MATCH(E293,02_INDICADORES!$A$2:$A$42,0)),""))</f>
        <v/>
      </c>
      <c r="I293" s="9"/>
      <c r="J293" s="16" t="str">
        <f aca="false">IF(OR(I293="",H293=""),"",I293*H293)</f>
        <v/>
      </c>
      <c r="K293" s="9"/>
      <c r="L293" s="9"/>
      <c r="M293" s="9"/>
    </row>
    <row r="294" customFormat="false" ht="15" hidden="false" customHeight="false" outlineLevel="0" collapsed="false">
      <c r="A294" s="9"/>
      <c r="B294" s="9"/>
      <c r="C294" s="11"/>
      <c r="D294" s="9"/>
      <c r="E294" s="9"/>
      <c r="F294" s="22" t="str">
        <f aca="false">IF(E294="","",IFERROR(INDEX(02_INDICADORES!$B$2:$B$42,MATCH(E294,02_INDICADORES!$A$2:$A$42,0)),"ID?"))</f>
        <v/>
      </c>
      <c r="G294" s="21" t="str">
        <f aca="false">IF(E294="","",IFERROR(INDEX(02_INDICADORES!$C$2:$C$42,MATCH(E294,02_INDICADORES!$A$2:$A$42,0)),"ID?"))</f>
        <v/>
      </c>
      <c r="H294" s="22" t="str">
        <f aca="false">IF(E294="","",IFERROR(INDEX(02_INDICADORES!$D$2:$D$42,MATCH(E294,02_INDICADORES!$A$2:$A$42,0)),""))</f>
        <v/>
      </c>
      <c r="I294" s="9"/>
      <c r="J294" s="16" t="str">
        <f aca="false">IF(OR(I294="",H294=""),"",I294*H294)</f>
        <v/>
      </c>
      <c r="K294" s="9"/>
      <c r="L294" s="9"/>
      <c r="M294" s="9"/>
    </row>
    <row r="295" customFormat="false" ht="15" hidden="false" customHeight="false" outlineLevel="0" collapsed="false">
      <c r="A295" s="9"/>
      <c r="B295" s="9"/>
      <c r="C295" s="11"/>
      <c r="D295" s="9"/>
      <c r="E295" s="9"/>
      <c r="F295" s="22" t="str">
        <f aca="false">IF(E295="","",IFERROR(INDEX(02_INDICADORES!$B$2:$B$42,MATCH(E295,02_INDICADORES!$A$2:$A$42,0)),"ID?"))</f>
        <v/>
      </c>
      <c r="G295" s="21" t="str">
        <f aca="false">IF(E295="","",IFERROR(INDEX(02_INDICADORES!$C$2:$C$42,MATCH(E295,02_INDICADORES!$A$2:$A$42,0)),"ID?"))</f>
        <v/>
      </c>
      <c r="H295" s="22" t="str">
        <f aca="false">IF(E295="","",IFERROR(INDEX(02_INDICADORES!$D$2:$D$42,MATCH(E295,02_INDICADORES!$A$2:$A$42,0)),""))</f>
        <v/>
      </c>
      <c r="I295" s="9"/>
      <c r="J295" s="16" t="str">
        <f aca="false">IF(OR(I295="",H295=""),"",I295*H295)</f>
        <v/>
      </c>
      <c r="K295" s="9"/>
      <c r="L295" s="9"/>
      <c r="M295" s="9"/>
    </row>
    <row r="296" customFormat="false" ht="15" hidden="false" customHeight="false" outlineLevel="0" collapsed="false">
      <c r="A296" s="9"/>
      <c r="B296" s="9"/>
      <c r="C296" s="11"/>
      <c r="D296" s="9"/>
      <c r="E296" s="9"/>
      <c r="F296" s="22" t="str">
        <f aca="false">IF(E296="","",IFERROR(INDEX(02_INDICADORES!$B$2:$B$42,MATCH(E296,02_INDICADORES!$A$2:$A$42,0)),"ID?"))</f>
        <v/>
      </c>
      <c r="G296" s="21" t="str">
        <f aca="false">IF(E296="","",IFERROR(INDEX(02_INDICADORES!$C$2:$C$42,MATCH(E296,02_INDICADORES!$A$2:$A$42,0)),"ID?"))</f>
        <v/>
      </c>
      <c r="H296" s="22" t="str">
        <f aca="false">IF(E296="","",IFERROR(INDEX(02_INDICADORES!$D$2:$D$42,MATCH(E296,02_INDICADORES!$A$2:$A$42,0)),""))</f>
        <v/>
      </c>
      <c r="I296" s="9"/>
      <c r="J296" s="16" t="str">
        <f aca="false">IF(OR(I296="",H296=""),"",I296*H296)</f>
        <v/>
      </c>
      <c r="K296" s="9"/>
      <c r="L296" s="9"/>
      <c r="M296" s="9"/>
    </row>
    <row r="297" customFormat="false" ht="15" hidden="false" customHeight="false" outlineLevel="0" collapsed="false">
      <c r="A297" s="9"/>
      <c r="B297" s="9"/>
      <c r="C297" s="11"/>
      <c r="D297" s="9"/>
      <c r="E297" s="9"/>
      <c r="F297" s="22" t="str">
        <f aca="false">IF(E297="","",IFERROR(INDEX(02_INDICADORES!$B$2:$B$42,MATCH(E297,02_INDICADORES!$A$2:$A$42,0)),"ID?"))</f>
        <v/>
      </c>
      <c r="G297" s="21" t="str">
        <f aca="false">IF(E297="","",IFERROR(INDEX(02_INDICADORES!$C$2:$C$42,MATCH(E297,02_INDICADORES!$A$2:$A$42,0)),"ID?"))</f>
        <v/>
      </c>
      <c r="H297" s="22" t="str">
        <f aca="false">IF(E297="","",IFERROR(INDEX(02_INDICADORES!$D$2:$D$42,MATCH(E297,02_INDICADORES!$A$2:$A$42,0)),""))</f>
        <v/>
      </c>
      <c r="I297" s="9"/>
      <c r="J297" s="16" t="str">
        <f aca="false">IF(OR(I297="",H297=""),"",I297*H297)</f>
        <v/>
      </c>
      <c r="K297" s="9"/>
      <c r="L297" s="9"/>
      <c r="M297" s="9"/>
    </row>
    <row r="298" customFormat="false" ht="15" hidden="false" customHeight="false" outlineLevel="0" collapsed="false">
      <c r="A298" s="9"/>
      <c r="B298" s="9"/>
      <c r="C298" s="11"/>
      <c r="D298" s="9"/>
      <c r="E298" s="9"/>
      <c r="F298" s="22" t="str">
        <f aca="false">IF(E298="","",IFERROR(INDEX(02_INDICADORES!$B$2:$B$42,MATCH(E298,02_INDICADORES!$A$2:$A$42,0)),"ID?"))</f>
        <v/>
      </c>
      <c r="G298" s="21" t="str">
        <f aca="false">IF(E298="","",IFERROR(INDEX(02_INDICADORES!$C$2:$C$42,MATCH(E298,02_INDICADORES!$A$2:$A$42,0)),"ID?"))</f>
        <v/>
      </c>
      <c r="H298" s="22" t="str">
        <f aca="false">IF(E298="","",IFERROR(INDEX(02_INDICADORES!$D$2:$D$42,MATCH(E298,02_INDICADORES!$A$2:$A$42,0)),""))</f>
        <v/>
      </c>
      <c r="I298" s="9"/>
      <c r="J298" s="16" t="str">
        <f aca="false">IF(OR(I298="",H298=""),"",I298*H298)</f>
        <v/>
      </c>
      <c r="K298" s="9"/>
      <c r="L298" s="9"/>
      <c r="M298" s="9"/>
    </row>
    <row r="299" customFormat="false" ht="15" hidden="false" customHeight="false" outlineLevel="0" collapsed="false">
      <c r="A299" s="9"/>
      <c r="B299" s="9"/>
      <c r="C299" s="11"/>
      <c r="D299" s="9"/>
      <c r="E299" s="9"/>
      <c r="F299" s="22" t="str">
        <f aca="false">IF(E299="","",IFERROR(INDEX(02_INDICADORES!$B$2:$B$42,MATCH(E299,02_INDICADORES!$A$2:$A$42,0)),"ID?"))</f>
        <v/>
      </c>
      <c r="G299" s="21" t="str">
        <f aca="false">IF(E299="","",IFERROR(INDEX(02_INDICADORES!$C$2:$C$42,MATCH(E299,02_INDICADORES!$A$2:$A$42,0)),"ID?"))</f>
        <v/>
      </c>
      <c r="H299" s="22" t="str">
        <f aca="false">IF(E299="","",IFERROR(INDEX(02_INDICADORES!$D$2:$D$42,MATCH(E299,02_INDICADORES!$A$2:$A$42,0)),""))</f>
        <v/>
      </c>
      <c r="I299" s="9"/>
      <c r="J299" s="16" t="str">
        <f aca="false">IF(OR(I299="",H299=""),"",I299*H299)</f>
        <v/>
      </c>
      <c r="K299" s="9"/>
      <c r="L299" s="9"/>
      <c r="M299" s="9"/>
    </row>
    <row r="300" customFormat="false" ht="15" hidden="false" customHeight="false" outlineLevel="0" collapsed="false">
      <c r="A300" s="9"/>
      <c r="B300" s="9"/>
      <c r="C300" s="11"/>
      <c r="D300" s="9"/>
      <c r="E300" s="9"/>
      <c r="F300" s="22" t="str">
        <f aca="false">IF(E300="","",IFERROR(INDEX(02_INDICADORES!$B$2:$B$42,MATCH(E300,02_INDICADORES!$A$2:$A$42,0)),"ID?"))</f>
        <v/>
      </c>
      <c r="G300" s="21" t="str">
        <f aca="false">IF(E300="","",IFERROR(INDEX(02_INDICADORES!$C$2:$C$42,MATCH(E300,02_INDICADORES!$A$2:$A$42,0)),"ID?"))</f>
        <v/>
      </c>
      <c r="H300" s="22" t="str">
        <f aca="false">IF(E300="","",IFERROR(INDEX(02_INDICADORES!$D$2:$D$42,MATCH(E300,02_INDICADORES!$A$2:$A$42,0)),""))</f>
        <v/>
      </c>
      <c r="I300" s="9"/>
      <c r="J300" s="16" t="str">
        <f aca="false">IF(OR(I300="",H300=""),"",I300*H300)</f>
        <v/>
      </c>
      <c r="K300" s="9"/>
      <c r="L300" s="9"/>
      <c r="M300" s="9"/>
    </row>
    <row r="301" customFormat="false" ht="15" hidden="false" customHeight="false" outlineLevel="0" collapsed="false">
      <c r="A301" s="9"/>
      <c r="B301" s="9"/>
      <c r="C301" s="11"/>
      <c r="D301" s="9"/>
      <c r="E301" s="9"/>
      <c r="F301" s="22" t="str">
        <f aca="false">IF(E301="","",IFERROR(INDEX(02_INDICADORES!$B$2:$B$42,MATCH(E301,02_INDICADORES!$A$2:$A$42,0)),"ID?"))</f>
        <v/>
      </c>
      <c r="G301" s="21" t="str">
        <f aca="false">IF(E301="","",IFERROR(INDEX(02_INDICADORES!$C$2:$C$42,MATCH(E301,02_INDICADORES!$A$2:$A$42,0)),"ID?"))</f>
        <v/>
      </c>
      <c r="H301" s="22" t="str">
        <f aca="false">IF(E301="","",IFERROR(INDEX(02_INDICADORES!$D$2:$D$42,MATCH(E301,02_INDICADORES!$A$2:$A$42,0)),""))</f>
        <v/>
      </c>
      <c r="I301" s="9"/>
      <c r="J301" s="16" t="str">
        <f aca="false">IF(OR(I301="",H301=""),"",I301*H301)</f>
        <v/>
      </c>
      <c r="K301" s="9"/>
      <c r="L301" s="9"/>
      <c r="M301" s="9"/>
    </row>
    <row r="302" customFormat="false" ht="15" hidden="false" customHeight="false" outlineLevel="0" collapsed="false">
      <c r="A302" s="9"/>
      <c r="B302" s="9"/>
      <c r="C302" s="11"/>
      <c r="D302" s="9"/>
      <c r="E302" s="9"/>
      <c r="F302" s="22" t="str">
        <f aca="false">IF(E302="","",IFERROR(INDEX(02_INDICADORES!$B$2:$B$42,MATCH(E302,02_INDICADORES!$A$2:$A$42,0)),"ID?"))</f>
        <v/>
      </c>
      <c r="G302" s="21" t="str">
        <f aca="false">IF(E302="","",IFERROR(INDEX(02_INDICADORES!$C$2:$C$42,MATCH(E302,02_INDICADORES!$A$2:$A$42,0)),"ID?"))</f>
        <v/>
      </c>
      <c r="H302" s="22" t="str">
        <f aca="false">IF(E302="","",IFERROR(INDEX(02_INDICADORES!$D$2:$D$42,MATCH(E302,02_INDICADORES!$A$2:$A$42,0)),""))</f>
        <v/>
      </c>
      <c r="I302" s="9"/>
      <c r="J302" s="16" t="str">
        <f aca="false">IF(OR(I302="",H302=""),"",I302*H302)</f>
        <v/>
      </c>
      <c r="K302" s="9"/>
      <c r="L302" s="9"/>
      <c r="M302" s="9"/>
    </row>
    <row r="303" customFormat="false" ht="15" hidden="false" customHeight="false" outlineLevel="0" collapsed="false">
      <c r="A303" s="9"/>
      <c r="B303" s="9"/>
      <c r="C303" s="11"/>
      <c r="D303" s="9"/>
      <c r="E303" s="9"/>
      <c r="F303" s="22" t="str">
        <f aca="false">IF(E303="","",IFERROR(INDEX(02_INDICADORES!$B$2:$B$42,MATCH(E303,02_INDICADORES!$A$2:$A$42,0)),"ID?"))</f>
        <v/>
      </c>
      <c r="G303" s="21" t="str">
        <f aca="false">IF(E303="","",IFERROR(INDEX(02_INDICADORES!$C$2:$C$42,MATCH(E303,02_INDICADORES!$A$2:$A$42,0)),"ID?"))</f>
        <v/>
      </c>
      <c r="H303" s="22" t="str">
        <f aca="false">IF(E303="","",IFERROR(INDEX(02_INDICADORES!$D$2:$D$42,MATCH(E303,02_INDICADORES!$A$2:$A$42,0)),""))</f>
        <v/>
      </c>
      <c r="I303" s="9"/>
      <c r="J303" s="16" t="str">
        <f aca="false">IF(OR(I303="",H303=""),"",I303*H303)</f>
        <v/>
      </c>
      <c r="K303" s="9"/>
      <c r="L303" s="9"/>
      <c r="M303" s="9"/>
    </row>
    <row r="304" customFormat="false" ht="15" hidden="false" customHeight="false" outlineLevel="0" collapsed="false">
      <c r="A304" s="9"/>
      <c r="B304" s="9"/>
      <c r="C304" s="11"/>
      <c r="D304" s="9"/>
      <c r="E304" s="9"/>
      <c r="F304" s="22" t="str">
        <f aca="false">IF(E304="","",IFERROR(INDEX(02_INDICADORES!$B$2:$B$42,MATCH(E304,02_INDICADORES!$A$2:$A$42,0)),"ID?"))</f>
        <v/>
      </c>
      <c r="G304" s="21" t="str">
        <f aca="false">IF(E304="","",IFERROR(INDEX(02_INDICADORES!$C$2:$C$42,MATCH(E304,02_INDICADORES!$A$2:$A$42,0)),"ID?"))</f>
        <v/>
      </c>
      <c r="H304" s="22" t="str">
        <f aca="false">IF(E304="","",IFERROR(INDEX(02_INDICADORES!$D$2:$D$42,MATCH(E304,02_INDICADORES!$A$2:$A$42,0)),""))</f>
        <v/>
      </c>
      <c r="I304" s="9"/>
      <c r="J304" s="16" t="str">
        <f aca="false">IF(OR(I304="",H304=""),"",I304*H304)</f>
        <v/>
      </c>
      <c r="K304" s="9"/>
      <c r="L304" s="9"/>
      <c r="M304" s="9"/>
    </row>
    <row r="305" customFormat="false" ht="15" hidden="false" customHeight="false" outlineLevel="0" collapsed="false">
      <c r="A305" s="9"/>
      <c r="B305" s="9"/>
      <c r="C305" s="11"/>
      <c r="D305" s="9"/>
      <c r="E305" s="9"/>
      <c r="F305" s="22" t="str">
        <f aca="false">IF(E305="","",IFERROR(INDEX(02_INDICADORES!$B$2:$B$42,MATCH(E305,02_INDICADORES!$A$2:$A$42,0)),"ID?"))</f>
        <v/>
      </c>
      <c r="G305" s="21" t="str">
        <f aca="false">IF(E305="","",IFERROR(INDEX(02_INDICADORES!$C$2:$C$42,MATCH(E305,02_INDICADORES!$A$2:$A$42,0)),"ID?"))</f>
        <v/>
      </c>
      <c r="H305" s="22" t="str">
        <f aca="false">IF(E305="","",IFERROR(INDEX(02_INDICADORES!$D$2:$D$42,MATCH(E305,02_INDICADORES!$A$2:$A$42,0)),""))</f>
        <v/>
      </c>
      <c r="I305" s="9"/>
      <c r="J305" s="16" t="str">
        <f aca="false">IF(OR(I305="",H305=""),"",I305*H305)</f>
        <v/>
      </c>
      <c r="K305" s="9"/>
      <c r="L305" s="9"/>
      <c r="M305" s="9"/>
    </row>
    <row r="306" customFormat="false" ht="15" hidden="false" customHeight="false" outlineLevel="0" collapsed="false">
      <c r="A306" s="9"/>
      <c r="B306" s="9"/>
      <c r="C306" s="11"/>
      <c r="D306" s="9"/>
      <c r="E306" s="9"/>
      <c r="F306" s="22" t="str">
        <f aca="false">IF(E306="","",IFERROR(INDEX(02_INDICADORES!$B$2:$B$42,MATCH(E306,02_INDICADORES!$A$2:$A$42,0)),"ID?"))</f>
        <v/>
      </c>
      <c r="G306" s="21" t="str">
        <f aca="false">IF(E306="","",IFERROR(INDEX(02_INDICADORES!$C$2:$C$42,MATCH(E306,02_INDICADORES!$A$2:$A$42,0)),"ID?"))</f>
        <v/>
      </c>
      <c r="H306" s="22" t="str">
        <f aca="false">IF(E306="","",IFERROR(INDEX(02_INDICADORES!$D$2:$D$42,MATCH(E306,02_INDICADORES!$A$2:$A$42,0)),""))</f>
        <v/>
      </c>
      <c r="I306" s="9"/>
      <c r="J306" s="16" t="str">
        <f aca="false">IF(OR(I306="",H306=""),"",I306*H306)</f>
        <v/>
      </c>
      <c r="K306" s="9"/>
      <c r="L306" s="9"/>
      <c r="M306" s="9"/>
    </row>
    <row r="307" customFormat="false" ht="15" hidden="false" customHeight="false" outlineLevel="0" collapsed="false">
      <c r="A307" s="9"/>
      <c r="B307" s="9"/>
      <c r="C307" s="11"/>
      <c r="D307" s="9"/>
      <c r="E307" s="9"/>
      <c r="F307" s="22" t="str">
        <f aca="false">IF(E307="","",IFERROR(INDEX(02_INDICADORES!$B$2:$B$42,MATCH(E307,02_INDICADORES!$A$2:$A$42,0)),"ID?"))</f>
        <v/>
      </c>
      <c r="G307" s="21" t="str">
        <f aca="false">IF(E307="","",IFERROR(INDEX(02_INDICADORES!$C$2:$C$42,MATCH(E307,02_INDICADORES!$A$2:$A$42,0)),"ID?"))</f>
        <v/>
      </c>
      <c r="H307" s="22" t="str">
        <f aca="false">IF(E307="","",IFERROR(INDEX(02_INDICADORES!$D$2:$D$42,MATCH(E307,02_INDICADORES!$A$2:$A$42,0)),""))</f>
        <v/>
      </c>
      <c r="I307" s="9"/>
      <c r="J307" s="16" t="str">
        <f aca="false">IF(OR(I307="",H307=""),"",I307*H307)</f>
        <v/>
      </c>
      <c r="K307" s="9"/>
      <c r="L307" s="9"/>
      <c r="M307" s="9"/>
    </row>
    <row r="308" customFormat="false" ht="15" hidden="false" customHeight="false" outlineLevel="0" collapsed="false">
      <c r="A308" s="9"/>
      <c r="B308" s="9"/>
      <c r="C308" s="11"/>
      <c r="D308" s="9"/>
      <c r="E308" s="9"/>
      <c r="F308" s="22" t="str">
        <f aca="false">IF(E308="","",IFERROR(INDEX(02_INDICADORES!$B$2:$B$42,MATCH(E308,02_INDICADORES!$A$2:$A$42,0)),"ID?"))</f>
        <v/>
      </c>
      <c r="G308" s="21" t="str">
        <f aca="false">IF(E308="","",IFERROR(INDEX(02_INDICADORES!$C$2:$C$42,MATCH(E308,02_INDICADORES!$A$2:$A$42,0)),"ID?"))</f>
        <v/>
      </c>
      <c r="H308" s="22" t="str">
        <f aca="false">IF(E308="","",IFERROR(INDEX(02_INDICADORES!$D$2:$D$42,MATCH(E308,02_INDICADORES!$A$2:$A$42,0)),""))</f>
        <v/>
      </c>
      <c r="I308" s="9"/>
      <c r="J308" s="16" t="str">
        <f aca="false">IF(OR(I308="",H308=""),"",I308*H308)</f>
        <v/>
      </c>
      <c r="K308" s="9"/>
      <c r="L308" s="9"/>
      <c r="M308" s="9"/>
    </row>
    <row r="309" customFormat="false" ht="15" hidden="false" customHeight="false" outlineLevel="0" collapsed="false">
      <c r="A309" s="9"/>
      <c r="B309" s="9"/>
      <c r="C309" s="11"/>
      <c r="D309" s="9"/>
      <c r="E309" s="9"/>
      <c r="F309" s="22" t="str">
        <f aca="false">IF(E309="","",IFERROR(INDEX(02_INDICADORES!$B$2:$B$42,MATCH(E309,02_INDICADORES!$A$2:$A$42,0)),"ID?"))</f>
        <v/>
      </c>
      <c r="G309" s="21" t="str">
        <f aca="false">IF(E309="","",IFERROR(INDEX(02_INDICADORES!$C$2:$C$42,MATCH(E309,02_INDICADORES!$A$2:$A$42,0)),"ID?"))</f>
        <v/>
      </c>
      <c r="H309" s="22" t="str">
        <f aca="false">IF(E309="","",IFERROR(INDEX(02_INDICADORES!$D$2:$D$42,MATCH(E309,02_INDICADORES!$A$2:$A$42,0)),""))</f>
        <v/>
      </c>
      <c r="I309" s="9"/>
      <c r="J309" s="16" t="str">
        <f aca="false">IF(OR(I309="",H309=""),"",I309*H309)</f>
        <v/>
      </c>
      <c r="K309" s="9"/>
      <c r="L309" s="9"/>
      <c r="M309" s="9"/>
    </row>
    <row r="310" customFormat="false" ht="15" hidden="false" customHeight="false" outlineLevel="0" collapsed="false">
      <c r="A310" s="9"/>
      <c r="B310" s="9"/>
      <c r="C310" s="11"/>
      <c r="D310" s="9"/>
      <c r="E310" s="9"/>
      <c r="F310" s="22" t="str">
        <f aca="false">IF(E310="","",IFERROR(INDEX(02_INDICADORES!$B$2:$B$42,MATCH(E310,02_INDICADORES!$A$2:$A$42,0)),"ID?"))</f>
        <v/>
      </c>
      <c r="G310" s="21" t="str">
        <f aca="false">IF(E310="","",IFERROR(INDEX(02_INDICADORES!$C$2:$C$42,MATCH(E310,02_INDICADORES!$A$2:$A$42,0)),"ID?"))</f>
        <v/>
      </c>
      <c r="H310" s="22" t="str">
        <f aca="false">IF(E310="","",IFERROR(INDEX(02_INDICADORES!$D$2:$D$42,MATCH(E310,02_INDICADORES!$A$2:$A$42,0)),""))</f>
        <v/>
      </c>
      <c r="I310" s="9"/>
      <c r="J310" s="16" t="str">
        <f aca="false">IF(OR(I310="",H310=""),"",I310*H310)</f>
        <v/>
      </c>
      <c r="K310" s="9"/>
      <c r="L310" s="9"/>
      <c r="M310" s="9"/>
    </row>
    <row r="311" customFormat="false" ht="15" hidden="false" customHeight="false" outlineLevel="0" collapsed="false">
      <c r="A311" s="9"/>
      <c r="B311" s="9"/>
      <c r="C311" s="11"/>
      <c r="D311" s="9"/>
      <c r="E311" s="9"/>
      <c r="F311" s="22" t="str">
        <f aca="false">IF(E311="","",IFERROR(INDEX(02_INDICADORES!$B$2:$B$42,MATCH(E311,02_INDICADORES!$A$2:$A$42,0)),"ID?"))</f>
        <v/>
      </c>
      <c r="G311" s="21" t="str">
        <f aca="false">IF(E311="","",IFERROR(INDEX(02_INDICADORES!$C$2:$C$42,MATCH(E311,02_INDICADORES!$A$2:$A$42,0)),"ID?"))</f>
        <v/>
      </c>
      <c r="H311" s="22" t="str">
        <f aca="false">IF(E311="","",IFERROR(INDEX(02_INDICADORES!$D$2:$D$42,MATCH(E311,02_INDICADORES!$A$2:$A$42,0)),""))</f>
        <v/>
      </c>
      <c r="I311" s="9"/>
      <c r="J311" s="16" t="str">
        <f aca="false">IF(OR(I311="",H311=""),"",I311*H311)</f>
        <v/>
      </c>
      <c r="K311" s="9"/>
      <c r="L311" s="9"/>
      <c r="M311" s="9"/>
    </row>
    <row r="312" customFormat="false" ht="15" hidden="false" customHeight="false" outlineLevel="0" collapsed="false">
      <c r="A312" s="9"/>
      <c r="B312" s="9"/>
      <c r="C312" s="11"/>
      <c r="D312" s="9"/>
      <c r="E312" s="9"/>
      <c r="F312" s="22" t="str">
        <f aca="false">IF(E312="","",IFERROR(INDEX(02_INDICADORES!$B$2:$B$42,MATCH(E312,02_INDICADORES!$A$2:$A$42,0)),"ID?"))</f>
        <v/>
      </c>
      <c r="G312" s="21" t="str">
        <f aca="false">IF(E312="","",IFERROR(INDEX(02_INDICADORES!$C$2:$C$42,MATCH(E312,02_INDICADORES!$A$2:$A$42,0)),"ID?"))</f>
        <v/>
      </c>
      <c r="H312" s="22" t="str">
        <f aca="false">IF(E312="","",IFERROR(INDEX(02_INDICADORES!$D$2:$D$42,MATCH(E312,02_INDICADORES!$A$2:$A$42,0)),""))</f>
        <v/>
      </c>
      <c r="I312" s="9"/>
      <c r="J312" s="16" t="str">
        <f aca="false">IF(OR(I312="",H312=""),"",I312*H312)</f>
        <v/>
      </c>
      <c r="K312" s="9"/>
      <c r="L312" s="9"/>
      <c r="M312" s="9"/>
    </row>
    <row r="313" customFormat="false" ht="15" hidden="false" customHeight="false" outlineLevel="0" collapsed="false">
      <c r="A313" s="9"/>
      <c r="B313" s="9"/>
      <c r="C313" s="11"/>
      <c r="D313" s="9"/>
      <c r="E313" s="9"/>
      <c r="F313" s="22" t="str">
        <f aca="false">IF(E313="","",IFERROR(INDEX(02_INDICADORES!$B$2:$B$42,MATCH(E313,02_INDICADORES!$A$2:$A$42,0)),"ID?"))</f>
        <v/>
      </c>
      <c r="G313" s="21" t="str">
        <f aca="false">IF(E313="","",IFERROR(INDEX(02_INDICADORES!$C$2:$C$42,MATCH(E313,02_INDICADORES!$A$2:$A$42,0)),"ID?"))</f>
        <v/>
      </c>
      <c r="H313" s="22" t="str">
        <f aca="false">IF(E313="","",IFERROR(INDEX(02_INDICADORES!$D$2:$D$42,MATCH(E313,02_INDICADORES!$A$2:$A$42,0)),""))</f>
        <v/>
      </c>
      <c r="I313" s="9"/>
      <c r="J313" s="16" t="str">
        <f aca="false">IF(OR(I313="",H313=""),"",I313*H313)</f>
        <v/>
      </c>
      <c r="K313" s="9"/>
      <c r="L313" s="9"/>
      <c r="M313" s="9"/>
    </row>
    <row r="314" customFormat="false" ht="15" hidden="false" customHeight="false" outlineLevel="0" collapsed="false">
      <c r="A314" s="9"/>
      <c r="B314" s="9"/>
      <c r="C314" s="11"/>
      <c r="D314" s="9"/>
      <c r="E314" s="9"/>
      <c r="F314" s="22" t="str">
        <f aca="false">IF(E314="","",IFERROR(INDEX(02_INDICADORES!$B$2:$B$42,MATCH(E314,02_INDICADORES!$A$2:$A$42,0)),"ID?"))</f>
        <v/>
      </c>
      <c r="G314" s="21" t="str">
        <f aca="false">IF(E314="","",IFERROR(INDEX(02_INDICADORES!$C$2:$C$42,MATCH(E314,02_INDICADORES!$A$2:$A$42,0)),"ID?"))</f>
        <v/>
      </c>
      <c r="H314" s="22" t="str">
        <f aca="false">IF(E314="","",IFERROR(INDEX(02_INDICADORES!$D$2:$D$42,MATCH(E314,02_INDICADORES!$A$2:$A$42,0)),""))</f>
        <v/>
      </c>
      <c r="I314" s="9"/>
      <c r="J314" s="16" t="str">
        <f aca="false">IF(OR(I314="",H314=""),"",I314*H314)</f>
        <v/>
      </c>
      <c r="K314" s="9"/>
      <c r="L314" s="9"/>
      <c r="M314" s="9"/>
    </row>
    <row r="315" customFormat="false" ht="15" hidden="false" customHeight="false" outlineLevel="0" collapsed="false">
      <c r="A315" s="9"/>
      <c r="B315" s="9"/>
      <c r="C315" s="11"/>
      <c r="D315" s="9"/>
      <c r="E315" s="9"/>
      <c r="F315" s="22" t="str">
        <f aca="false">IF(E315="","",IFERROR(INDEX(02_INDICADORES!$B$2:$B$42,MATCH(E315,02_INDICADORES!$A$2:$A$42,0)),"ID?"))</f>
        <v/>
      </c>
      <c r="G315" s="21" t="str">
        <f aca="false">IF(E315="","",IFERROR(INDEX(02_INDICADORES!$C$2:$C$42,MATCH(E315,02_INDICADORES!$A$2:$A$42,0)),"ID?"))</f>
        <v/>
      </c>
      <c r="H315" s="22" t="str">
        <f aca="false">IF(E315="","",IFERROR(INDEX(02_INDICADORES!$D$2:$D$42,MATCH(E315,02_INDICADORES!$A$2:$A$42,0)),""))</f>
        <v/>
      </c>
      <c r="I315" s="9"/>
      <c r="J315" s="16" t="str">
        <f aca="false">IF(OR(I315="",H315=""),"",I315*H315)</f>
        <v/>
      </c>
      <c r="K315" s="9"/>
      <c r="L315" s="9"/>
      <c r="M315" s="9"/>
    </row>
    <row r="316" customFormat="false" ht="15" hidden="false" customHeight="false" outlineLevel="0" collapsed="false">
      <c r="A316" s="9"/>
      <c r="B316" s="9"/>
      <c r="C316" s="11"/>
      <c r="D316" s="9"/>
      <c r="E316" s="9"/>
      <c r="F316" s="22" t="str">
        <f aca="false">IF(E316="","",IFERROR(INDEX(02_INDICADORES!$B$2:$B$42,MATCH(E316,02_INDICADORES!$A$2:$A$42,0)),"ID?"))</f>
        <v/>
      </c>
      <c r="G316" s="21" t="str">
        <f aca="false">IF(E316="","",IFERROR(INDEX(02_INDICADORES!$C$2:$C$42,MATCH(E316,02_INDICADORES!$A$2:$A$42,0)),"ID?"))</f>
        <v/>
      </c>
      <c r="H316" s="22" t="str">
        <f aca="false">IF(E316="","",IFERROR(INDEX(02_INDICADORES!$D$2:$D$42,MATCH(E316,02_INDICADORES!$A$2:$A$42,0)),""))</f>
        <v/>
      </c>
      <c r="I316" s="9"/>
      <c r="J316" s="16" t="str">
        <f aca="false">IF(OR(I316="",H316=""),"",I316*H316)</f>
        <v/>
      </c>
      <c r="K316" s="9"/>
      <c r="L316" s="9"/>
      <c r="M316" s="9"/>
    </row>
    <row r="317" customFormat="false" ht="15" hidden="false" customHeight="false" outlineLevel="0" collapsed="false">
      <c r="A317" s="9"/>
      <c r="B317" s="9"/>
      <c r="C317" s="11"/>
      <c r="D317" s="9"/>
      <c r="E317" s="9"/>
      <c r="F317" s="22" t="str">
        <f aca="false">IF(E317="","",IFERROR(INDEX(02_INDICADORES!$B$2:$B$42,MATCH(E317,02_INDICADORES!$A$2:$A$42,0)),"ID?"))</f>
        <v/>
      </c>
      <c r="G317" s="21" t="str">
        <f aca="false">IF(E317="","",IFERROR(INDEX(02_INDICADORES!$C$2:$C$42,MATCH(E317,02_INDICADORES!$A$2:$A$42,0)),"ID?"))</f>
        <v/>
      </c>
      <c r="H317" s="22" t="str">
        <f aca="false">IF(E317="","",IFERROR(INDEX(02_INDICADORES!$D$2:$D$42,MATCH(E317,02_INDICADORES!$A$2:$A$42,0)),""))</f>
        <v/>
      </c>
      <c r="I317" s="9"/>
      <c r="J317" s="16" t="str">
        <f aca="false">IF(OR(I317="",H317=""),"",I317*H317)</f>
        <v/>
      </c>
      <c r="K317" s="9"/>
      <c r="L317" s="9"/>
      <c r="M317" s="9"/>
    </row>
    <row r="318" customFormat="false" ht="15" hidden="false" customHeight="false" outlineLevel="0" collapsed="false">
      <c r="A318" s="9"/>
      <c r="B318" s="9"/>
      <c r="C318" s="11"/>
      <c r="D318" s="9"/>
      <c r="E318" s="9"/>
      <c r="F318" s="22" t="str">
        <f aca="false">IF(E318="","",IFERROR(INDEX(02_INDICADORES!$B$2:$B$42,MATCH(E318,02_INDICADORES!$A$2:$A$42,0)),"ID?"))</f>
        <v/>
      </c>
      <c r="G318" s="21" t="str">
        <f aca="false">IF(E318="","",IFERROR(INDEX(02_INDICADORES!$C$2:$C$42,MATCH(E318,02_INDICADORES!$A$2:$A$42,0)),"ID?"))</f>
        <v/>
      </c>
      <c r="H318" s="22" t="str">
        <f aca="false">IF(E318="","",IFERROR(INDEX(02_INDICADORES!$D$2:$D$42,MATCH(E318,02_INDICADORES!$A$2:$A$42,0)),""))</f>
        <v/>
      </c>
      <c r="I318" s="9"/>
      <c r="J318" s="16" t="str">
        <f aca="false">IF(OR(I318="",H318=""),"",I318*H318)</f>
        <v/>
      </c>
      <c r="K318" s="9"/>
      <c r="L318" s="9"/>
      <c r="M318" s="9"/>
    </row>
    <row r="319" customFormat="false" ht="15" hidden="false" customHeight="false" outlineLevel="0" collapsed="false">
      <c r="A319" s="9"/>
      <c r="B319" s="9"/>
      <c r="C319" s="11"/>
      <c r="D319" s="9"/>
      <c r="E319" s="9"/>
      <c r="F319" s="22" t="str">
        <f aca="false">IF(E319="","",IFERROR(INDEX(02_INDICADORES!$B$2:$B$42,MATCH(E319,02_INDICADORES!$A$2:$A$42,0)),"ID?"))</f>
        <v/>
      </c>
      <c r="G319" s="21" t="str">
        <f aca="false">IF(E319="","",IFERROR(INDEX(02_INDICADORES!$C$2:$C$42,MATCH(E319,02_INDICADORES!$A$2:$A$42,0)),"ID?"))</f>
        <v/>
      </c>
      <c r="H319" s="22" t="str">
        <f aca="false">IF(E319="","",IFERROR(INDEX(02_INDICADORES!$D$2:$D$42,MATCH(E319,02_INDICADORES!$A$2:$A$42,0)),""))</f>
        <v/>
      </c>
      <c r="I319" s="9"/>
      <c r="J319" s="16" t="str">
        <f aca="false">IF(OR(I319="",H319=""),"",I319*H319)</f>
        <v/>
      </c>
      <c r="K319" s="9"/>
      <c r="L319" s="9"/>
      <c r="M319" s="9"/>
    </row>
    <row r="320" customFormat="false" ht="15" hidden="false" customHeight="false" outlineLevel="0" collapsed="false">
      <c r="A320" s="9"/>
      <c r="B320" s="9"/>
      <c r="C320" s="11"/>
      <c r="D320" s="9"/>
      <c r="E320" s="9"/>
      <c r="F320" s="22" t="str">
        <f aca="false">IF(E320="","",IFERROR(INDEX(02_INDICADORES!$B$2:$B$42,MATCH(E320,02_INDICADORES!$A$2:$A$42,0)),"ID?"))</f>
        <v/>
      </c>
      <c r="G320" s="21" t="str">
        <f aca="false">IF(E320="","",IFERROR(INDEX(02_INDICADORES!$C$2:$C$42,MATCH(E320,02_INDICADORES!$A$2:$A$42,0)),"ID?"))</f>
        <v/>
      </c>
      <c r="H320" s="22" t="str">
        <f aca="false">IF(E320="","",IFERROR(INDEX(02_INDICADORES!$D$2:$D$42,MATCH(E320,02_INDICADORES!$A$2:$A$42,0)),""))</f>
        <v/>
      </c>
      <c r="I320" s="9"/>
      <c r="J320" s="16" t="str">
        <f aca="false">IF(OR(I320="",H320=""),"",I320*H320)</f>
        <v/>
      </c>
      <c r="K320" s="9"/>
      <c r="L320" s="9"/>
      <c r="M320" s="9"/>
    </row>
    <row r="321" customFormat="false" ht="15" hidden="false" customHeight="false" outlineLevel="0" collapsed="false">
      <c r="A321" s="9"/>
      <c r="B321" s="9"/>
      <c r="C321" s="11"/>
      <c r="D321" s="9"/>
      <c r="E321" s="9"/>
      <c r="F321" s="22" t="str">
        <f aca="false">IF(E321="","",IFERROR(INDEX(02_INDICADORES!$B$2:$B$42,MATCH(E321,02_INDICADORES!$A$2:$A$42,0)),"ID?"))</f>
        <v/>
      </c>
      <c r="G321" s="21" t="str">
        <f aca="false">IF(E321="","",IFERROR(INDEX(02_INDICADORES!$C$2:$C$42,MATCH(E321,02_INDICADORES!$A$2:$A$42,0)),"ID?"))</f>
        <v/>
      </c>
      <c r="H321" s="22" t="str">
        <f aca="false">IF(E321="","",IFERROR(INDEX(02_INDICADORES!$D$2:$D$42,MATCH(E321,02_INDICADORES!$A$2:$A$42,0)),""))</f>
        <v/>
      </c>
      <c r="I321" s="9"/>
      <c r="J321" s="16" t="str">
        <f aca="false">IF(OR(I321="",H321=""),"",I321*H321)</f>
        <v/>
      </c>
      <c r="K321" s="9"/>
      <c r="L321" s="9"/>
      <c r="M321" s="9"/>
    </row>
    <row r="322" customFormat="false" ht="15" hidden="false" customHeight="false" outlineLevel="0" collapsed="false">
      <c r="A322" s="9"/>
      <c r="B322" s="9"/>
      <c r="C322" s="11"/>
      <c r="D322" s="9"/>
      <c r="E322" s="9"/>
      <c r="F322" s="22" t="str">
        <f aca="false">IF(E322="","",IFERROR(INDEX(02_INDICADORES!$B$2:$B$42,MATCH(E322,02_INDICADORES!$A$2:$A$42,0)),"ID?"))</f>
        <v/>
      </c>
      <c r="G322" s="21" t="str">
        <f aca="false">IF(E322="","",IFERROR(INDEX(02_INDICADORES!$C$2:$C$42,MATCH(E322,02_INDICADORES!$A$2:$A$42,0)),"ID?"))</f>
        <v/>
      </c>
      <c r="H322" s="22" t="str">
        <f aca="false">IF(E322="","",IFERROR(INDEX(02_INDICADORES!$D$2:$D$42,MATCH(E322,02_INDICADORES!$A$2:$A$42,0)),""))</f>
        <v/>
      </c>
      <c r="I322" s="9"/>
      <c r="J322" s="16" t="str">
        <f aca="false">IF(OR(I322="",H322=""),"",I322*H322)</f>
        <v/>
      </c>
      <c r="K322" s="9"/>
      <c r="L322" s="9"/>
      <c r="M322" s="9"/>
    </row>
    <row r="323" customFormat="false" ht="15" hidden="false" customHeight="false" outlineLevel="0" collapsed="false">
      <c r="A323" s="9"/>
      <c r="B323" s="9"/>
      <c r="C323" s="11"/>
      <c r="D323" s="9"/>
      <c r="E323" s="9"/>
      <c r="F323" s="22" t="str">
        <f aca="false">IF(E323="","",IFERROR(INDEX(02_INDICADORES!$B$2:$B$42,MATCH(E323,02_INDICADORES!$A$2:$A$42,0)),"ID?"))</f>
        <v/>
      </c>
      <c r="G323" s="21" t="str">
        <f aca="false">IF(E323="","",IFERROR(INDEX(02_INDICADORES!$C$2:$C$42,MATCH(E323,02_INDICADORES!$A$2:$A$42,0)),"ID?"))</f>
        <v/>
      </c>
      <c r="H323" s="22" t="str">
        <f aca="false">IF(E323="","",IFERROR(INDEX(02_INDICADORES!$D$2:$D$42,MATCH(E323,02_INDICADORES!$A$2:$A$42,0)),""))</f>
        <v/>
      </c>
      <c r="I323" s="9"/>
      <c r="J323" s="16" t="str">
        <f aca="false">IF(OR(I323="",H323=""),"",I323*H323)</f>
        <v/>
      </c>
      <c r="K323" s="9"/>
      <c r="L323" s="9"/>
      <c r="M323" s="9"/>
    </row>
    <row r="324" customFormat="false" ht="15" hidden="false" customHeight="false" outlineLevel="0" collapsed="false">
      <c r="A324" s="9"/>
      <c r="B324" s="9"/>
      <c r="C324" s="11"/>
      <c r="D324" s="9"/>
      <c r="E324" s="9"/>
      <c r="F324" s="22" t="str">
        <f aca="false">IF(E324="","",IFERROR(INDEX(02_INDICADORES!$B$2:$B$42,MATCH(E324,02_INDICADORES!$A$2:$A$42,0)),"ID?"))</f>
        <v/>
      </c>
      <c r="G324" s="21" t="str">
        <f aca="false">IF(E324="","",IFERROR(INDEX(02_INDICADORES!$C$2:$C$42,MATCH(E324,02_INDICADORES!$A$2:$A$42,0)),"ID?"))</f>
        <v/>
      </c>
      <c r="H324" s="22" t="str">
        <f aca="false">IF(E324="","",IFERROR(INDEX(02_INDICADORES!$D$2:$D$42,MATCH(E324,02_INDICADORES!$A$2:$A$42,0)),""))</f>
        <v/>
      </c>
      <c r="I324" s="9"/>
      <c r="J324" s="16" t="str">
        <f aca="false">IF(OR(I324="",H324=""),"",I324*H324)</f>
        <v/>
      </c>
      <c r="K324" s="9"/>
      <c r="L324" s="9"/>
      <c r="M324" s="9"/>
    </row>
    <row r="325" customFormat="false" ht="15" hidden="false" customHeight="false" outlineLevel="0" collapsed="false">
      <c r="A325" s="9"/>
      <c r="B325" s="9"/>
      <c r="C325" s="11"/>
      <c r="D325" s="9"/>
      <c r="E325" s="9"/>
      <c r="F325" s="22" t="str">
        <f aca="false">IF(E325="","",IFERROR(INDEX(02_INDICADORES!$B$2:$B$42,MATCH(E325,02_INDICADORES!$A$2:$A$42,0)),"ID?"))</f>
        <v/>
      </c>
      <c r="G325" s="21" t="str">
        <f aca="false">IF(E325="","",IFERROR(INDEX(02_INDICADORES!$C$2:$C$42,MATCH(E325,02_INDICADORES!$A$2:$A$42,0)),"ID?"))</f>
        <v/>
      </c>
      <c r="H325" s="22" t="str">
        <f aca="false">IF(E325="","",IFERROR(INDEX(02_INDICADORES!$D$2:$D$42,MATCH(E325,02_INDICADORES!$A$2:$A$42,0)),""))</f>
        <v/>
      </c>
      <c r="I325" s="9"/>
      <c r="J325" s="16" t="str">
        <f aca="false">IF(OR(I325="",H325=""),"",I325*H325)</f>
        <v/>
      </c>
      <c r="K325" s="9"/>
      <c r="L325" s="9"/>
      <c r="M325" s="9"/>
    </row>
    <row r="326" customFormat="false" ht="15" hidden="false" customHeight="false" outlineLevel="0" collapsed="false">
      <c r="A326" s="9"/>
      <c r="B326" s="9"/>
      <c r="C326" s="11"/>
      <c r="D326" s="9"/>
      <c r="E326" s="9"/>
      <c r="F326" s="22" t="str">
        <f aca="false">IF(E326="","",IFERROR(INDEX(02_INDICADORES!$B$2:$B$42,MATCH(E326,02_INDICADORES!$A$2:$A$42,0)),"ID?"))</f>
        <v/>
      </c>
      <c r="G326" s="21" t="str">
        <f aca="false">IF(E326="","",IFERROR(INDEX(02_INDICADORES!$C$2:$C$42,MATCH(E326,02_INDICADORES!$A$2:$A$42,0)),"ID?"))</f>
        <v/>
      </c>
      <c r="H326" s="22" t="str">
        <f aca="false">IF(E326="","",IFERROR(INDEX(02_INDICADORES!$D$2:$D$42,MATCH(E326,02_INDICADORES!$A$2:$A$42,0)),""))</f>
        <v/>
      </c>
      <c r="I326" s="9"/>
      <c r="J326" s="16" t="str">
        <f aca="false">IF(OR(I326="",H326=""),"",I326*H326)</f>
        <v/>
      </c>
      <c r="K326" s="9"/>
      <c r="L326" s="9"/>
      <c r="M326" s="9"/>
    </row>
    <row r="327" customFormat="false" ht="15" hidden="false" customHeight="false" outlineLevel="0" collapsed="false">
      <c r="A327" s="9"/>
      <c r="B327" s="9"/>
      <c r="C327" s="11"/>
      <c r="D327" s="9"/>
      <c r="E327" s="9"/>
      <c r="F327" s="22" t="str">
        <f aca="false">IF(E327="","",IFERROR(INDEX(02_INDICADORES!$B$2:$B$42,MATCH(E327,02_INDICADORES!$A$2:$A$42,0)),"ID?"))</f>
        <v/>
      </c>
      <c r="G327" s="21" t="str">
        <f aca="false">IF(E327="","",IFERROR(INDEX(02_INDICADORES!$C$2:$C$42,MATCH(E327,02_INDICADORES!$A$2:$A$42,0)),"ID?"))</f>
        <v/>
      </c>
      <c r="H327" s="22" t="str">
        <f aca="false">IF(E327="","",IFERROR(INDEX(02_INDICADORES!$D$2:$D$42,MATCH(E327,02_INDICADORES!$A$2:$A$42,0)),""))</f>
        <v/>
      </c>
      <c r="I327" s="9"/>
      <c r="J327" s="16" t="str">
        <f aca="false">IF(OR(I327="",H327=""),"",I327*H327)</f>
        <v/>
      </c>
      <c r="K327" s="9"/>
      <c r="L327" s="9"/>
      <c r="M327" s="9"/>
    </row>
    <row r="328" customFormat="false" ht="15" hidden="false" customHeight="false" outlineLevel="0" collapsed="false">
      <c r="A328" s="9"/>
      <c r="B328" s="9"/>
      <c r="C328" s="11"/>
      <c r="D328" s="9"/>
      <c r="E328" s="9"/>
      <c r="F328" s="22" t="str">
        <f aca="false">IF(E328="","",IFERROR(INDEX(02_INDICADORES!$B$2:$B$42,MATCH(E328,02_INDICADORES!$A$2:$A$42,0)),"ID?"))</f>
        <v/>
      </c>
      <c r="G328" s="21" t="str">
        <f aca="false">IF(E328="","",IFERROR(INDEX(02_INDICADORES!$C$2:$C$42,MATCH(E328,02_INDICADORES!$A$2:$A$42,0)),"ID?"))</f>
        <v/>
      </c>
      <c r="H328" s="22" t="str">
        <f aca="false">IF(E328="","",IFERROR(INDEX(02_INDICADORES!$D$2:$D$42,MATCH(E328,02_INDICADORES!$A$2:$A$42,0)),""))</f>
        <v/>
      </c>
      <c r="I328" s="9"/>
      <c r="J328" s="16" t="str">
        <f aca="false">IF(OR(I328="",H328=""),"",I328*H328)</f>
        <v/>
      </c>
      <c r="K328" s="9"/>
      <c r="L328" s="9"/>
      <c r="M328" s="9"/>
    </row>
    <row r="329" customFormat="false" ht="15" hidden="false" customHeight="false" outlineLevel="0" collapsed="false">
      <c r="A329" s="9"/>
      <c r="B329" s="9"/>
      <c r="C329" s="11"/>
      <c r="D329" s="9"/>
      <c r="E329" s="9"/>
      <c r="F329" s="22" t="str">
        <f aca="false">IF(E329="","",IFERROR(INDEX(02_INDICADORES!$B$2:$B$42,MATCH(E329,02_INDICADORES!$A$2:$A$42,0)),"ID?"))</f>
        <v/>
      </c>
      <c r="G329" s="21" t="str">
        <f aca="false">IF(E329="","",IFERROR(INDEX(02_INDICADORES!$C$2:$C$42,MATCH(E329,02_INDICADORES!$A$2:$A$42,0)),"ID?"))</f>
        <v/>
      </c>
      <c r="H329" s="22" t="str">
        <f aca="false">IF(E329="","",IFERROR(INDEX(02_INDICADORES!$D$2:$D$42,MATCH(E329,02_INDICADORES!$A$2:$A$42,0)),""))</f>
        <v/>
      </c>
      <c r="I329" s="9"/>
      <c r="J329" s="16" t="str">
        <f aca="false">IF(OR(I329="",H329=""),"",I329*H329)</f>
        <v/>
      </c>
      <c r="K329" s="9"/>
      <c r="L329" s="9"/>
      <c r="M329" s="9"/>
    </row>
    <row r="330" customFormat="false" ht="15" hidden="false" customHeight="false" outlineLevel="0" collapsed="false">
      <c r="A330" s="9"/>
      <c r="B330" s="9"/>
      <c r="C330" s="11"/>
      <c r="D330" s="9"/>
      <c r="E330" s="9"/>
      <c r="F330" s="22" t="str">
        <f aca="false">IF(E330="","",IFERROR(INDEX(02_INDICADORES!$B$2:$B$42,MATCH(E330,02_INDICADORES!$A$2:$A$42,0)),"ID?"))</f>
        <v/>
      </c>
      <c r="G330" s="21" t="str">
        <f aca="false">IF(E330="","",IFERROR(INDEX(02_INDICADORES!$C$2:$C$42,MATCH(E330,02_INDICADORES!$A$2:$A$42,0)),"ID?"))</f>
        <v/>
      </c>
      <c r="H330" s="22" t="str">
        <f aca="false">IF(E330="","",IFERROR(INDEX(02_INDICADORES!$D$2:$D$42,MATCH(E330,02_INDICADORES!$A$2:$A$42,0)),""))</f>
        <v/>
      </c>
      <c r="I330" s="9"/>
      <c r="J330" s="16" t="str">
        <f aca="false">IF(OR(I330="",H330=""),"",I330*H330)</f>
        <v/>
      </c>
      <c r="K330" s="9"/>
      <c r="L330" s="9"/>
      <c r="M330" s="9"/>
    </row>
    <row r="331" customFormat="false" ht="15" hidden="false" customHeight="false" outlineLevel="0" collapsed="false">
      <c r="A331" s="9"/>
      <c r="B331" s="9"/>
      <c r="C331" s="11"/>
      <c r="D331" s="9"/>
      <c r="E331" s="9"/>
      <c r="F331" s="22" t="str">
        <f aca="false">IF(E331="","",IFERROR(INDEX(02_INDICADORES!$B$2:$B$42,MATCH(E331,02_INDICADORES!$A$2:$A$42,0)),"ID?"))</f>
        <v/>
      </c>
      <c r="G331" s="21" t="str">
        <f aca="false">IF(E331="","",IFERROR(INDEX(02_INDICADORES!$C$2:$C$42,MATCH(E331,02_INDICADORES!$A$2:$A$42,0)),"ID?"))</f>
        <v/>
      </c>
      <c r="H331" s="22" t="str">
        <f aca="false">IF(E331="","",IFERROR(INDEX(02_INDICADORES!$D$2:$D$42,MATCH(E331,02_INDICADORES!$A$2:$A$42,0)),""))</f>
        <v/>
      </c>
      <c r="I331" s="9"/>
      <c r="J331" s="16" t="str">
        <f aca="false">IF(OR(I331="",H331=""),"",I331*H331)</f>
        <v/>
      </c>
      <c r="K331" s="9"/>
      <c r="L331" s="9"/>
      <c r="M331" s="9"/>
    </row>
    <row r="332" customFormat="false" ht="15" hidden="false" customHeight="false" outlineLevel="0" collapsed="false">
      <c r="A332" s="9"/>
      <c r="B332" s="9"/>
      <c r="C332" s="11"/>
      <c r="D332" s="9"/>
      <c r="E332" s="9"/>
      <c r="F332" s="22" t="str">
        <f aca="false">IF(E332="","",IFERROR(INDEX(02_INDICADORES!$B$2:$B$42,MATCH(E332,02_INDICADORES!$A$2:$A$42,0)),"ID?"))</f>
        <v/>
      </c>
      <c r="G332" s="21" t="str">
        <f aca="false">IF(E332="","",IFERROR(INDEX(02_INDICADORES!$C$2:$C$42,MATCH(E332,02_INDICADORES!$A$2:$A$42,0)),"ID?"))</f>
        <v/>
      </c>
      <c r="H332" s="22" t="str">
        <f aca="false">IF(E332="","",IFERROR(INDEX(02_INDICADORES!$D$2:$D$42,MATCH(E332,02_INDICADORES!$A$2:$A$42,0)),""))</f>
        <v/>
      </c>
      <c r="I332" s="9"/>
      <c r="J332" s="16" t="str">
        <f aca="false">IF(OR(I332="",H332=""),"",I332*H332)</f>
        <v/>
      </c>
      <c r="K332" s="9"/>
      <c r="L332" s="9"/>
      <c r="M332" s="9"/>
    </row>
    <row r="333" customFormat="false" ht="15" hidden="false" customHeight="false" outlineLevel="0" collapsed="false">
      <c r="A333" s="9"/>
      <c r="B333" s="9"/>
      <c r="C333" s="11"/>
      <c r="D333" s="9"/>
      <c r="E333" s="9"/>
      <c r="F333" s="22" t="str">
        <f aca="false">IF(E333="","",IFERROR(INDEX(02_INDICADORES!$B$2:$B$42,MATCH(E333,02_INDICADORES!$A$2:$A$42,0)),"ID?"))</f>
        <v/>
      </c>
      <c r="G333" s="21" t="str">
        <f aca="false">IF(E333="","",IFERROR(INDEX(02_INDICADORES!$C$2:$C$42,MATCH(E333,02_INDICADORES!$A$2:$A$42,0)),"ID?"))</f>
        <v/>
      </c>
      <c r="H333" s="22" t="str">
        <f aca="false">IF(E333="","",IFERROR(INDEX(02_INDICADORES!$D$2:$D$42,MATCH(E333,02_INDICADORES!$A$2:$A$42,0)),""))</f>
        <v/>
      </c>
      <c r="I333" s="9"/>
      <c r="J333" s="16" t="str">
        <f aca="false">IF(OR(I333="",H333=""),"",I333*H333)</f>
        <v/>
      </c>
      <c r="K333" s="9"/>
      <c r="L333" s="9"/>
      <c r="M333" s="9"/>
    </row>
    <row r="334" customFormat="false" ht="15" hidden="false" customHeight="false" outlineLevel="0" collapsed="false">
      <c r="A334" s="9"/>
      <c r="B334" s="9"/>
      <c r="C334" s="11"/>
      <c r="D334" s="9"/>
      <c r="E334" s="9"/>
      <c r="F334" s="22" t="str">
        <f aca="false">IF(E334="","",IFERROR(INDEX(02_INDICADORES!$B$2:$B$42,MATCH(E334,02_INDICADORES!$A$2:$A$42,0)),"ID?"))</f>
        <v/>
      </c>
      <c r="G334" s="21" t="str">
        <f aca="false">IF(E334="","",IFERROR(INDEX(02_INDICADORES!$C$2:$C$42,MATCH(E334,02_INDICADORES!$A$2:$A$42,0)),"ID?"))</f>
        <v/>
      </c>
      <c r="H334" s="22" t="str">
        <f aca="false">IF(E334="","",IFERROR(INDEX(02_INDICADORES!$D$2:$D$42,MATCH(E334,02_INDICADORES!$A$2:$A$42,0)),""))</f>
        <v/>
      </c>
      <c r="I334" s="9"/>
      <c r="J334" s="16" t="str">
        <f aca="false">IF(OR(I334="",H334=""),"",I334*H334)</f>
        <v/>
      </c>
      <c r="K334" s="9"/>
      <c r="L334" s="9"/>
      <c r="M334" s="9"/>
    </row>
    <row r="335" customFormat="false" ht="15" hidden="false" customHeight="false" outlineLevel="0" collapsed="false">
      <c r="A335" s="9"/>
      <c r="B335" s="9"/>
      <c r="C335" s="11"/>
      <c r="D335" s="9"/>
      <c r="E335" s="9"/>
      <c r="F335" s="22" t="str">
        <f aca="false">IF(E335="","",IFERROR(INDEX(02_INDICADORES!$B$2:$B$42,MATCH(E335,02_INDICADORES!$A$2:$A$42,0)),"ID?"))</f>
        <v/>
      </c>
      <c r="G335" s="21" t="str">
        <f aca="false">IF(E335="","",IFERROR(INDEX(02_INDICADORES!$C$2:$C$42,MATCH(E335,02_INDICADORES!$A$2:$A$42,0)),"ID?"))</f>
        <v/>
      </c>
      <c r="H335" s="22" t="str">
        <f aca="false">IF(E335="","",IFERROR(INDEX(02_INDICADORES!$D$2:$D$42,MATCH(E335,02_INDICADORES!$A$2:$A$42,0)),""))</f>
        <v/>
      </c>
      <c r="I335" s="9"/>
      <c r="J335" s="16" t="str">
        <f aca="false">IF(OR(I335="",H335=""),"",I335*H335)</f>
        <v/>
      </c>
      <c r="K335" s="9"/>
      <c r="L335" s="9"/>
      <c r="M335" s="9"/>
    </row>
    <row r="336" customFormat="false" ht="15" hidden="false" customHeight="false" outlineLevel="0" collapsed="false">
      <c r="A336" s="9"/>
      <c r="B336" s="9"/>
      <c r="C336" s="11"/>
      <c r="D336" s="9"/>
      <c r="E336" s="9"/>
      <c r="F336" s="22" t="str">
        <f aca="false">IF(E336="","",IFERROR(INDEX(02_INDICADORES!$B$2:$B$42,MATCH(E336,02_INDICADORES!$A$2:$A$42,0)),"ID?"))</f>
        <v/>
      </c>
      <c r="G336" s="21" t="str">
        <f aca="false">IF(E336="","",IFERROR(INDEX(02_INDICADORES!$C$2:$C$42,MATCH(E336,02_INDICADORES!$A$2:$A$42,0)),"ID?"))</f>
        <v/>
      </c>
      <c r="H336" s="22" t="str">
        <f aca="false">IF(E336="","",IFERROR(INDEX(02_INDICADORES!$D$2:$D$42,MATCH(E336,02_INDICADORES!$A$2:$A$42,0)),""))</f>
        <v/>
      </c>
      <c r="I336" s="9"/>
      <c r="J336" s="16" t="str">
        <f aca="false">IF(OR(I336="",H336=""),"",I336*H336)</f>
        <v/>
      </c>
      <c r="K336" s="9"/>
      <c r="L336" s="9"/>
      <c r="M336" s="9"/>
    </row>
    <row r="337" customFormat="false" ht="15" hidden="false" customHeight="false" outlineLevel="0" collapsed="false">
      <c r="A337" s="9"/>
      <c r="B337" s="9"/>
      <c r="C337" s="11"/>
      <c r="D337" s="9"/>
      <c r="E337" s="9"/>
      <c r="F337" s="22" t="str">
        <f aca="false">IF(E337="","",IFERROR(INDEX(02_INDICADORES!$B$2:$B$42,MATCH(E337,02_INDICADORES!$A$2:$A$42,0)),"ID?"))</f>
        <v/>
      </c>
      <c r="G337" s="21" t="str">
        <f aca="false">IF(E337="","",IFERROR(INDEX(02_INDICADORES!$C$2:$C$42,MATCH(E337,02_INDICADORES!$A$2:$A$42,0)),"ID?"))</f>
        <v/>
      </c>
      <c r="H337" s="22" t="str">
        <f aca="false">IF(E337="","",IFERROR(INDEX(02_INDICADORES!$D$2:$D$42,MATCH(E337,02_INDICADORES!$A$2:$A$42,0)),""))</f>
        <v/>
      </c>
      <c r="I337" s="9"/>
      <c r="J337" s="16" t="str">
        <f aca="false">IF(OR(I337="",H337=""),"",I337*H337)</f>
        <v/>
      </c>
      <c r="K337" s="9"/>
      <c r="L337" s="9"/>
      <c r="M337" s="9"/>
    </row>
    <row r="338" customFormat="false" ht="15" hidden="false" customHeight="false" outlineLevel="0" collapsed="false">
      <c r="A338" s="9"/>
      <c r="B338" s="9"/>
      <c r="C338" s="11"/>
      <c r="D338" s="9"/>
      <c r="E338" s="9"/>
      <c r="F338" s="22" t="str">
        <f aca="false">IF(E338="","",IFERROR(INDEX(02_INDICADORES!$B$2:$B$42,MATCH(E338,02_INDICADORES!$A$2:$A$42,0)),"ID?"))</f>
        <v/>
      </c>
      <c r="G338" s="21" t="str">
        <f aca="false">IF(E338="","",IFERROR(INDEX(02_INDICADORES!$C$2:$C$42,MATCH(E338,02_INDICADORES!$A$2:$A$42,0)),"ID?"))</f>
        <v/>
      </c>
      <c r="H338" s="22" t="str">
        <f aca="false">IF(E338="","",IFERROR(INDEX(02_INDICADORES!$D$2:$D$42,MATCH(E338,02_INDICADORES!$A$2:$A$42,0)),""))</f>
        <v/>
      </c>
      <c r="I338" s="9"/>
      <c r="J338" s="16" t="str">
        <f aca="false">IF(OR(I338="",H338=""),"",I338*H338)</f>
        <v/>
      </c>
      <c r="K338" s="9"/>
      <c r="L338" s="9"/>
      <c r="M338" s="9"/>
    </row>
    <row r="339" customFormat="false" ht="15" hidden="false" customHeight="false" outlineLevel="0" collapsed="false">
      <c r="A339" s="9"/>
      <c r="B339" s="9"/>
      <c r="C339" s="11"/>
      <c r="D339" s="9"/>
      <c r="E339" s="9"/>
      <c r="F339" s="22" t="str">
        <f aca="false">IF(E339="","",IFERROR(INDEX(02_INDICADORES!$B$2:$B$42,MATCH(E339,02_INDICADORES!$A$2:$A$42,0)),"ID?"))</f>
        <v/>
      </c>
      <c r="G339" s="21" t="str">
        <f aca="false">IF(E339="","",IFERROR(INDEX(02_INDICADORES!$C$2:$C$42,MATCH(E339,02_INDICADORES!$A$2:$A$42,0)),"ID?"))</f>
        <v/>
      </c>
      <c r="H339" s="22" t="str">
        <f aca="false">IF(E339="","",IFERROR(INDEX(02_INDICADORES!$D$2:$D$42,MATCH(E339,02_INDICADORES!$A$2:$A$42,0)),""))</f>
        <v/>
      </c>
      <c r="I339" s="9"/>
      <c r="J339" s="16" t="str">
        <f aca="false">IF(OR(I339="",H339=""),"",I339*H339)</f>
        <v/>
      </c>
      <c r="K339" s="9"/>
      <c r="L339" s="9"/>
      <c r="M339" s="9"/>
    </row>
    <row r="340" customFormat="false" ht="15" hidden="false" customHeight="false" outlineLevel="0" collapsed="false">
      <c r="A340" s="9"/>
      <c r="B340" s="9"/>
      <c r="C340" s="11"/>
      <c r="D340" s="9"/>
      <c r="E340" s="9"/>
      <c r="F340" s="22" t="str">
        <f aca="false">IF(E340="","",IFERROR(INDEX(02_INDICADORES!$B$2:$B$42,MATCH(E340,02_INDICADORES!$A$2:$A$42,0)),"ID?"))</f>
        <v/>
      </c>
      <c r="G340" s="21" t="str">
        <f aca="false">IF(E340="","",IFERROR(INDEX(02_INDICADORES!$C$2:$C$42,MATCH(E340,02_INDICADORES!$A$2:$A$42,0)),"ID?"))</f>
        <v/>
      </c>
      <c r="H340" s="22" t="str">
        <f aca="false">IF(E340="","",IFERROR(INDEX(02_INDICADORES!$D$2:$D$42,MATCH(E340,02_INDICADORES!$A$2:$A$42,0)),""))</f>
        <v/>
      </c>
      <c r="I340" s="9"/>
      <c r="J340" s="16" t="str">
        <f aca="false">IF(OR(I340="",H340=""),"",I340*H340)</f>
        <v/>
      </c>
      <c r="K340" s="9"/>
      <c r="L340" s="9"/>
      <c r="M340" s="9"/>
    </row>
    <row r="341" customFormat="false" ht="15" hidden="false" customHeight="false" outlineLevel="0" collapsed="false">
      <c r="A341" s="9"/>
      <c r="B341" s="9"/>
      <c r="C341" s="11"/>
      <c r="D341" s="9"/>
      <c r="E341" s="9"/>
      <c r="F341" s="22" t="str">
        <f aca="false">IF(E341="","",IFERROR(INDEX(02_INDICADORES!$B$2:$B$42,MATCH(E341,02_INDICADORES!$A$2:$A$42,0)),"ID?"))</f>
        <v/>
      </c>
      <c r="G341" s="21" t="str">
        <f aca="false">IF(E341="","",IFERROR(INDEX(02_INDICADORES!$C$2:$C$42,MATCH(E341,02_INDICADORES!$A$2:$A$42,0)),"ID?"))</f>
        <v/>
      </c>
      <c r="H341" s="22" t="str">
        <f aca="false">IF(E341="","",IFERROR(INDEX(02_INDICADORES!$D$2:$D$42,MATCH(E341,02_INDICADORES!$A$2:$A$42,0)),""))</f>
        <v/>
      </c>
      <c r="I341" s="9"/>
      <c r="J341" s="16" t="str">
        <f aca="false">IF(OR(I341="",H341=""),"",I341*H341)</f>
        <v/>
      </c>
      <c r="K341" s="9"/>
      <c r="L341" s="9"/>
      <c r="M341" s="9"/>
    </row>
    <row r="342" customFormat="false" ht="15" hidden="false" customHeight="false" outlineLevel="0" collapsed="false">
      <c r="A342" s="9"/>
      <c r="B342" s="9"/>
      <c r="C342" s="11"/>
      <c r="D342" s="9"/>
      <c r="E342" s="9"/>
      <c r="F342" s="22" t="str">
        <f aca="false">IF(E342="","",IFERROR(INDEX(02_INDICADORES!$B$2:$B$42,MATCH(E342,02_INDICADORES!$A$2:$A$42,0)),"ID?"))</f>
        <v/>
      </c>
      <c r="G342" s="21" t="str">
        <f aca="false">IF(E342="","",IFERROR(INDEX(02_INDICADORES!$C$2:$C$42,MATCH(E342,02_INDICADORES!$A$2:$A$42,0)),"ID?"))</f>
        <v/>
      </c>
      <c r="H342" s="22" t="str">
        <f aca="false">IF(E342="","",IFERROR(INDEX(02_INDICADORES!$D$2:$D$42,MATCH(E342,02_INDICADORES!$A$2:$A$42,0)),""))</f>
        <v/>
      </c>
      <c r="I342" s="9"/>
      <c r="J342" s="16" t="str">
        <f aca="false">IF(OR(I342="",H342=""),"",I342*H342)</f>
        <v/>
      </c>
      <c r="K342" s="9"/>
      <c r="L342" s="9"/>
      <c r="M342" s="9"/>
    </row>
    <row r="343" customFormat="false" ht="15" hidden="false" customHeight="false" outlineLevel="0" collapsed="false">
      <c r="A343" s="9"/>
      <c r="B343" s="9"/>
      <c r="C343" s="11"/>
      <c r="D343" s="9"/>
      <c r="E343" s="9"/>
      <c r="F343" s="22" t="str">
        <f aca="false">IF(E343="","",IFERROR(INDEX(02_INDICADORES!$B$2:$B$42,MATCH(E343,02_INDICADORES!$A$2:$A$42,0)),"ID?"))</f>
        <v/>
      </c>
      <c r="G343" s="21" t="str">
        <f aca="false">IF(E343="","",IFERROR(INDEX(02_INDICADORES!$C$2:$C$42,MATCH(E343,02_INDICADORES!$A$2:$A$42,0)),"ID?"))</f>
        <v/>
      </c>
      <c r="H343" s="22" t="str">
        <f aca="false">IF(E343="","",IFERROR(INDEX(02_INDICADORES!$D$2:$D$42,MATCH(E343,02_INDICADORES!$A$2:$A$42,0)),""))</f>
        <v/>
      </c>
      <c r="I343" s="9"/>
      <c r="J343" s="16" t="str">
        <f aca="false">IF(OR(I343="",H343=""),"",I343*H343)</f>
        <v/>
      </c>
      <c r="K343" s="9"/>
      <c r="L343" s="9"/>
      <c r="M343" s="9"/>
    </row>
    <row r="344" customFormat="false" ht="15" hidden="false" customHeight="false" outlineLevel="0" collapsed="false">
      <c r="A344" s="9"/>
      <c r="B344" s="9"/>
      <c r="C344" s="11"/>
      <c r="D344" s="9"/>
      <c r="E344" s="9"/>
      <c r="F344" s="22" t="str">
        <f aca="false">IF(E344="","",IFERROR(INDEX(02_INDICADORES!$B$2:$B$42,MATCH(E344,02_INDICADORES!$A$2:$A$42,0)),"ID?"))</f>
        <v/>
      </c>
      <c r="G344" s="21" t="str">
        <f aca="false">IF(E344="","",IFERROR(INDEX(02_INDICADORES!$C$2:$C$42,MATCH(E344,02_INDICADORES!$A$2:$A$42,0)),"ID?"))</f>
        <v/>
      </c>
      <c r="H344" s="22" t="str">
        <f aca="false">IF(E344="","",IFERROR(INDEX(02_INDICADORES!$D$2:$D$42,MATCH(E344,02_INDICADORES!$A$2:$A$42,0)),""))</f>
        <v/>
      </c>
      <c r="I344" s="9"/>
      <c r="J344" s="16" t="str">
        <f aca="false">IF(OR(I344="",H344=""),"",I344*H344)</f>
        <v/>
      </c>
      <c r="K344" s="9"/>
      <c r="L344" s="9"/>
      <c r="M344" s="9"/>
    </row>
    <row r="345" customFormat="false" ht="15" hidden="false" customHeight="false" outlineLevel="0" collapsed="false">
      <c r="A345" s="9"/>
      <c r="B345" s="9"/>
      <c r="C345" s="11"/>
      <c r="D345" s="9"/>
      <c r="E345" s="9"/>
      <c r="F345" s="22" t="str">
        <f aca="false">IF(E345="","",IFERROR(INDEX(02_INDICADORES!$B$2:$B$42,MATCH(E345,02_INDICADORES!$A$2:$A$42,0)),"ID?"))</f>
        <v/>
      </c>
      <c r="G345" s="21" t="str">
        <f aca="false">IF(E345="","",IFERROR(INDEX(02_INDICADORES!$C$2:$C$42,MATCH(E345,02_INDICADORES!$A$2:$A$42,0)),"ID?"))</f>
        <v/>
      </c>
      <c r="H345" s="22" t="str">
        <f aca="false">IF(E345="","",IFERROR(INDEX(02_INDICADORES!$D$2:$D$42,MATCH(E345,02_INDICADORES!$A$2:$A$42,0)),""))</f>
        <v/>
      </c>
      <c r="I345" s="9"/>
      <c r="J345" s="16" t="str">
        <f aca="false">IF(OR(I345="",H345=""),"",I345*H345)</f>
        <v/>
      </c>
      <c r="K345" s="9"/>
      <c r="L345" s="9"/>
      <c r="M345" s="9"/>
    </row>
    <row r="346" customFormat="false" ht="15" hidden="false" customHeight="false" outlineLevel="0" collapsed="false">
      <c r="A346" s="9"/>
      <c r="B346" s="9"/>
      <c r="C346" s="11"/>
      <c r="D346" s="9"/>
      <c r="E346" s="9"/>
      <c r="F346" s="22" t="str">
        <f aca="false">IF(E346="","",IFERROR(INDEX(02_INDICADORES!$B$2:$B$42,MATCH(E346,02_INDICADORES!$A$2:$A$42,0)),"ID?"))</f>
        <v/>
      </c>
      <c r="G346" s="21" t="str">
        <f aca="false">IF(E346="","",IFERROR(INDEX(02_INDICADORES!$C$2:$C$42,MATCH(E346,02_INDICADORES!$A$2:$A$42,0)),"ID?"))</f>
        <v/>
      </c>
      <c r="H346" s="22" t="str">
        <f aca="false">IF(E346="","",IFERROR(INDEX(02_INDICADORES!$D$2:$D$42,MATCH(E346,02_INDICADORES!$A$2:$A$42,0)),""))</f>
        <v/>
      </c>
      <c r="I346" s="9"/>
      <c r="J346" s="16" t="str">
        <f aca="false">IF(OR(I346="",H346=""),"",I346*H346)</f>
        <v/>
      </c>
      <c r="K346" s="9"/>
      <c r="L346" s="9"/>
      <c r="M346" s="9"/>
    </row>
    <row r="347" customFormat="false" ht="15" hidden="false" customHeight="false" outlineLevel="0" collapsed="false">
      <c r="A347" s="9"/>
      <c r="B347" s="9"/>
      <c r="C347" s="11"/>
      <c r="D347" s="9"/>
      <c r="E347" s="9"/>
      <c r="F347" s="22" t="str">
        <f aca="false">IF(E347="","",IFERROR(INDEX(02_INDICADORES!$B$2:$B$42,MATCH(E347,02_INDICADORES!$A$2:$A$42,0)),"ID?"))</f>
        <v/>
      </c>
      <c r="G347" s="21" t="str">
        <f aca="false">IF(E347="","",IFERROR(INDEX(02_INDICADORES!$C$2:$C$42,MATCH(E347,02_INDICADORES!$A$2:$A$42,0)),"ID?"))</f>
        <v/>
      </c>
      <c r="H347" s="22" t="str">
        <f aca="false">IF(E347="","",IFERROR(INDEX(02_INDICADORES!$D$2:$D$42,MATCH(E347,02_INDICADORES!$A$2:$A$42,0)),""))</f>
        <v/>
      </c>
      <c r="I347" s="9"/>
      <c r="J347" s="16" t="str">
        <f aca="false">IF(OR(I347="",H347=""),"",I347*H347)</f>
        <v/>
      </c>
      <c r="K347" s="9"/>
      <c r="L347" s="9"/>
      <c r="M347" s="9"/>
    </row>
    <row r="348" customFormat="false" ht="15" hidden="false" customHeight="false" outlineLevel="0" collapsed="false">
      <c r="A348" s="9"/>
      <c r="B348" s="9"/>
      <c r="C348" s="11"/>
      <c r="D348" s="9"/>
      <c r="E348" s="9"/>
      <c r="F348" s="22" t="str">
        <f aca="false">IF(E348="","",IFERROR(INDEX(02_INDICADORES!$B$2:$B$42,MATCH(E348,02_INDICADORES!$A$2:$A$42,0)),"ID?"))</f>
        <v/>
      </c>
      <c r="G348" s="21" t="str">
        <f aca="false">IF(E348="","",IFERROR(INDEX(02_INDICADORES!$C$2:$C$42,MATCH(E348,02_INDICADORES!$A$2:$A$42,0)),"ID?"))</f>
        <v/>
      </c>
      <c r="H348" s="22" t="str">
        <f aca="false">IF(E348="","",IFERROR(INDEX(02_INDICADORES!$D$2:$D$42,MATCH(E348,02_INDICADORES!$A$2:$A$42,0)),""))</f>
        <v/>
      </c>
      <c r="I348" s="9"/>
      <c r="J348" s="16" t="str">
        <f aca="false">IF(OR(I348="",H348=""),"",I348*H348)</f>
        <v/>
      </c>
      <c r="K348" s="9"/>
      <c r="L348" s="9"/>
      <c r="M348" s="9"/>
    </row>
    <row r="349" customFormat="false" ht="15" hidden="false" customHeight="false" outlineLevel="0" collapsed="false">
      <c r="A349" s="9"/>
      <c r="B349" s="9"/>
      <c r="C349" s="11"/>
      <c r="D349" s="9"/>
      <c r="E349" s="9"/>
      <c r="F349" s="22" t="str">
        <f aca="false">IF(E349="","",IFERROR(INDEX(02_INDICADORES!$B$2:$B$42,MATCH(E349,02_INDICADORES!$A$2:$A$42,0)),"ID?"))</f>
        <v/>
      </c>
      <c r="G349" s="21" t="str">
        <f aca="false">IF(E349="","",IFERROR(INDEX(02_INDICADORES!$C$2:$C$42,MATCH(E349,02_INDICADORES!$A$2:$A$42,0)),"ID?"))</f>
        <v/>
      </c>
      <c r="H349" s="22" t="str">
        <f aca="false">IF(E349="","",IFERROR(INDEX(02_INDICADORES!$D$2:$D$42,MATCH(E349,02_INDICADORES!$A$2:$A$42,0)),""))</f>
        <v/>
      </c>
      <c r="I349" s="9"/>
      <c r="J349" s="16" t="str">
        <f aca="false">IF(OR(I349="",H349=""),"",I349*H349)</f>
        <v/>
      </c>
      <c r="K349" s="9"/>
      <c r="L349" s="9"/>
      <c r="M349" s="9"/>
    </row>
    <row r="350" customFormat="false" ht="15" hidden="false" customHeight="false" outlineLevel="0" collapsed="false">
      <c r="A350" s="9"/>
      <c r="B350" s="9"/>
      <c r="C350" s="11"/>
      <c r="D350" s="9"/>
      <c r="E350" s="9"/>
      <c r="F350" s="22" t="str">
        <f aca="false">IF(E350="","",IFERROR(INDEX(02_INDICADORES!$B$2:$B$42,MATCH(E350,02_INDICADORES!$A$2:$A$42,0)),"ID?"))</f>
        <v/>
      </c>
      <c r="G350" s="21" t="str">
        <f aca="false">IF(E350="","",IFERROR(INDEX(02_INDICADORES!$C$2:$C$42,MATCH(E350,02_INDICADORES!$A$2:$A$42,0)),"ID?"))</f>
        <v/>
      </c>
      <c r="H350" s="22" t="str">
        <f aca="false">IF(E350="","",IFERROR(INDEX(02_INDICADORES!$D$2:$D$42,MATCH(E350,02_INDICADORES!$A$2:$A$42,0)),""))</f>
        <v/>
      </c>
      <c r="I350" s="9"/>
      <c r="J350" s="16" t="str">
        <f aca="false">IF(OR(I350="",H350=""),"",I350*H350)</f>
        <v/>
      </c>
      <c r="K350" s="9"/>
      <c r="L350" s="9"/>
      <c r="M350" s="9"/>
    </row>
    <row r="351" customFormat="false" ht="15" hidden="false" customHeight="false" outlineLevel="0" collapsed="false">
      <c r="A351" s="9"/>
      <c r="B351" s="9"/>
      <c r="C351" s="11"/>
      <c r="D351" s="9"/>
      <c r="E351" s="9"/>
      <c r="F351" s="22" t="str">
        <f aca="false">IF(E351="","",IFERROR(INDEX(02_INDICADORES!$B$2:$B$42,MATCH(E351,02_INDICADORES!$A$2:$A$42,0)),"ID?"))</f>
        <v/>
      </c>
      <c r="G351" s="21" t="str">
        <f aca="false">IF(E351="","",IFERROR(INDEX(02_INDICADORES!$C$2:$C$42,MATCH(E351,02_INDICADORES!$A$2:$A$42,0)),"ID?"))</f>
        <v/>
      </c>
      <c r="H351" s="22" t="str">
        <f aca="false">IF(E351="","",IFERROR(INDEX(02_INDICADORES!$D$2:$D$42,MATCH(E351,02_INDICADORES!$A$2:$A$42,0)),""))</f>
        <v/>
      </c>
      <c r="I351" s="9"/>
      <c r="J351" s="16" t="str">
        <f aca="false">IF(OR(I351="",H351=""),"",I351*H351)</f>
        <v/>
      </c>
      <c r="K351" s="9"/>
      <c r="L351" s="9"/>
      <c r="M351" s="9"/>
    </row>
    <row r="352" customFormat="false" ht="15" hidden="false" customHeight="false" outlineLevel="0" collapsed="false">
      <c r="A352" s="9"/>
      <c r="B352" s="9"/>
      <c r="C352" s="11"/>
      <c r="D352" s="9"/>
      <c r="E352" s="9"/>
      <c r="F352" s="22" t="str">
        <f aca="false">IF(E352="","",IFERROR(INDEX(02_INDICADORES!$B$2:$B$42,MATCH(E352,02_INDICADORES!$A$2:$A$42,0)),"ID?"))</f>
        <v/>
      </c>
      <c r="G352" s="21" t="str">
        <f aca="false">IF(E352="","",IFERROR(INDEX(02_INDICADORES!$C$2:$C$42,MATCH(E352,02_INDICADORES!$A$2:$A$42,0)),"ID?"))</f>
        <v/>
      </c>
      <c r="H352" s="22" t="str">
        <f aca="false">IF(E352="","",IFERROR(INDEX(02_INDICADORES!$D$2:$D$42,MATCH(E352,02_INDICADORES!$A$2:$A$42,0)),""))</f>
        <v/>
      </c>
      <c r="I352" s="9"/>
      <c r="J352" s="16" t="str">
        <f aca="false">IF(OR(I352="",H352=""),"",I352*H352)</f>
        <v/>
      </c>
      <c r="K352" s="9"/>
      <c r="L352" s="9"/>
      <c r="M352" s="9"/>
    </row>
    <row r="353" customFormat="false" ht="15" hidden="false" customHeight="false" outlineLevel="0" collapsed="false">
      <c r="A353" s="9"/>
      <c r="B353" s="9"/>
      <c r="C353" s="11"/>
      <c r="D353" s="9"/>
      <c r="E353" s="9"/>
      <c r="F353" s="22" t="str">
        <f aca="false">IF(E353="","",IFERROR(INDEX(02_INDICADORES!$B$2:$B$42,MATCH(E353,02_INDICADORES!$A$2:$A$42,0)),"ID?"))</f>
        <v/>
      </c>
      <c r="G353" s="21" t="str">
        <f aca="false">IF(E353="","",IFERROR(INDEX(02_INDICADORES!$C$2:$C$42,MATCH(E353,02_INDICADORES!$A$2:$A$42,0)),"ID?"))</f>
        <v/>
      </c>
      <c r="H353" s="22" t="str">
        <f aca="false">IF(E353="","",IFERROR(INDEX(02_INDICADORES!$D$2:$D$42,MATCH(E353,02_INDICADORES!$A$2:$A$42,0)),""))</f>
        <v/>
      </c>
      <c r="I353" s="9"/>
      <c r="J353" s="16" t="str">
        <f aca="false">IF(OR(I353="",H353=""),"",I353*H353)</f>
        <v/>
      </c>
      <c r="K353" s="9"/>
      <c r="L353" s="9"/>
      <c r="M353" s="9"/>
    </row>
    <row r="354" customFormat="false" ht="15" hidden="false" customHeight="false" outlineLevel="0" collapsed="false">
      <c r="A354" s="9"/>
      <c r="B354" s="9"/>
      <c r="C354" s="11"/>
      <c r="D354" s="9"/>
      <c r="E354" s="9"/>
      <c r="F354" s="22" t="str">
        <f aca="false">IF(E354="","",IFERROR(INDEX(02_INDICADORES!$B$2:$B$42,MATCH(E354,02_INDICADORES!$A$2:$A$42,0)),"ID?"))</f>
        <v/>
      </c>
      <c r="G354" s="21" t="str">
        <f aca="false">IF(E354="","",IFERROR(INDEX(02_INDICADORES!$C$2:$C$42,MATCH(E354,02_INDICADORES!$A$2:$A$42,0)),"ID?"))</f>
        <v/>
      </c>
      <c r="H354" s="22" t="str">
        <f aca="false">IF(E354="","",IFERROR(INDEX(02_INDICADORES!$D$2:$D$42,MATCH(E354,02_INDICADORES!$A$2:$A$42,0)),""))</f>
        <v/>
      </c>
      <c r="I354" s="9"/>
      <c r="J354" s="16" t="str">
        <f aca="false">IF(OR(I354="",H354=""),"",I354*H354)</f>
        <v/>
      </c>
      <c r="K354" s="9"/>
      <c r="L354" s="9"/>
      <c r="M354" s="9"/>
    </row>
    <row r="355" customFormat="false" ht="15" hidden="false" customHeight="false" outlineLevel="0" collapsed="false">
      <c r="A355" s="9"/>
      <c r="B355" s="9"/>
      <c r="C355" s="11"/>
      <c r="D355" s="9"/>
      <c r="E355" s="9"/>
      <c r="F355" s="22" t="str">
        <f aca="false">IF(E355="","",IFERROR(INDEX(02_INDICADORES!$B$2:$B$42,MATCH(E355,02_INDICADORES!$A$2:$A$42,0)),"ID?"))</f>
        <v/>
      </c>
      <c r="G355" s="21" t="str">
        <f aca="false">IF(E355="","",IFERROR(INDEX(02_INDICADORES!$C$2:$C$42,MATCH(E355,02_INDICADORES!$A$2:$A$42,0)),"ID?"))</f>
        <v/>
      </c>
      <c r="H355" s="22" t="str">
        <f aca="false">IF(E355="","",IFERROR(INDEX(02_INDICADORES!$D$2:$D$42,MATCH(E355,02_INDICADORES!$A$2:$A$42,0)),""))</f>
        <v/>
      </c>
      <c r="I355" s="9"/>
      <c r="J355" s="16" t="str">
        <f aca="false">IF(OR(I355="",H355=""),"",I355*H355)</f>
        <v/>
      </c>
      <c r="K355" s="9"/>
      <c r="L355" s="9"/>
      <c r="M355" s="9"/>
    </row>
    <row r="356" customFormat="false" ht="15" hidden="false" customHeight="false" outlineLevel="0" collapsed="false">
      <c r="A356" s="9"/>
      <c r="B356" s="9"/>
      <c r="C356" s="11"/>
      <c r="D356" s="9"/>
      <c r="E356" s="9"/>
      <c r="F356" s="22" t="str">
        <f aca="false">IF(E356="","",IFERROR(INDEX(02_INDICADORES!$B$2:$B$42,MATCH(E356,02_INDICADORES!$A$2:$A$42,0)),"ID?"))</f>
        <v/>
      </c>
      <c r="G356" s="21" t="str">
        <f aca="false">IF(E356="","",IFERROR(INDEX(02_INDICADORES!$C$2:$C$42,MATCH(E356,02_INDICADORES!$A$2:$A$42,0)),"ID?"))</f>
        <v/>
      </c>
      <c r="H356" s="22" t="str">
        <f aca="false">IF(E356="","",IFERROR(INDEX(02_INDICADORES!$D$2:$D$42,MATCH(E356,02_INDICADORES!$A$2:$A$42,0)),""))</f>
        <v/>
      </c>
      <c r="I356" s="9"/>
      <c r="J356" s="16" t="str">
        <f aca="false">IF(OR(I356="",H356=""),"",I356*H356)</f>
        <v/>
      </c>
      <c r="K356" s="9"/>
      <c r="L356" s="9"/>
      <c r="M356" s="9"/>
    </row>
    <row r="357" customFormat="false" ht="15" hidden="false" customHeight="false" outlineLevel="0" collapsed="false">
      <c r="A357" s="9"/>
      <c r="B357" s="9"/>
      <c r="C357" s="11"/>
      <c r="D357" s="9"/>
      <c r="E357" s="9"/>
      <c r="F357" s="22" t="str">
        <f aca="false">IF(E357="","",IFERROR(INDEX(02_INDICADORES!$B$2:$B$42,MATCH(E357,02_INDICADORES!$A$2:$A$42,0)),"ID?"))</f>
        <v/>
      </c>
      <c r="G357" s="21" t="str">
        <f aca="false">IF(E357="","",IFERROR(INDEX(02_INDICADORES!$C$2:$C$42,MATCH(E357,02_INDICADORES!$A$2:$A$42,0)),"ID?"))</f>
        <v/>
      </c>
      <c r="H357" s="22" t="str">
        <f aca="false">IF(E357="","",IFERROR(INDEX(02_INDICADORES!$D$2:$D$42,MATCH(E357,02_INDICADORES!$A$2:$A$42,0)),""))</f>
        <v/>
      </c>
      <c r="I357" s="9"/>
      <c r="J357" s="16" t="str">
        <f aca="false">IF(OR(I357="",H357=""),"",I357*H357)</f>
        <v/>
      </c>
      <c r="K357" s="9"/>
      <c r="L357" s="9"/>
      <c r="M357" s="9"/>
    </row>
    <row r="358" customFormat="false" ht="15" hidden="false" customHeight="false" outlineLevel="0" collapsed="false">
      <c r="A358" s="9"/>
      <c r="B358" s="9"/>
      <c r="C358" s="11"/>
      <c r="D358" s="9"/>
      <c r="E358" s="9"/>
      <c r="F358" s="22" t="str">
        <f aca="false">IF(E358="","",IFERROR(INDEX(02_INDICADORES!$B$2:$B$42,MATCH(E358,02_INDICADORES!$A$2:$A$42,0)),"ID?"))</f>
        <v/>
      </c>
      <c r="G358" s="21" t="str">
        <f aca="false">IF(E358="","",IFERROR(INDEX(02_INDICADORES!$C$2:$C$42,MATCH(E358,02_INDICADORES!$A$2:$A$42,0)),"ID?"))</f>
        <v/>
      </c>
      <c r="H358" s="22" t="str">
        <f aca="false">IF(E358="","",IFERROR(INDEX(02_INDICADORES!$D$2:$D$42,MATCH(E358,02_INDICADORES!$A$2:$A$42,0)),""))</f>
        <v/>
      </c>
      <c r="I358" s="9"/>
      <c r="J358" s="16" t="str">
        <f aca="false">IF(OR(I358="",H358=""),"",I358*H358)</f>
        <v/>
      </c>
      <c r="K358" s="9"/>
      <c r="L358" s="9"/>
      <c r="M358" s="9"/>
    </row>
    <row r="359" customFormat="false" ht="15" hidden="false" customHeight="false" outlineLevel="0" collapsed="false">
      <c r="A359" s="9"/>
      <c r="B359" s="9"/>
      <c r="C359" s="11"/>
      <c r="D359" s="9"/>
      <c r="E359" s="9"/>
      <c r="F359" s="22" t="str">
        <f aca="false">IF(E359="","",IFERROR(INDEX(02_INDICADORES!$B$2:$B$42,MATCH(E359,02_INDICADORES!$A$2:$A$42,0)),"ID?"))</f>
        <v/>
      </c>
      <c r="G359" s="21" t="str">
        <f aca="false">IF(E359="","",IFERROR(INDEX(02_INDICADORES!$C$2:$C$42,MATCH(E359,02_INDICADORES!$A$2:$A$42,0)),"ID?"))</f>
        <v/>
      </c>
      <c r="H359" s="22" t="str">
        <f aca="false">IF(E359="","",IFERROR(INDEX(02_INDICADORES!$D$2:$D$42,MATCH(E359,02_INDICADORES!$A$2:$A$42,0)),""))</f>
        <v/>
      </c>
      <c r="I359" s="9"/>
      <c r="J359" s="16" t="str">
        <f aca="false">IF(OR(I359="",H359=""),"",I359*H359)</f>
        <v/>
      </c>
      <c r="K359" s="9"/>
      <c r="L359" s="9"/>
      <c r="M359" s="9"/>
    </row>
    <row r="360" customFormat="false" ht="15" hidden="false" customHeight="false" outlineLevel="0" collapsed="false">
      <c r="A360" s="9"/>
      <c r="B360" s="9"/>
      <c r="C360" s="11"/>
      <c r="D360" s="9"/>
      <c r="E360" s="9"/>
      <c r="F360" s="22" t="str">
        <f aca="false">IF(E360="","",IFERROR(INDEX(02_INDICADORES!$B$2:$B$42,MATCH(E360,02_INDICADORES!$A$2:$A$42,0)),"ID?"))</f>
        <v/>
      </c>
      <c r="G360" s="21" t="str">
        <f aca="false">IF(E360="","",IFERROR(INDEX(02_INDICADORES!$C$2:$C$42,MATCH(E360,02_INDICADORES!$A$2:$A$42,0)),"ID?"))</f>
        <v/>
      </c>
      <c r="H360" s="22" t="str">
        <f aca="false">IF(E360="","",IFERROR(INDEX(02_INDICADORES!$D$2:$D$42,MATCH(E360,02_INDICADORES!$A$2:$A$42,0)),""))</f>
        <v/>
      </c>
      <c r="I360" s="9"/>
      <c r="J360" s="16" t="str">
        <f aca="false">IF(OR(I360="",H360=""),"",I360*H360)</f>
        <v/>
      </c>
      <c r="K360" s="9"/>
      <c r="L360" s="9"/>
      <c r="M360" s="9"/>
    </row>
    <row r="361" customFormat="false" ht="15" hidden="false" customHeight="false" outlineLevel="0" collapsed="false">
      <c r="A361" s="9"/>
      <c r="B361" s="9"/>
      <c r="C361" s="11"/>
      <c r="D361" s="9"/>
      <c r="E361" s="9"/>
      <c r="F361" s="22" t="str">
        <f aca="false">IF(E361="","",IFERROR(INDEX(02_INDICADORES!$B$2:$B$42,MATCH(E361,02_INDICADORES!$A$2:$A$42,0)),"ID?"))</f>
        <v/>
      </c>
      <c r="G361" s="21" t="str">
        <f aca="false">IF(E361="","",IFERROR(INDEX(02_INDICADORES!$C$2:$C$42,MATCH(E361,02_INDICADORES!$A$2:$A$42,0)),"ID?"))</f>
        <v/>
      </c>
      <c r="H361" s="22" t="str">
        <f aca="false">IF(E361="","",IFERROR(INDEX(02_INDICADORES!$D$2:$D$42,MATCH(E361,02_INDICADORES!$A$2:$A$42,0)),""))</f>
        <v/>
      </c>
      <c r="I361" s="9"/>
      <c r="J361" s="16" t="str">
        <f aca="false">IF(OR(I361="",H361=""),"",I361*H361)</f>
        <v/>
      </c>
      <c r="K361" s="9"/>
      <c r="L361" s="9"/>
      <c r="M361" s="9"/>
    </row>
    <row r="362" customFormat="false" ht="15" hidden="false" customHeight="false" outlineLevel="0" collapsed="false">
      <c r="A362" s="9"/>
      <c r="B362" s="9"/>
      <c r="C362" s="11"/>
      <c r="D362" s="9"/>
      <c r="E362" s="9"/>
      <c r="F362" s="22" t="str">
        <f aca="false">IF(E362="","",IFERROR(INDEX(02_INDICADORES!$B$2:$B$42,MATCH(E362,02_INDICADORES!$A$2:$A$42,0)),"ID?"))</f>
        <v/>
      </c>
      <c r="G362" s="21" t="str">
        <f aca="false">IF(E362="","",IFERROR(INDEX(02_INDICADORES!$C$2:$C$42,MATCH(E362,02_INDICADORES!$A$2:$A$42,0)),"ID?"))</f>
        <v/>
      </c>
      <c r="H362" s="22" t="str">
        <f aca="false">IF(E362="","",IFERROR(INDEX(02_INDICADORES!$D$2:$D$42,MATCH(E362,02_INDICADORES!$A$2:$A$42,0)),""))</f>
        <v/>
      </c>
      <c r="I362" s="9"/>
      <c r="J362" s="16" t="str">
        <f aca="false">IF(OR(I362="",H362=""),"",I362*H362)</f>
        <v/>
      </c>
      <c r="K362" s="9"/>
      <c r="L362" s="9"/>
      <c r="M362" s="9"/>
    </row>
    <row r="363" customFormat="false" ht="15" hidden="false" customHeight="false" outlineLevel="0" collapsed="false">
      <c r="A363" s="9"/>
      <c r="B363" s="9"/>
      <c r="C363" s="11"/>
      <c r="D363" s="9"/>
      <c r="E363" s="9"/>
      <c r="F363" s="22" t="str">
        <f aca="false">IF(E363="","",IFERROR(INDEX(02_INDICADORES!$B$2:$B$42,MATCH(E363,02_INDICADORES!$A$2:$A$42,0)),"ID?"))</f>
        <v/>
      </c>
      <c r="G363" s="21" t="str">
        <f aca="false">IF(E363="","",IFERROR(INDEX(02_INDICADORES!$C$2:$C$42,MATCH(E363,02_INDICADORES!$A$2:$A$42,0)),"ID?"))</f>
        <v/>
      </c>
      <c r="H363" s="22" t="str">
        <f aca="false">IF(E363="","",IFERROR(INDEX(02_INDICADORES!$D$2:$D$42,MATCH(E363,02_INDICADORES!$A$2:$A$42,0)),""))</f>
        <v/>
      </c>
      <c r="I363" s="9"/>
      <c r="J363" s="16" t="str">
        <f aca="false">IF(OR(I363="",H363=""),"",I363*H363)</f>
        <v/>
      </c>
      <c r="K363" s="9"/>
      <c r="L363" s="9"/>
      <c r="M363" s="9"/>
    </row>
    <row r="364" customFormat="false" ht="15" hidden="false" customHeight="false" outlineLevel="0" collapsed="false">
      <c r="A364" s="9"/>
      <c r="B364" s="9"/>
      <c r="C364" s="11"/>
      <c r="D364" s="9"/>
      <c r="E364" s="9"/>
      <c r="F364" s="22" t="str">
        <f aca="false">IF(E364="","",IFERROR(INDEX(02_INDICADORES!$B$2:$B$42,MATCH(E364,02_INDICADORES!$A$2:$A$42,0)),"ID?"))</f>
        <v/>
      </c>
      <c r="G364" s="21" t="str">
        <f aca="false">IF(E364="","",IFERROR(INDEX(02_INDICADORES!$C$2:$C$42,MATCH(E364,02_INDICADORES!$A$2:$A$42,0)),"ID?"))</f>
        <v/>
      </c>
      <c r="H364" s="22" t="str">
        <f aca="false">IF(E364="","",IFERROR(INDEX(02_INDICADORES!$D$2:$D$42,MATCH(E364,02_INDICADORES!$A$2:$A$42,0)),""))</f>
        <v/>
      </c>
      <c r="I364" s="9"/>
      <c r="J364" s="16" t="str">
        <f aca="false">IF(OR(I364="",H364=""),"",I364*H364)</f>
        <v/>
      </c>
      <c r="K364" s="9"/>
      <c r="L364" s="9"/>
      <c r="M364" s="9"/>
    </row>
    <row r="365" customFormat="false" ht="15" hidden="false" customHeight="false" outlineLevel="0" collapsed="false">
      <c r="A365" s="9"/>
      <c r="B365" s="9"/>
      <c r="C365" s="11"/>
      <c r="D365" s="9"/>
      <c r="E365" s="9"/>
      <c r="F365" s="22" t="str">
        <f aca="false">IF(E365="","",IFERROR(INDEX(02_INDICADORES!$B$2:$B$42,MATCH(E365,02_INDICADORES!$A$2:$A$42,0)),"ID?"))</f>
        <v/>
      </c>
      <c r="G365" s="21" t="str">
        <f aca="false">IF(E365="","",IFERROR(INDEX(02_INDICADORES!$C$2:$C$42,MATCH(E365,02_INDICADORES!$A$2:$A$42,0)),"ID?"))</f>
        <v/>
      </c>
      <c r="H365" s="22" t="str">
        <f aca="false">IF(E365="","",IFERROR(INDEX(02_INDICADORES!$D$2:$D$42,MATCH(E365,02_INDICADORES!$A$2:$A$42,0)),""))</f>
        <v/>
      </c>
      <c r="I365" s="9"/>
      <c r="J365" s="16" t="str">
        <f aca="false">IF(OR(I365="",H365=""),"",I365*H365)</f>
        <v/>
      </c>
      <c r="K365" s="9"/>
      <c r="L365" s="9"/>
      <c r="M365" s="9"/>
    </row>
    <row r="366" customFormat="false" ht="15" hidden="false" customHeight="false" outlineLevel="0" collapsed="false">
      <c r="A366" s="9"/>
      <c r="B366" s="9"/>
      <c r="C366" s="11"/>
      <c r="D366" s="9"/>
      <c r="E366" s="9"/>
      <c r="F366" s="22" t="str">
        <f aca="false">IF(E366="","",IFERROR(INDEX(02_INDICADORES!$B$2:$B$42,MATCH(E366,02_INDICADORES!$A$2:$A$42,0)),"ID?"))</f>
        <v/>
      </c>
      <c r="G366" s="21" t="str">
        <f aca="false">IF(E366="","",IFERROR(INDEX(02_INDICADORES!$C$2:$C$42,MATCH(E366,02_INDICADORES!$A$2:$A$42,0)),"ID?"))</f>
        <v/>
      </c>
      <c r="H366" s="22" t="str">
        <f aca="false">IF(E366="","",IFERROR(INDEX(02_INDICADORES!$D$2:$D$42,MATCH(E366,02_INDICADORES!$A$2:$A$42,0)),""))</f>
        <v/>
      </c>
      <c r="I366" s="9"/>
      <c r="J366" s="16" t="str">
        <f aca="false">IF(OR(I366="",H366=""),"",I366*H366)</f>
        <v/>
      </c>
      <c r="K366" s="9"/>
      <c r="L366" s="9"/>
      <c r="M366" s="9"/>
    </row>
    <row r="367" customFormat="false" ht="15" hidden="false" customHeight="false" outlineLevel="0" collapsed="false">
      <c r="A367" s="9"/>
      <c r="B367" s="9"/>
      <c r="C367" s="11"/>
      <c r="D367" s="9"/>
      <c r="E367" s="9"/>
      <c r="F367" s="22" t="str">
        <f aca="false">IF(E367="","",IFERROR(INDEX(02_INDICADORES!$B$2:$B$42,MATCH(E367,02_INDICADORES!$A$2:$A$42,0)),"ID?"))</f>
        <v/>
      </c>
      <c r="G367" s="21" t="str">
        <f aca="false">IF(E367="","",IFERROR(INDEX(02_INDICADORES!$C$2:$C$42,MATCH(E367,02_INDICADORES!$A$2:$A$42,0)),"ID?"))</f>
        <v/>
      </c>
      <c r="H367" s="22" t="str">
        <f aca="false">IF(E367="","",IFERROR(INDEX(02_INDICADORES!$D$2:$D$42,MATCH(E367,02_INDICADORES!$A$2:$A$42,0)),""))</f>
        <v/>
      </c>
      <c r="I367" s="9"/>
      <c r="J367" s="16" t="str">
        <f aca="false">IF(OR(I367="",H367=""),"",I367*H367)</f>
        <v/>
      </c>
      <c r="K367" s="9"/>
      <c r="L367" s="9"/>
      <c r="M367" s="9"/>
    </row>
    <row r="368" customFormat="false" ht="15" hidden="false" customHeight="false" outlineLevel="0" collapsed="false">
      <c r="A368" s="9"/>
      <c r="B368" s="9"/>
      <c r="C368" s="11"/>
      <c r="D368" s="9"/>
      <c r="E368" s="9"/>
      <c r="F368" s="22" t="str">
        <f aca="false">IF(E368="","",IFERROR(INDEX(02_INDICADORES!$B$2:$B$42,MATCH(E368,02_INDICADORES!$A$2:$A$42,0)),"ID?"))</f>
        <v/>
      </c>
      <c r="G368" s="21" t="str">
        <f aca="false">IF(E368="","",IFERROR(INDEX(02_INDICADORES!$C$2:$C$42,MATCH(E368,02_INDICADORES!$A$2:$A$42,0)),"ID?"))</f>
        <v/>
      </c>
      <c r="H368" s="22" t="str">
        <f aca="false">IF(E368="","",IFERROR(INDEX(02_INDICADORES!$D$2:$D$42,MATCH(E368,02_INDICADORES!$A$2:$A$42,0)),""))</f>
        <v/>
      </c>
      <c r="I368" s="9"/>
      <c r="J368" s="16" t="str">
        <f aca="false">IF(OR(I368="",H368=""),"",I368*H368)</f>
        <v/>
      </c>
      <c r="K368" s="9"/>
      <c r="L368" s="9"/>
      <c r="M368" s="9"/>
    </row>
    <row r="369" customFormat="false" ht="15" hidden="false" customHeight="false" outlineLevel="0" collapsed="false">
      <c r="A369" s="9"/>
      <c r="B369" s="9"/>
      <c r="C369" s="11"/>
      <c r="D369" s="9"/>
      <c r="E369" s="9"/>
      <c r="F369" s="22" t="str">
        <f aca="false">IF(E369="","",IFERROR(INDEX(02_INDICADORES!$B$2:$B$42,MATCH(E369,02_INDICADORES!$A$2:$A$42,0)),"ID?"))</f>
        <v/>
      </c>
      <c r="G369" s="21" t="str">
        <f aca="false">IF(E369="","",IFERROR(INDEX(02_INDICADORES!$C$2:$C$42,MATCH(E369,02_INDICADORES!$A$2:$A$42,0)),"ID?"))</f>
        <v/>
      </c>
      <c r="H369" s="22" t="str">
        <f aca="false">IF(E369="","",IFERROR(INDEX(02_INDICADORES!$D$2:$D$42,MATCH(E369,02_INDICADORES!$A$2:$A$42,0)),""))</f>
        <v/>
      </c>
      <c r="I369" s="9"/>
      <c r="J369" s="16" t="str">
        <f aca="false">IF(OR(I369="",H369=""),"",I369*H369)</f>
        <v/>
      </c>
      <c r="K369" s="9"/>
      <c r="L369" s="9"/>
      <c r="M369" s="9"/>
    </row>
    <row r="370" customFormat="false" ht="15" hidden="false" customHeight="false" outlineLevel="0" collapsed="false">
      <c r="A370" s="9"/>
      <c r="B370" s="9"/>
      <c r="C370" s="11"/>
      <c r="D370" s="9"/>
      <c r="E370" s="9"/>
      <c r="F370" s="22" t="str">
        <f aca="false">IF(E370="","",IFERROR(INDEX(02_INDICADORES!$B$2:$B$42,MATCH(E370,02_INDICADORES!$A$2:$A$42,0)),"ID?"))</f>
        <v/>
      </c>
      <c r="G370" s="21" t="str">
        <f aca="false">IF(E370="","",IFERROR(INDEX(02_INDICADORES!$C$2:$C$42,MATCH(E370,02_INDICADORES!$A$2:$A$42,0)),"ID?"))</f>
        <v/>
      </c>
      <c r="H370" s="22" t="str">
        <f aca="false">IF(E370="","",IFERROR(INDEX(02_INDICADORES!$D$2:$D$42,MATCH(E370,02_INDICADORES!$A$2:$A$42,0)),""))</f>
        <v/>
      </c>
      <c r="I370" s="9"/>
      <c r="J370" s="16" t="str">
        <f aca="false">IF(OR(I370="",H370=""),"",I370*H370)</f>
        <v/>
      </c>
      <c r="K370" s="9"/>
      <c r="L370" s="9"/>
      <c r="M370" s="9"/>
    </row>
    <row r="371" customFormat="false" ht="15" hidden="false" customHeight="false" outlineLevel="0" collapsed="false">
      <c r="A371" s="9"/>
      <c r="B371" s="9"/>
      <c r="C371" s="11"/>
      <c r="D371" s="9"/>
      <c r="E371" s="9"/>
      <c r="F371" s="22" t="str">
        <f aca="false">IF(E371="","",IFERROR(INDEX(02_INDICADORES!$B$2:$B$42,MATCH(E371,02_INDICADORES!$A$2:$A$42,0)),"ID?"))</f>
        <v/>
      </c>
      <c r="G371" s="21" t="str">
        <f aca="false">IF(E371="","",IFERROR(INDEX(02_INDICADORES!$C$2:$C$42,MATCH(E371,02_INDICADORES!$A$2:$A$42,0)),"ID?"))</f>
        <v/>
      </c>
      <c r="H371" s="22" t="str">
        <f aca="false">IF(E371="","",IFERROR(INDEX(02_INDICADORES!$D$2:$D$42,MATCH(E371,02_INDICADORES!$A$2:$A$42,0)),""))</f>
        <v/>
      </c>
      <c r="I371" s="9"/>
      <c r="J371" s="16" t="str">
        <f aca="false">IF(OR(I371="",H371=""),"",I371*H371)</f>
        <v/>
      </c>
      <c r="K371" s="9"/>
      <c r="L371" s="9"/>
      <c r="M371" s="9"/>
    </row>
    <row r="372" customFormat="false" ht="15" hidden="false" customHeight="false" outlineLevel="0" collapsed="false">
      <c r="A372" s="9"/>
      <c r="B372" s="9"/>
      <c r="C372" s="11"/>
      <c r="D372" s="9"/>
      <c r="E372" s="9"/>
      <c r="F372" s="22" t="str">
        <f aca="false">IF(E372="","",IFERROR(INDEX(02_INDICADORES!$B$2:$B$42,MATCH(E372,02_INDICADORES!$A$2:$A$42,0)),"ID?"))</f>
        <v/>
      </c>
      <c r="G372" s="21" t="str">
        <f aca="false">IF(E372="","",IFERROR(INDEX(02_INDICADORES!$C$2:$C$42,MATCH(E372,02_INDICADORES!$A$2:$A$42,0)),"ID?"))</f>
        <v/>
      </c>
      <c r="H372" s="22" t="str">
        <f aca="false">IF(E372="","",IFERROR(INDEX(02_INDICADORES!$D$2:$D$42,MATCH(E372,02_INDICADORES!$A$2:$A$42,0)),""))</f>
        <v/>
      </c>
      <c r="I372" s="9"/>
      <c r="J372" s="16" t="str">
        <f aca="false">IF(OR(I372="",H372=""),"",I372*H372)</f>
        <v/>
      </c>
      <c r="K372" s="9"/>
      <c r="L372" s="9"/>
      <c r="M372" s="9"/>
    </row>
    <row r="373" customFormat="false" ht="15" hidden="false" customHeight="false" outlineLevel="0" collapsed="false">
      <c r="A373" s="9"/>
      <c r="B373" s="9"/>
      <c r="C373" s="11"/>
      <c r="D373" s="9"/>
      <c r="E373" s="9"/>
      <c r="F373" s="22" t="str">
        <f aca="false">IF(E373="","",IFERROR(INDEX(02_INDICADORES!$B$2:$B$42,MATCH(E373,02_INDICADORES!$A$2:$A$42,0)),"ID?"))</f>
        <v/>
      </c>
      <c r="G373" s="21" t="str">
        <f aca="false">IF(E373="","",IFERROR(INDEX(02_INDICADORES!$C$2:$C$42,MATCH(E373,02_INDICADORES!$A$2:$A$42,0)),"ID?"))</f>
        <v/>
      </c>
      <c r="H373" s="22" t="str">
        <f aca="false">IF(E373="","",IFERROR(INDEX(02_INDICADORES!$D$2:$D$42,MATCH(E373,02_INDICADORES!$A$2:$A$42,0)),""))</f>
        <v/>
      </c>
      <c r="I373" s="9"/>
      <c r="J373" s="16" t="str">
        <f aca="false">IF(OR(I373="",H373=""),"",I373*H373)</f>
        <v/>
      </c>
      <c r="K373" s="9"/>
      <c r="L373" s="9"/>
      <c r="M373" s="9"/>
    </row>
    <row r="374" customFormat="false" ht="15" hidden="false" customHeight="false" outlineLevel="0" collapsed="false">
      <c r="A374" s="9"/>
      <c r="B374" s="9"/>
      <c r="C374" s="11"/>
      <c r="D374" s="9"/>
      <c r="E374" s="9"/>
      <c r="F374" s="22" t="str">
        <f aca="false">IF(E374="","",IFERROR(INDEX(02_INDICADORES!$B$2:$B$42,MATCH(E374,02_INDICADORES!$A$2:$A$42,0)),"ID?"))</f>
        <v/>
      </c>
      <c r="G374" s="21" t="str">
        <f aca="false">IF(E374="","",IFERROR(INDEX(02_INDICADORES!$C$2:$C$42,MATCH(E374,02_INDICADORES!$A$2:$A$42,0)),"ID?"))</f>
        <v/>
      </c>
      <c r="H374" s="22" t="str">
        <f aca="false">IF(E374="","",IFERROR(INDEX(02_INDICADORES!$D$2:$D$42,MATCH(E374,02_INDICADORES!$A$2:$A$42,0)),""))</f>
        <v/>
      </c>
      <c r="I374" s="9"/>
      <c r="J374" s="16" t="str">
        <f aca="false">IF(OR(I374="",H374=""),"",I374*H374)</f>
        <v/>
      </c>
      <c r="K374" s="9"/>
      <c r="L374" s="9"/>
      <c r="M374" s="9"/>
    </row>
    <row r="375" customFormat="false" ht="15" hidden="false" customHeight="false" outlineLevel="0" collapsed="false">
      <c r="A375" s="9"/>
      <c r="B375" s="9"/>
      <c r="C375" s="11"/>
      <c r="D375" s="9"/>
      <c r="E375" s="9"/>
      <c r="F375" s="22" t="str">
        <f aca="false">IF(E375="","",IFERROR(INDEX(02_INDICADORES!$B$2:$B$42,MATCH(E375,02_INDICADORES!$A$2:$A$42,0)),"ID?"))</f>
        <v/>
      </c>
      <c r="G375" s="21" t="str">
        <f aca="false">IF(E375="","",IFERROR(INDEX(02_INDICADORES!$C$2:$C$42,MATCH(E375,02_INDICADORES!$A$2:$A$42,0)),"ID?"))</f>
        <v/>
      </c>
      <c r="H375" s="22" t="str">
        <f aca="false">IF(E375="","",IFERROR(INDEX(02_INDICADORES!$D$2:$D$42,MATCH(E375,02_INDICADORES!$A$2:$A$42,0)),""))</f>
        <v/>
      </c>
      <c r="I375" s="9"/>
      <c r="J375" s="16" t="str">
        <f aca="false">IF(OR(I375="",H375=""),"",I375*H375)</f>
        <v/>
      </c>
      <c r="K375" s="9"/>
      <c r="L375" s="9"/>
      <c r="M375" s="9"/>
    </row>
    <row r="376" customFormat="false" ht="15" hidden="false" customHeight="false" outlineLevel="0" collapsed="false">
      <c r="A376" s="9"/>
      <c r="B376" s="9"/>
      <c r="C376" s="11"/>
      <c r="D376" s="9"/>
      <c r="E376" s="9"/>
      <c r="F376" s="22" t="str">
        <f aca="false">IF(E376="","",IFERROR(INDEX(02_INDICADORES!$B$2:$B$42,MATCH(E376,02_INDICADORES!$A$2:$A$42,0)),"ID?"))</f>
        <v/>
      </c>
      <c r="G376" s="21" t="str">
        <f aca="false">IF(E376="","",IFERROR(INDEX(02_INDICADORES!$C$2:$C$42,MATCH(E376,02_INDICADORES!$A$2:$A$42,0)),"ID?"))</f>
        <v/>
      </c>
      <c r="H376" s="22" t="str">
        <f aca="false">IF(E376="","",IFERROR(INDEX(02_INDICADORES!$D$2:$D$42,MATCH(E376,02_INDICADORES!$A$2:$A$42,0)),""))</f>
        <v/>
      </c>
      <c r="I376" s="9"/>
      <c r="J376" s="16" t="str">
        <f aca="false">IF(OR(I376="",H376=""),"",I376*H376)</f>
        <v/>
      </c>
      <c r="K376" s="9"/>
      <c r="L376" s="9"/>
      <c r="M376" s="9"/>
    </row>
    <row r="377" customFormat="false" ht="15" hidden="false" customHeight="false" outlineLevel="0" collapsed="false">
      <c r="A377" s="9"/>
      <c r="B377" s="9"/>
      <c r="C377" s="11"/>
      <c r="D377" s="9"/>
      <c r="E377" s="9"/>
      <c r="F377" s="22" t="str">
        <f aca="false">IF(E377="","",IFERROR(INDEX(02_INDICADORES!$B$2:$B$42,MATCH(E377,02_INDICADORES!$A$2:$A$42,0)),"ID?"))</f>
        <v/>
      </c>
      <c r="G377" s="21" t="str">
        <f aca="false">IF(E377="","",IFERROR(INDEX(02_INDICADORES!$C$2:$C$42,MATCH(E377,02_INDICADORES!$A$2:$A$42,0)),"ID?"))</f>
        <v/>
      </c>
      <c r="H377" s="22" t="str">
        <f aca="false">IF(E377="","",IFERROR(INDEX(02_INDICADORES!$D$2:$D$42,MATCH(E377,02_INDICADORES!$A$2:$A$42,0)),""))</f>
        <v/>
      </c>
      <c r="I377" s="9"/>
      <c r="J377" s="16" t="str">
        <f aca="false">IF(OR(I377="",H377=""),"",I377*H377)</f>
        <v/>
      </c>
      <c r="K377" s="9"/>
      <c r="L377" s="9"/>
      <c r="M377" s="9"/>
    </row>
    <row r="378" customFormat="false" ht="15" hidden="false" customHeight="false" outlineLevel="0" collapsed="false">
      <c r="A378" s="9"/>
      <c r="B378" s="9"/>
      <c r="C378" s="11"/>
      <c r="D378" s="9"/>
      <c r="E378" s="9"/>
      <c r="F378" s="22" t="str">
        <f aca="false">IF(E378="","",IFERROR(INDEX(02_INDICADORES!$B$2:$B$42,MATCH(E378,02_INDICADORES!$A$2:$A$42,0)),"ID?"))</f>
        <v/>
      </c>
      <c r="G378" s="21" t="str">
        <f aca="false">IF(E378="","",IFERROR(INDEX(02_INDICADORES!$C$2:$C$42,MATCH(E378,02_INDICADORES!$A$2:$A$42,0)),"ID?"))</f>
        <v/>
      </c>
      <c r="H378" s="22" t="str">
        <f aca="false">IF(E378="","",IFERROR(INDEX(02_INDICADORES!$D$2:$D$42,MATCH(E378,02_INDICADORES!$A$2:$A$42,0)),""))</f>
        <v/>
      </c>
      <c r="I378" s="9"/>
      <c r="J378" s="16" t="str">
        <f aca="false">IF(OR(I378="",H378=""),"",I378*H378)</f>
        <v/>
      </c>
      <c r="K378" s="9"/>
      <c r="L378" s="9"/>
      <c r="M378" s="9"/>
    </row>
    <row r="379" customFormat="false" ht="15" hidden="false" customHeight="false" outlineLevel="0" collapsed="false">
      <c r="A379" s="9"/>
      <c r="B379" s="9"/>
      <c r="C379" s="11"/>
      <c r="D379" s="9"/>
      <c r="E379" s="9"/>
      <c r="F379" s="22" t="str">
        <f aca="false">IF(E379="","",IFERROR(INDEX(02_INDICADORES!$B$2:$B$42,MATCH(E379,02_INDICADORES!$A$2:$A$42,0)),"ID?"))</f>
        <v/>
      </c>
      <c r="G379" s="21" t="str">
        <f aca="false">IF(E379="","",IFERROR(INDEX(02_INDICADORES!$C$2:$C$42,MATCH(E379,02_INDICADORES!$A$2:$A$42,0)),"ID?"))</f>
        <v/>
      </c>
      <c r="H379" s="22" t="str">
        <f aca="false">IF(E379="","",IFERROR(INDEX(02_INDICADORES!$D$2:$D$42,MATCH(E379,02_INDICADORES!$A$2:$A$42,0)),""))</f>
        <v/>
      </c>
      <c r="I379" s="9"/>
      <c r="J379" s="16" t="str">
        <f aca="false">IF(OR(I379="",H379=""),"",I379*H379)</f>
        <v/>
      </c>
      <c r="K379" s="9"/>
      <c r="L379" s="9"/>
      <c r="M379" s="9"/>
    </row>
    <row r="380" customFormat="false" ht="15" hidden="false" customHeight="false" outlineLevel="0" collapsed="false">
      <c r="A380" s="9"/>
      <c r="B380" s="9"/>
      <c r="C380" s="11"/>
      <c r="D380" s="9"/>
      <c r="E380" s="9"/>
      <c r="F380" s="22" t="str">
        <f aca="false">IF(E380="","",IFERROR(INDEX(02_INDICADORES!$B$2:$B$42,MATCH(E380,02_INDICADORES!$A$2:$A$42,0)),"ID?"))</f>
        <v/>
      </c>
      <c r="G380" s="21" t="str">
        <f aca="false">IF(E380="","",IFERROR(INDEX(02_INDICADORES!$C$2:$C$42,MATCH(E380,02_INDICADORES!$A$2:$A$42,0)),"ID?"))</f>
        <v/>
      </c>
      <c r="H380" s="22" t="str">
        <f aca="false">IF(E380="","",IFERROR(INDEX(02_INDICADORES!$D$2:$D$42,MATCH(E380,02_INDICADORES!$A$2:$A$42,0)),""))</f>
        <v/>
      </c>
      <c r="I380" s="9"/>
      <c r="J380" s="16" t="str">
        <f aca="false">IF(OR(I380="",H380=""),"",I380*H380)</f>
        <v/>
      </c>
      <c r="K380" s="9"/>
      <c r="L380" s="9"/>
      <c r="M380" s="9"/>
    </row>
    <row r="381" customFormat="false" ht="15" hidden="false" customHeight="false" outlineLevel="0" collapsed="false">
      <c r="A381" s="9"/>
      <c r="B381" s="9"/>
      <c r="C381" s="11"/>
      <c r="D381" s="9"/>
      <c r="E381" s="9"/>
      <c r="F381" s="22" t="str">
        <f aca="false">IF(E381="","",IFERROR(INDEX(02_INDICADORES!$B$2:$B$42,MATCH(E381,02_INDICADORES!$A$2:$A$42,0)),"ID?"))</f>
        <v/>
      </c>
      <c r="G381" s="21" t="str">
        <f aca="false">IF(E381="","",IFERROR(INDEX(02_INDICADORES!$C$2:$C$42,MATCH(E381,02_INDICADORES!$A$2:$A$42,0)),"ID?"))</f>
        <v/>
      </c>
      <c r="H381" s="22" t="str">
        <f aca="false">IF(E381="","",IFERROR(INDEX(02_INDICADORES!$D$2:$D$42,MATCH(E381,02_INDICADORES!$A$2:$A$42,0)),""))</f>
        <v/>
      </c>
      <c r="I381" s="9"/>
      <c r="J381" s="16" t="str">
        <f aca="false">IF(OR(I381="",H381=""),"",I381*H381)</f>
        <v/>
      </c>
      <c r="K381" s="9"/>
      <c r="L381" s="9"/>
      <c r="M381" s="9"/>
    </row>
    <row r="382" customFormat="false" ht="15" hidden="false" customHeight="false" outlineLevel="0" collapsed="false">
      <c r="A382" s="9"/>
      <c r="B382" s="9"/>
      <c r="C382" s="11"/>
      <c r="D382" s="9"/>
      <c r="E382" s="9"/>
      <c r="F382" s="22" t="str">
        <f aca="false">IF(E382="","",IFERROR(INDEX(02_INDICADORES!$B$2:$B$42,MATCH(E382,02_INDICADORES!$A$2:$A$42,0)),"ID?"))</f>
        <v/>
      </c>
      <c r="G382" s="21" t="str">
        <f aca="false">IF(E382="","",IFERROR(INDEX(02_INDICADORES!$C$2:$C$42,MATCH(E382,02_INDICADORES!$A$2:$A$42,0)),"ID?"))</f>
        <v/>
      </c>
      <c r="H382" s="22" t="str">
        <f aca="false">IF(E382="","",IFERROR(INDEX(02_INDICADORES!$D$2:$D$42,MATCH(E382,02_INDICADORES!$A$2:$A$42,0)),""))</f>
        <v/>
      </c>
      <c r="I382" s="9"/>
      <c r="J382" s="16" t="str">
        <f aca="false">IF(OR(I382="",H382=""),"",I382*H382)</f>
        <v/>
      </c>
      <c r="K382" s="9"/>
      <c r="L382" s="9"/>
      <c r="M382" s="9"/>
    </row>
    <row r="383" customFormat="false" ht="15" hidden="false" customHeight="false" outlineLevel="0" collapsed="false">
      <c r="A383" s="9"/>
      <c r="B383" s="9"/>
      <c r="C383" s="11"/>
      <c r="D383" s="9"/>
      <c r="E383" s="9"/>
      <c r="F383" s="22" t="str">
        <f aca="false">IF(E383="","",IFERROR(INDEX(02_INDICADORES!$B$2:$B$42,MATCH(E383,02_INDICADORES!$A$2:$A$42,0)),"ID?"))</f>
        <v/>
      </c>
      <c r="G383" s="21" t="str">
        <f aca="false">IF(E383="","",IFERROR(INDEX(02_INDICADORES!$C$2:$C$42,MATCH(E383,02_INDICADORES!$A$2:$A$42,0)),"ID?"))</f>
        <v/>
      </c>
      <c r="H383" s="22" t="str">
        <f aca="false">IF(E383="","",IFERROR(INDEX(02_INDICADORES!$D$2:$D$42,MATCH(E383,02_INDICADORES!$A$2:$A$42,0)),""))</f>
        <v/>
      </c>
      <c r="I383" s="9"/>
      <c r="J383" s="16" t="str">
        <f aca="false">IF(OR(I383="",H383=""),"",I383*H383)</f>
        <v/>
      </c>
      <c r="K383" s="9"/>
      <c r="L383" s="9"/>
      <c r="M383" s="9"/>
    </row>
    <row r="384" customFormat="false" ht="15" hidden="false" customHeight="false" outlineLevel="0" collapsed="false">
      <c r="A384" s="9"/>
      <c r="B384" s="9"/>
      <c r="C384" s="11"/>
      <c r="D384" s="9"/>
      <c r="E384" s="9"/>
      <c r="F384" s="22" t="str">
        <f aca="false">IF(E384="","",IFERROR(INDEX(02_INDICADORES!$B$2:$B$42,MATCH(E384,02_INDICADORES!$A$2:$A$42,0)),"ID?"))</f>
        <v/>
      </c>
      <c r="G384" s="21" t="str">
        <f aca="false">IF(E384="","",IFERROR(INDEX(02_INDICADORES!$C$2:$C$42,MATCH(E384,02_INDICADORES!$A$2:$A$42,0)),"ID?"))</f>
        <v/>
      </c>
      <c r="H384" s="22" t="str">
        <f aca="false">IF(E384="","",IFERROR(INDEX(02_INDICADORES!$D$2:$D$42,MATCH(E384,02_INDICADORES!$A$2:$A$42,0)),""))</f>
        <v/>
      </c>
      <c r="I384" s="9"/>
      <c r="J384" s="16" t="str">
        <f aca="false">IF(OR(I384="",H384=""),"",I384*H384)</f>
        <v/>
      </c>
      <c r="K384" s="9"/>
      <c r="L384" s="9"/>
      <c r="M384" s="9"/>
    </row>
    <row r="385" customFormat="false" ht="15" hidden="false" customHeight="false" outlineLevel="0" collapsed="false">
      <c r="A385" s="9"/>
      <c r="B385" s="9"/>
      <c r="C385" s="11"/>
      <c r="D385" s="9"/>
      <c r="E385" s="9"/>
      <c r="F385" s="22" t="str">
        <f aca="false">IF(E385="","",IFERROR(INDEX(02_INDICADORES!$B$2:$B$42,MATCH(E385,02_INDICADORES!$A$2:$A$42,0)),"ID?"))</f>
        <v/>
      </c>
      <c r="G385" s="21" t="str">
        <f aca="false">IF(E385="","",IFERROR(INDEX(02_INDICADORES!$C$2:$C$42,MATCH(E385,02_INDICADORES!$A$2:$A$42,0)),"ID?"))</f>
        <v/>
      </c>
      <c r="H385" s="22" t="str">
        <f aca="false">IF(E385="","",IFERROR(INDEX(02_INDICADORES!$D$2:$D$42,MATCH(E385,02_INDICADORES!$A$2:$A$42,0)),""))</f>
        <v/>
      </c>
      <c r="I385" s="9"/>
      <c r="J385" s="16" t="str">
        <f aca="false">IF(OR(I385="",H385=""),"",I385*H385)</f>
        <v/>
      </c>
      <c r="K385" s="9"/>
      <c r="L385" s="9"/>
      <c r="M385" s="9"/>
    </row>
    <row r="386" customFormat="false" ht="15" hidden="false" customHeight="false" outlineLevel="0" collapsed="false">
      <c r="A386" s="9"/>
      <c r="B386" s="9"/>
      <c r="C386" s="11"/>
      <c r="D386" s="9"/>
      <c r="E386" s="9"/>
      <c r="F386" s="22" t="str">
        <f aca="false">IF(E386="","",IFERROR(INDEX(02_INDICADORES!$B$2:$B$42,MATCH(E386,02_INDICADORES!$A$2:$A$42,0)),"ID?"))</f>
        <v/>
      </c>
      <c r="G386" s="21" t="str">
        <f aca="false">IF(E386="","",IFERROR(INDEX(02_INDICADORES!$C$2:$C$42,MATCH(E386,02_INDICADORES!$A$2:$A$42,0)),"ID?"))</f>
        <v/>
      </c>
      <c r="H386" s="22" t="str">
        <f aca="false">IF(E386="","",IFERROR(INDEX(02_INDICADORES!$D$2:$D$42,MATCH(E386,02_INDICADORES!$A$2:$A$42,0)),""))</f>
        <v/>
      </c>
      <c r="I386" s="9"/>
      <c r="J386" s="16" t="str">
        <f aca="false">IF(OR(I386="",H386=""),"",I386*H386)</f>
        <v/>
      </c>
      <c r="K386" s="9"/>
      <c r="L386" s="9"/>
      <c r="M386" s="9"/>
    </row>
    <row r="387" customFormat="false" ht="15" hidden="false" customHeight="false" outlineLevel="0" collapsed="false">
      <c r="A387" s="9"/>
      <c r="B387" s="9"/>
      <c r="C387" s="11"/>
      <c r="D387" s="9"/>
      <c r="E387" s="9"/>
      <c r="F387" s="22" t="str">
        <f aca="false">IF(E387="","",IFERROR(INDEX(02_INDICADORES!$B$2:$B$42,MATCH(E387,02_INDICADORES!$A$2:$A$42,0)),"ID?"))</f>
        <v/>
      </c>
      <c r="G387" s="21" t="str">
        <f aca="false">IF(E387="","",IFERROR(INDEX(02_INDICADORES!$C$2:$C$42,MATCH(E387,02_INDICADORES!$A$2:$A$42,0)),"ID?"))</f>
        <v/>
      </c>
      <c r="H387" s="22" t="str">
        <f aca="false">IF(E387="","",IFERROR(INDEX(02_INDICADORES!$D$2:$D$42,MATCH(E387,02_INDICADORES!$A$2:$A$42,0)),""))</f>
        <v/>
      </c>
      <c r="I387" s="9"/>
      <c r="J387" s="16" t="str">
        <f aca="false">IF(OR(I387="",H387=""),"",I387*H387)</f>
        <v/>
      </c>
      <c r="K387" s="9"/>
      <c r="L387" s="9"/>
      <c r="M387" s="9"/>
    </row>
    <row r="388" customFormat="false" ht="15" hidden="false" customHeight="false" outlineLevel="0" collapsed="false">
      <c r="A388" s="9"/>
      <c r="B388" s="9"/>
      <c r="C388" s="11"/>
      <c r="D388" s="9"/>
      <c r="E388" s="9"/>
      <c r="F388" s="22" t="str">
        <f aca="false">IF(E388="","",IFERROR(INDEX(02_INDICADORES!$B$2:$B$42,MATCH(E388,02_INDICADORES!$A$2:$A$42,0)),"ID?"))</f>
        <v/>
      </c>
      <c r="G388" s="21" t="str">
        <f aca="false">IF(E388="","",IFERROR(INDEX(02_INDICADORES!$C$2:$C$42,MATCH(E388,02_INDICADORES!$A$2:$A$42,0)),"ID?"))</f>
        <v/>
      </c>
      <c r="H388" s="22" t="str">
        <f aca="false">IF(E388="","",IFERROR(INDEX(02_INDICADORES!$D$2:$D$42,MATCH(E388,02_INDICADORES!$A$2:$A$42,0)),""))</f>
        <v/>
      </c>
      <c r="I388" s="9"/>
      <c r="J388" s="16" t="str">
        <f aca="false">IF(OR(I388="",H388=""),"",I388*H388)</f>
        <v/>
      </c>
      <c r="K388" s="9"/>
      <c r="L388" s="9"/>
      <c r="M388" s="9"/>
    </row>
    <row r="389" customFormat="false" ht="15" hidden="false" customHeight="false" outlineLevel="0" collapsed="false">
      <c r="A389" s="9"/>
      <c r="B389" s="9"/>
      <c r="C389" s="11"/>
      <c r="D389" s="9"/>
      <c r="E389" s="9"/>
      <c r="F389" s="22" t="str">
        <f aca="false">IF(E389="","",IFERROR(INDEX(02_INDICADORES!$B$2:$B$42,MATCH(E389,02_INDICADORES!$A$2:$A$42,0)),"ID?"))</f>
        <v/>
      </c>
      <c r="G389" s="21" t="str">
        <f aca="false">IF(E389="","",IFERROR(INDEX(02_INDICADORES!$C$2:$C$42,MATCH(E389,02_INDICADORES!$A$2:$A$42,0)),"ID?"))</f>
        <v/>
      </c>
      <c r="H389" s="22" t="str">
        <f aca="false">IF(E389="","",IFERROR(INDEX(02_INDICADORES!$D$2:$D$42,MATCH(E389,02_INDICADORES!$A$2:$A$42,0)),""))</f>
        <v/>
      </c>
      <c r="I389" s="9"/>
      <c r="J389" s="16" t="str">
        <f aca="false">IF(OR(I389="",H389=""),"",I389*H389)</f>
        <v/>
      </c>
      <c r="K389" s="9"/>
      <c r="L389" s="9"/>
      <c r="M389" s="9"/>
    </row>
    <row r="390" customFormat="false" ht="15" hidden="false" customHeight="false" outlineLevel="0" collapsed="false">
      <c r="A390" s="9"/>
      <c r="B390" s="9"/>
      <c r="C390" s="11"/>
      <c r="D390" s="9"/>
      <c r="E390" s="9"/>
      <c r="F390" s="22" t="str">
        <f aca="false">IF(E390="","",IFERROR(INDEX(02_INDICADORES!$B$2:$B$42,MATCH(E390,02_INDICADORES!$A$2:$A$42,0)),"ID?"))</f>
        <v/>
      </c>
      <c r="G390" s="21" t="str">
        <f aca="false">IF(E390="","",IFERROR(INDEX(02_INDICADORES!$C$2:$C$42,MATCH(E390,02_INDICADORES!$A$2:$A$42,0)),"ID?"))</f>
        <v/>
      </c>
      <c r="H390" s="22" t="str">
        <f aca="false">IF(E390="","",IFERROR(INDEX(02_INDICADORES!$D$2:$D$42,MATCH(E390,02_INDICADORES!$A$2:$A$42,0)),""))</f>
        <v/>
      </c>
      <c r="I390" s="9"/>
      <c r="J390" s="16" t="str">
        <f aca="false">IF(OR(I390="",H390=""),"",I390*H390)</f>
        <v/>
      </c>
      <c r="K390" s="9"/>
      <c r="L390" s="9"/>
      <c r="M390" s="9"/>
    </row>
    <row r="391" customFormat="false" ht="15" hidden="false" customHeight="false" outlineLevel="0" collapsed="false">
      <c r="A391" s="9"/>
      <c r="B391" s="9"/>
      <c r="C391" s="11"/>
      <c r="D391" s="9"/>
      <c r="E391" s="9"/>
      <c r="F391" s="22" t="str">
        <f aca="false">IF(E391="","",IFERROR(INDEX(02_INDICADORES!$B$2:$B$42,MATCH(E391,02_INDICADORES!$A$2:$A$42,0)),"ID?"))</f>
        <v/>
      </c>
      <c r="G391" s="21" t="str">
        <f aca="false">IF(E391="","",IFERROR(INDEX(02_INDICADORES!$C$2:$C$42,MATCH(E391,02_INDICADORES!$A$2:$A$42,0)),"ID?"))</f>
        <v/>
      </c>
      <c r="H391" s="22" t="str">
        <f aca="false">IF(E391="","",IFERROR(INDEX(02_INDICADORES!$D$2:$D$42,MATCH(E391,02_INDICADORES!$A$2:$A$42,0)),""))</f>
        <v/>
      </c>
      <c r="I391" s="9"/>
      <c r="J391" s="16" t="str">
        <f aca="false">IF(OR(I391="",H391=""),"",I391*H391)</f>
        <v/>
      </c>
      <c r="K391" s="9"/>
      <c r="L391" s="9"/>
      <c r="M391" s="9"/>
    </row>
    <row r="392" customFormat="false" ht="15" hidden="false" customHeight="false" outlineLevel="0" collapsed="false">
      <c r="A392" s="9"/>
      <c r="B392" s="9"/>
      <c r="C392" s="11"/>
      <c r="D392" s="9"/>
      <c r="E392" s="9"/>
      <c r="F392" s="22" t="str">
        <f aca="false">IF(E392="","",IFERROR(INDEX(02_INDICADORES!$B$2:$B$42,MATCH(E392,02_INDICADORES!$A$2:$A$42,0)),"ID?"))</f>
        <v/>
      </c>
      <c r="G392" s="21" t="str">
        <f aca="false">IF(E392="","",IFERROR(INDEX(02_INDICADORES!$C$2:$C$42,MATCH(E392,02_INDICADORES!$A$2:$A$42,0)),"ID?"))</f>
        <v/>
      </c>
      <c r="H392" s="22" t="str">
        <f aca="false">IF(E392="","",IFERROR(INDEX(02_INDICADORES!$D$2:$D$42,MATCH(E392,02_INDICADORES!$A$2:$A$42,0)),""))</f>
        <v/>
      </c>
      <c r="I392" s="9"/>
      <c r="J392" s="16" t="str">
        <f aca="false">IF(OR(I392="",H392=""),"",I392*H392)</f>
        <v/>
      </c>
      <c r="K392" s="9"/>
      <c r="L392" s="9"/>
      <c r="M392" s="9"/>
    </row>
    <row r="393" customFormat="false" ht="15" hidden="false" customHeight="false" outlineLevel="0" collapsed="false">
      <c r="A393" s="9"/>
      <c r="B393" s="9"/>
      <c r="C393" s="11"/>
      <c r="D393" s="9"/>
      <c r="E393" s="9"/>
      <c r="F393" s="22" t="str">
        <f aca="false">IF(E393="","",IFERROR(INDEX(02_INDICADORES!$B$2:$B$42,MATCH(E393,02_INDICADORES!$A$2:$A$42,0)),"ID?"))</f>
        <v/>
      </c>
      <c r="G393" s="21" t="str">
        <f aca="false">IF(E393="","",IFERROR(INDEX(02_INDICADORES!$C$2:$C$42,MATCH(E393,02_INDICADORES!$A$2:$A$42,0)),"ID?"))</f>
        <v/>
      </c>
      <c r="H393" s="22" t="str">
        <f aca="false">IF(E393="","",IFERROR(INDEX(02_INDICADORES!$D$2:$D$42,MATCH(E393,02_INDICADORES!$A$2:$A$42,0)),""))</f>
        <v/>
      </c>
      <c r="I393" s="9"/>
      <c r="J393" s="16" t="str">
        <f aca="false">IF(OR(I393="",H393=""),"",I393*H393)</f>
        <v/>
      </c>
      <c r="K393" s="9"/>
      <c r="L393" s="9"/>
      <c r="M393" s="9"/>
    </row>
    <row r="394" customFormat="false" ht="15" hidden="false" customHeight="false" outlineLevel="0" collapsed="false">
      <c r="A394" s="9"/>
      <c r="B394" s="9"/>
      <c r="C394" s="11"/>
      <c r="D394" s="9"/>
      <c r="E394" s="9"/>
      <c r="F394" s="22" t="str">
        <f aca="false">IF(E394="","",IFERROR(INDEX(02_INDICADORES!$B$2:$B$42,MATCH(E394,02_INDICADORES!$A$2:$A$42,0)),"ID?"))</f>
        <v/>
      </c>
      <c r="G394" s="21" t="str">
        <f aca="false">IF(E394="","",IFERROR(INDEX(02_INDICADORES!$C$2:$C$42,MATCH(E394,02_INDICADORES!$A$2:$A$42,0)),"ID?"))</f>
        <v/>
      </c>
      <c r="H394" s="22" t="str">
        <f aca="false">IF(E394="","",IFERROR(INDEX(02_INDICADORES!$D$2:$D$42,MATCH(E394,02_INDICADORES!$A$2:$A$42,0)),""))</f>
        <v/>
      </c>
      <c r="I394" s="9"/>
      <c r="J394" s="16" t="str">
        <f aca="false">IF(OR(I394="",H394=""),"",I394*H394)</f>
        <v/>
      </c>
      <c r="K394" s="9"/>
      <c r="L394" s="9"/>
      <c r="M394" s="9"/>
    </row>
    <row r="395" customFormat="false" ht="15" hidden="false" customHeight="false" outlineLevel="0" collapsed="false">
      <c r="A395" s="9"/>
      <c r="B395" s="9"/>
      <c r="C395" s="11"/>
      <c r="D395" s="9"/>
      <c r="E395" s="9"/>
      <c r="F395" s="22" t="str">
        <f aca="false">IF(E395="","",IFERROR(INDEX(02_INDICADORES!$B$2:$B$42,MATCH(E395,02_INDICADORES!$A$2:$A$42,0)),"ID?"))</f>
        <v/>
      </c>
      <c r="G395" s="21" t="str">
        <f aca="false">IF(E395="","",IFERROR(INDEX(02_INDICADORES!$C$2:$C$42,MATCH(E395,02_INDICADORES!$A$2:$A$42,0)),"ID?"))</f>
        <v/>
      </c>
      <c r="H395" s="22" t="str">
        <f aca="false">IF(E395="","",IFERROR(INDEX(02_INDICADORES!$D$2:$D$42,MATCH(E395,02_INDICADORES!$A$2:$A$42,0)),""))</f>
        <v/>
      </c>
      <c r="I395" s="9"/>
      <c r="J395" s="16" t="str">
        <f aca="false">IF(OR(I395="",H395=""),"",I395*H395)</f>
        <v/>
      </c>
      <c r="K395" s="9"/>
      <c r="L395" s="9"/>
      <c r="M395" s="9"/>
    </row>
    <row r="396" customFormat="false" ht="15" hidden="false" customHeight="false" outlineLevel="0" collapsed="false">
      <c r="A396" s="9"/>
      <c r="B396" s="9"/>
      <c r="C396" s="11"/>
      <c r="D396" s="9"/>
      <c r="E396" s="9"/>
      <c r="F396" s="22" t="str">
        <f aca="false">IF(E396="","",IFERROR(INDEX(02_INDICADORES!$B$2:$B$42,MATCH(E396,02_INDICADORES!$A$2:$A$42,0)),"ID?"))</f>
        <v/>
      </c>
      <c r="G396" s="21" t="str">
        <f aca="false">IF(E396="","",IFERROR(INDEX(02_INDICADORES!$C$2:$C$42,MATCH(E396,02_INDICADORES!$A$2:$A$42,0)),"ID?"))</f>
        <v/>
      </c>
      <c r="H396" s="22" t="str">
        <f aca="false">IF(E396="","",IFERROR(INDEX(02_INDICADORES!$D$2:$D$42,MATCH(E396,02_INDICADORES!$A$2:$A$42,0)),""))</f>
        <v/>
      </c>
      <c r="I396" s="9"/>
      <c r="J396" s="16" t="str">
        <f aca="false">IF(OR(I396="",H396=""),"",I396*H396)</f>
        <v/>
      </c>
      <c r="K396" s="9"/>
      <c r="L396" s="9"/>
      <c r="M396" s="9"/>
    </row>
    <row r="397" customFormat="false" ht="15" hidden="false" customHeight="false" outlineLevel="0" collapsed="false">
      <c r="A397" s="9"/>
      <c r="B397" s="9"/>
      <c r="C397" s="11"/>
      <c r="D397" s="9"/>
      <c r="E397" s="9"/>
      <c r="F397" s="22" t="str">
        <f aca="false">IF(E397="","",IFERROR(INDEX(02_INDICADORES!$B$2:$B$42,MATCH(E397,02_INDICADORES!$A$2:$A$42,0)),"ID?"))</f>
        <v/>
      </c>
      <c r="G397" s="21" t="str">
        <f aca="false">IF(E397="","",IFERROR(INDEX(02_INDICADORES!$C$2:$C$42,MATCH(E397,02_INDICADORES!$A$2:$A$42,0)),"ID?"))</f>
        <v/>
      </c>
      <c r="H397" s="22" t="str">
        <f aca="false">IF(E397="","",IFERROR(INDEX(02_INDICADORES!$D$2:$D$42,MATCH(E397,02_INDICADORES!$A$2:$A$42,0)),""))</f>
        <v/>
      </c>
      <c r="I397" s="9"/>
      <c r="J397" s="16" t="str">
        <f aca="false">IF(OR(I397="",H397=""),"",I397*H397)</f>
        <v/>
      </c>
      <c r="K397" s="9"/>
      <c r="L397" s="9"/>
      <c r="M397" s="9"/>
    </row>
    <row r="398" customFormat="false" ht="15" hidden="false" customHeight="false" outlineLevel="0" collapsed="false">
      <c r="A398" s="9"/>
      <c r="B398" s="9"/>
      <c r="C398" s="11"/>
      <c r="D398" s="9"/>
      <c r="E398" s="9"/>
      <c r="F398" s="22" t="str">
        <f aca="false">IF(E398="","",IFERROR(INDEX(02_INDICADORES!$B$2:$B$42,MATCH(E398,02_INDICADORES!$A$2:$A$42,0)),"ID?"))</f>
        <v/>
      </c>
      <c r="G398" s="21" t="str">
        <f aca="false">IF(E398="","",IFERROR(INDEX(02_INDICADORES!$C$2:$C$42,MATCH(E398,02_INDICADORES!$A$2:$A$42,0)),"ID?"))</f>
        <v/>
      </c>
      <c r="H398" s="22" t="str">
        <f aca="false">IF(E398="","",IFERROR(INDEX(02_INDICADORES!$D$2:$D$42,MATCH(E398,02_INDICADORES!$A$2:$A$42,0)),""))</f>
        <v/>
      </c>
      <c r="I398" s="9"/>
      <c r="J398" s="16" t="str">
        <f aca="false">IF(OR(I398="",H398=""),"",I398*H398)</f>
        <v/>
      </c>
      <c r="K398" s="9"/>
      <c r="L398" s="9"/>
      <c r="M398" s="9"/>
    </row>
    <row r="399" customFormat="false" ht="15" hidden="false" customHeight="false" outlineLevel="0" collapsed="false">
      <c r="A399" s="9"/>
      <c r="B399" s="9"/>
      <c r="C399" s="11"/>
      <c r="D399" s="9"/>
      <c r="E399" s="9"/>
      <c r="F399" s="22" t="str">
        <f aca="false">IF(E399="","",IFERROR(INDEX(02_INDICADORES!$B$2:$B$42,MATCH(E399,02_INDICADORES!$A$2:$A$42,0)),"ID?"))</f>
        <v/>
      </c>
      <c r="G399" s="21" t="str">
        <f aca="false">IF(E399="","",IFERROR(INDEX(02_INDICADORES!$C$2:$C$42,MATCH(E399,02_INDICADORES!$A$2:$A$42,0)),"ID?"))</f>
        <v/>
      </c>
      <c r="H399" s="22" t="str">
        <f aca="false">IF(E399="","",IFERROR(INDEX(02_INDICADORES!$D$2:$D$42,MATCH(E399,02_INDICADORES!$A$2:$A$42,0)),""))</f>
        <v/>
      </c>
      <c r="I399" s="9"/>
      <c r="J399" s="16" t="str">
        <f aca="false">IF(OR(I399="",H399=""),"",I399*H399)</f>
        <v/>
      </c>
      <c r="K399" s="9"/>
      <c r="L399" s="9"/>
      <c r="M399" s="9"/>
    </row>
    <row r="400" customFormat="false" ht="15" hidden="false" customHeight="false" outlineLevel="0" collapsed="false">
      <c r="A400" s="9"/>
      <c r="B400" s="9"/>
      <c r="C400" s="11"/>
      <c r="D400" s="9"/>
      <c r="E400" s="9"/>
      <c r="F400" s="22" t="str">
        <f aca="false">IF(E400="","",IFERROR(INDEX(02_INDICADORES!$B$2:$B$42,MATCH(E400,02_INDICADORES!$A$2:$A$42,0)),"ID?"))</f>
        <v/>
      </c>
      <c r="G400" s="21" t="str">
        <f aca="false">IF(E400="","",IFERROR(INDEX(02_INDICADORES!$C$2:$C$42,MATCH(E400,02_INDICADORES!$A$2:$A$42,0)),"ID?"))</f>
        <v/>
      </c>
      <c r="H400" s="22" t="str">
        <f aca="false">IF(E400="","",IFERROR(INDEX(02_INDICADORES!$D$2:$D$42,MATCH(E400,02_INDICADORES!$A$2:$A$42,0)),""))</f>
        <v/>
      </c>
      <c r="I400" s="9"/>
      <c r="J400" s="16" t="str">
        <f aca="false">IF(OR(I400="",H400=""),"",I400*H400)</f>
        <v/>
      </c>
      <c r="K400" s="9"/>
      <c r="L400" s="9"/>
      <c r="M400" s="9"/>
    </row>
    <row r="401" customFormat="false" ht="15" hidden="false" customHeight="false" outlineLevel="0" collapsed="false">
      <c r="A401" s="9"/>
      <c r="B401" s="9"/>
      <c r="C401" s="11"/>
      <c r="D401" s="9"/>
      <c r="E401" s="9"/>
      <c r="F401" s="22" t="str">
        <f aca="false">IF(E401="","",IFERROR(INDEX(02_INDICADORES!$B$2:$B$42,MATCH(E401,02_INDICADORES!$A$2:$A$42,0)),"ID?"))</f>
        <v/>
      </c>
      <c r="G401" s="21" t="str">
        <f aca="false">IF(E401="","",IFERROR(INDEX(02_INDICADORES!$C$2:$C$42,MATCH(E401,02_INDICADORES!$A$2:$A$42,0)),"ID?"))</f>
        <v/>
      </c>
      <c r="H401" s="22" t="str">
        <f aca="false">IF(E401="","",IFERROR(INDEX(02_INDICADORES!$D$2:$D$42,MATCH(E401,02_INDICADORES!$A$2:$A$42,0)),""))</f>
        <v/>
      </c>
      <c r="I401" s="9"/>
      <c r="J401" s="16" t="str">
        <f aca="false">IF(OR(I401="",H401=""),"",I401*H401)</f>
        <v/>
      </c>
      <c r="K401" s="9"/>
      <c r="L401" s="9"/>
      <c r="M401" s="9"/>
    </row>
    <row r="402" customFormat="false" ht="15" hidden="false" customHeight="false" outlineLevel="0" collapsed="false">
      <c r="A402" s="9"/>
      <c r="B402" s="9"/>
      <c r="C402" s="11"/>
      <c r="D402" s="9"/>
      <c r="E402" s="9"/>
      <c r="F402" s="22" t="str">
        <f aca="false">IF(E402="","",IFERROR(INDEX(02_INDICADORES!$B$2:$B$42,MATCH(E402,02_INDICADORES!$A$2:$A$42,0)),"ID?"))</f>
        <v/>
      </c>
      <c r="G402" s="21" t="str">
        <f aca="false">IF(E402="","",IFERROR(INDEX(02_INDICADORES!$C$2:$C$42,MATCH(E402,02_INDICADORES!$A$2:$A$42,0)),"ID?"))</f>
        <v/>
      </c>
      <c r="H402" s="22" t="str">
        <f aca="false">IF(E402="","",IFERROR(INDEX(02_INDICADORES!$D$2:$D$42,MATCH(E402,02_INDICADORES!$A$2:$A$42,0)),""))</f>
        <v/>
      </c>
      <c r="I402" s="9"/>
      <c r="J402" s="16" t="str">
        <f aca="false">IF(OR(I402="",H402=""),"",I402*H402)</f>
        <v/>
      </c>
      <c r="K402" s="9"/>
      <c r="L402" s="9"/>
      <c r="M402" s="9"/>
    </row>
    <row r="403" customFormat="false" ht="15" hidden="false" customHeight="false" outlineLevel="0" collapsed="false">
      <c r="A403" s="9"/>
      <c r="B403" s="9"/>
      <c r="C403" s="11"/>
      <c r="D403" s="9"/>
      <c r="E403" s="9"/>
      <c r="F403" s="22" t="str">
        <f aca="false">IF(E403="","",IFERROR(INDEX(02_INDICADORES!$B$2:$B$42,MATCH(E403,02_INDICADORES!$A$2:$A$42,0)),"ID?"))</f>
        <v/>
      </c>
      <c r="G403" s="21" t="str">
        <f aca="false">IF(E403="","",IFERROR(INDEX(02_INDICADORES!$C$2:$C$42,MATCH(E403,02_INDICADORES!$A$2:$A$42,0)),"ID?"))</f>
        <v/>
      </c>
      <c r="H403" s="22" t="str">
        <f aca="false">IF(E403="","",IFERROR(INDEX(02_INDICADORES!$D$2:$D$42,MATCH(E403,02_INDICADORES!$A$2:$A$42,0)),""))</f>
        <v/>
      </c>
      <c r="I403" s="9"/>
      <c r="J403" s="16" t="str">
        <f aca="false">IF(OR(I403="",H403=""),"",I403*H403)</f>
        <v/>
      </c>
      <c r="K403" s="9"/>
      <c r="L403" s="9"/>
      <c r="M403" s="9"/>
    </row>
    <row r="404" customFormat="false" ht="15" hidden="false" customHeight="false" outlineLevel="0" collapsed="false">
      <c r="A404" s="9"/>
      <c r="B404" s="9"/>
      <c r="C404" s="11"/>
      <c r="D404" s="9"/>
      <c r="E404" s="9"/>
      <c r="F404" s="22" t="str">
        <f aca="false">IF(E404="","",IFERROR(INDEX(02_INDICADORES!$B$2:$B$42,MATCH(E404,02_INDICADORES!$A$2:$A$42,0)),"ID?"))</f>
        <v/>
      </c>
      <c r="G404" s="21" t="str">
        <f aca="false">IF(E404="","",IFERROR(INDEX(02_INDICADORES!$C$2:$C$42,MATCH(E404,02_INDICADORES!$A$2:$A$42,0)),"ID?"))</f>
        <v/>
      </c>
      <c r="H404" s="22" t="str">
        <f aca="false">IF(E404="","",IFERROR(INDEX(02_INDICADORES!$D$2:$D$42,MATCH(E404,02_INDICADORES!$A$2:$A$42,0)),""))</f>
        <v/>
      </c>
      <c r="I404" s="9"/>
      <c r="J404" s="16" t="str">
        <f aca="false">IF(OR(I404="",H404=""),"",I404*H404)</f>
        <v/>
      </c>
      <c r="K404" s="9"/>
      <c r="L404" s="9"/>
      <c r="M404" s="9"/>
    </row>
    <row r="405" customFormat="false" ht="15" hidden="false" customHeight="false" outlineLevel="0" collapsed="false">
      <c r="A405" s="9"/>
      <c r="B405" s="9"/>
      <c r="C405" s="11"/>
      <c r="D405" s="9"/>
      <c r="E405" s="9"/>
      <c r="F405" s="22" t="str">
        <f aca="false">IF(E405="","",IFERROR(INDEX(02_INDICADORES!$B$2:$B$42,MATCH(E405,02_INDICADORES!$A$2:$A$42,0)),"ID?"))</f>
        <v/>
      </c>
      <c r="G405" s="21" t="str">
        <f aca="false">IF(E405="","",IFERROR(INDEX(02_INDICADORES!$C$2:$C$42,MATCH(E405,02_INDICADORES!$A$2:$A$42,0)),"ID?"))</f>
        <v/>
      </c>
      <c r="H405" s="22" t="str">
        <f aca="false">IF(E405="","",IFERROR(INDEX(02_INDICADORES!$D$2:$D$42,MATCH(E405,02_INDICADORES!$A$2:$A$42,0)),""))</f>
        <v/>
      </c>
      <c r="I405" s="9"/>
      <c r="J405" s="16" t="str">
        <f aca="false">IF(OR(I405="",H405=""),"",I405*H405)</f>
        <v/>
      </c>
      <c r="K405" s="9"/>
      <c r="L405" s="9"/>
      <c r="M405" s="9"/>
    </row>
    <row r="406" customFormat="false" ht="15" hidden="false" customHeight="false" outlineLevel="0" collapsed="false">
      <c r="A406" s="9"/>
      <c r="B406" s="9"/>
      <c r="C406" s="11"/>
      <c r="D406" s="9"/>
      <c r="E406" s="9"/>
      <c r="F406" s="22" t="str">
        <f aca="false">IF(E406="","",IFERROR(INDEX(02_INDICADORES!$B$2:$B$42,MATCH(E406,02_INDICADORES!$A$2:$A$42,0)),"ID?"))</f>
        <v/>
      </c>
      <c r="G406" s="21" t="str">
        <f aca="false">IF(E406="","",IFERROR(INDEX(02_INDICADORES!$C$2:$C$42,MATCH(E406,02_INDICADORES!$A$2:$A$42,0)),"ID?"))</f>
        <v/>
      </c>
      <c r="H406" s="22" t="str">
        <f aca="false">IF(E406="","",IFERROR(INDEX(02_INDICADORES!$D$2:$D$42,MATCH(E406,02_INDICADORES!$A$2:$A$42,0)),""))</f>
        <v/>
      </c>
      <c r="I406" s="9"/>
      <c r="J406" s="16" t="str">
        <f aca="false">IF(OR(I406="",H406=""),"",I406*H406)</f>
        <v/>
      </c>
      <c r="K406" s="9"/>
      <c r="L406" s="9"/>
      <c r="M406" s="9"/>
    </row>
    <row r="407" customFormat="false" ht="15" hidden="false" customHeight="false" outlineLevel="0" collapsed="false">
      <c r="A407" s="9"/>
      <c r="B407" s="9"/>
      <c r="C407" s="11"/>
      <c r="D407" s="9"/>
      <c r="E407" s="9"/>
      <c r="F407" s="22" t="str">
        <f aca="false">IF(E407="","",IFERROR(INDEX(02_INDICADORES!$B$2:$B$42,MATCH(E407,02_INDICADORES!$A$2:$A$42,0)),"ID?"))</f>
        <v/>
      </c>
      <c r="G407" s="21" t="str">
        <f aca="false">IF(E407="","",IFERROR(INDEX(02_INDICADORES!$C$2:$C$42,MATCH(E407,02_INDICADORES!$A$2:$A$42,0)),"ID?"))</f>
        <v/>
      </c>
      <c r="H407" s="22" t="str">
        <f aca="false">IF(E407="","",IFERROR(INDEX(02_INDICADORES!$D$2:$D$42,MATCH(E407,02_INDICADORES!$A$2:$A$42,0)),""))</f>
        <v/>
      </c>
      <c r="I407" s="9"/>
      <c r="J407" s="16" t="str">
        <f aca="false">IF(OR(I407="",H407=""),"",I407*H407)</f>
        <v/>
      </c>
      <c r="K407" s="9"/>
      <c r="L407" s="9"/>
      <c r="M407" s="9"/>
    </row>
    <row r="408" customFormat="false" ht="15" hidden="false" customHeight="false" outlineLevel="0" collapsed="false">
      <c r="A408" s="9"/>
      <c r="B408" s="9"/>
      <c r="C408" s="11"/>
      <c r="D408" s="9"/>
      <c r="E408" s="9"/>
      <c r="F408" s="22" t="str">
        <f aca="false">IF(E408="","",IFERROR(INDEX(02_INDICADORES!$B$2:$B$42,MATCH(E408,02_INDICADORES!$A$2:$A$42,0)),"ID?"))</f>
        <v/>
      </c>
      <c r="G408" s="21" t="str">
        <f aca="false">IF(E408="","",IFERROR(INDEX(02_INDICADORES!$C$2:$C$42,MATCH(E408,02_INDICADORES!$A$2:$A$42,0)),"ID?"))</f>
        <v/>
      </c>
      <c r="H408" s="22" t="str">
        <f aca="false">IF(E408="","",IFERROR(INDEX(02_INDICADORES!$D$2:$D$42,MATCH(E408,02_INDICADORES!$A$2:$A$42,0)),""))</f>
        <v/>
      </c>
      <c r="I408" s="9"/>
      <c r="J408" s="16" t="str">
        <f aca="false">IF(OR(I408="",H408=""),"",I408*H408)</f>
        <v/>
      </c>
      <c r="K408" s="9"/>
      <c r="L408" s="9"/>
      <c r="M408" s="9"/>
    </row>
    <row r="409" customFormat="false" ht="15" hidden="false" customHeight="false" outlineLevel="0" collapsed="false">
      <c r="A409" s="9"/>
      <c r="B409" s="9"/>
      <c r="C409" s="11"/>
      <c r="D409" s="9"/>
      <c r="E409" s="9"/>
      <c r="F409" s="22" t="str">
        <f aca="false">IF(E409="","",IFERROR(INDEX(02_INDICADORES!$B$2:$B$42,MATCH(E409,02_INDICADORES!$A$2:$A$42,0)),"ID?"))</f>
        <v/>
      </c>
      <c r="G409" s="21" t="str">
        <f aca="false">IF(E409="","",IFERROR(INDEX(02_INDICADORES!$C$2:$C$42,MATCH(E409,02_INDICADORES!$A$2:$A$42,0)),"ID?"))</f>
        <v/>
      </c>
      <c r="H409" s="22" t="str">
        <f aca="false">IF(E409="","",IFERROR(INDEX(02_INDICADORES!$D$2:$D$42,MATCH(E409,02_INDICADORES!$A$2:$A$42,0)),""))</f>
        <v/>
      </c>
      <c r="I409" s="9"/>
      <c r="J409" s="16" t="str">
        <f aca="false">IF(OR(I409="",H409=""),"",I409*H409)</f>
        <v/>
      </c>
      <c r="K409" s="9"/>
      <c r="L409" s="9"/>
      <c r="M409" s="9"/>
    </row>
    <row r="410" customFormat="false" ht="15" hidden="false" customHeight="false" outlineLevel="0" collapsed="false">
      <c r="A410" s="9"/>
      <c r="B410" s="9"/>
      <c r="C410" s="11"/>
      <c r="D410" s="9"/>
      <c r="E410" s="9"/>
      <c r="F410" s="22" t="str">
        <f aca="false">IF(E410="","",IFERROR(INDEX(02_INDICADORES!$B$2:$B$42,MATCH(E410,02_INDICADORES!$A$2:$A$42,0)),"ID?"))</f>
        <v/>
      </c>
      <c r="G410" s="21" t="str">
        <f aca="false">IF(E410="","",IFERROR(INDEX(02_INDICADORES!$C$2:$C$42,MATCH(E410,02_INDICADORES!$A$2:$A$42,0)),"ID?"))</f>
        <v/>
      </c>
      <c r="H410" s="22" t="str">
        <f aca="false">IF(E410="","",IFERROR(INDEX(02_INDICADORES!$D$2:$D$42,MATCH(E410,02_INDICADORES!$A$2:$A$42,0)),""))</f>
        <v/>
      </c>
      <c r="I410" s="9"/>
      <c r="J410" s="16" t="str">
        <f aca="false">IF(OR(I410="",H410=""),"",I410*H410)</f>
        <v/>
      </c>
      <c r="K410" s="9"/>
      <c r="L410" s="9"/>
      <c r="M410" s="9"/>
    </row>
    <row r="411" customFormat="false" ht="15" hidden="false" customHeight="false" outlineLevel="0" collapsed="false">
      <c r="A411" s="9"/>
      <c r="B411" s="9"/>
      <c r="C411" s="11"/>
      <c r="D411" s="9"/>
      <c r="E411" s="9"/>
      <c r="F411" s="22" t="str">
        <f aca="false">IF(E411="","",IFERROR(INDEX(02_INDICADORES!$B$2:$B$42,MATCH(E411,02_INDICADORES!$A$2:$A$42,0)),"ID?"))</f>
        <v/>
      </c>
      <c r="G411" s="21" t="str">
        <f aca="false">IF(E411="","",IFERROR(INDEX(02_INDICADORES!$C$2:$C$42,MATCH(E411,02_INDICADORES!$A$2:$A$42,0)),"ID?"))</f>
        <v/>
      </c>
      <c r="H411" s="22" t="str">
        <f aca="false">IF(E411="","",IFERROR(INDEX(02_INDICADORES!$D$2:$D$42,MATCH(E411,02_INDICADORES!$A$2:$A$42,0)),""))</f>
        <v/>
      </c>
      <c r="I411" s="9"/>
      <c r="J411" s="16" t="str">
        <f aca="false">IF(OR(I411="",H411=""),"",I411*H411)</f>
        <v/>
      </c>
      <c r="K411" s="9"/>
      <c r="L411" s="9"/>
      <c r="M411" s="9"/>
    </row>
    <row r="412" customFormat="false" ht="15" hidden="false" customHeight="false" outlineLevel="0" collapsed="false">
      <c r="A412" s="9"/>
      <c r="B412" s="9"/>
      <c r="C412" s="11"/>
      <c r="D412" s="9"/>
      <c r="E412" s="9"/>
      <c r="F412" s="22" t="str">
        <f aca="false">IF(E412="","",IFERROR(INDEX(02_INDICADORES!$B$2:$B$42,MATCH(E412,02_INDICADORES!$A$2:$A$42,0)),"ID?"))</f>
        <v/>
      </c>
      <c r="G412" s="21" t="str">
        <f aca="false">IF(E412="","",IFERROR(INDEX(02_INDICADORES!$C$2:$C$42,MATCH(E412,02_INDICADORES!$A$2:$A$42,0)),"ID?"))</f>
        <v/>
      </c>
      <c r="H412" s="22" t="str">
        <f aca="false">IF(E412="","",IFERROR(INDEX(02_INDICADORES!$D$2:$D$42,MATCH(E412,02_INDICADORES!$A$2:$A$42,0)),""))</f>
        <v/>
      </c>
      <c r="I412" s="9"/>
      <c r="J412" s="16" t="str">
        <f aca="false">IF(OR(I412="",H412=""),"",I412*H412)</f>
        <v/>
      </c>
      <c r="K412" s="9"/>
      <c r="L412" s="9"/>
      <c r="M412" s="9"/>
    </row>
    <row r="413" customFormat="false" ht="15" hidden="false" customHeight="false" outlineLevel="0" collapsed="false">
      <c r="A413" s="9"/>
      <c r="B413" s="9"/>
      <c r="C413" s="11"/>
      <c r="D413" s="9"/>
      <c r="E413" s="9"/>
      <c r="F413" s="22" t="str">
        <f aca="false">IF(E413="","",IFERROR(INDEX(02_INDICADORES!$B$2:$B$42,MATCH(E413,02_INDICADORES!$A$2:$A$42,0)),"ID?"))</f>
        <v/>
      </c>
      <c r="G413" s="21" t="str">
        <f aca="false">IF(E413="","",IFERROR(INDEX(02_INDICADORES!$C$2:$C$42,MATCH(E413,02_INDICADORES!$A$2:$A$42,0)),"ID?"))</f>
        <v/>
      </c>
      <c r="H413" s="22" t="str">
        <f aca="false">IF(E413="","",IFERROR(INDEX(02_INDICADORES!$D$2:$D$42,MATCH(E413,02_INDICADORES!$A$2:$A$42,0)),""))</f>
        <v/>
      </c>
      <c r="I413" s="9"/>
      <c r="J413" s="16" t="str">
        <f aca="false">IF(OR(I413="",H413=""),"",I413*H413)</f>
        <v/>
      </c>
      <c r="K413" s="9"/>
      <c r="L413" s="9"/>
      <c r="M413" s="9"/>
    </row>
    <row r="414" customFormat="false" ht="15" hidden="false" customHeight="false" outlineLevel="0" collapsed="false">
      <c r="A414" s="9"/>
      <c r="B414" s="9"/>
      <c r="C414" s="11"/>
      <c r="D414" s="9"/>
      <c r="E414" s="9"/>
      <c r="F414" s="22" t="str">
        <f aca="false">IF(E414="","",IFERROR(INDEX(02_INDICADORES!$B$2:$B$42,MATCH(E414,02_INDICADORES!$A$2:$A$42,0)),"ID?"))</f>
        <v/>
      </c>
      <c r="G414" s="21" t="str">
        <f aca="false">IF(E414="","",IFERROR(INDEX(02_INDICADORES!$C$2:$C$42,MATCH(E414,02_INDICADORES!$A$2:$A$42,0)),"ID?"))</f>
        <v/>
      </c>
      <c r="H414" s="22" t="str">
        <f aca="false">IF(E414="","",IFERROR(INDEX(02_INDICADORES!$D$2:$D$42,MATCH(E414,02_INDICADORES!$A$2:$A$42,0)),""))</f>
        <v/>
      </c>
      <c r="I414" s="9"/>
      <c r="J414" s="16" t="str">
        <f aca="false">IF(OR(I414="",H414=""),"",I414*H414)</f>
        <v/>
      </c>
      <c r="K414" s="9"/>
      <c r="L414" s="9"/>
      <c r="M414" s="9"/>
    </row>
    <row r="415" customFormat="false" ht="15" hidden="false" customHeight="false" outlineLevel="0" collapsed="false">
      <c r="A415" s="9"/>
      <c r="B415" s="9"/>
      <c r="C415" s="11"/>
      <c r="D415" s="9"/>
      <c r="E415" s="9"/>
      <c r="F415" s="22" t="str">
        <f aca="false">IF(E415="","",IFERROR(INDEX(02_INDICADORES!$B$2:$B$42,MATCH(E415,02_INDICADORES!$A$2:$A$42,0)),"ID?"))</f>
        <v/>
      </c>
      <c r="G415" s="21" t="str">
        <f aca="false">IF(E415="","",IFERROR(INDEX(02_INDICADORES!$C$2:$C$42,MATCH(E415,02_INDICADORES!$A$2:$A$42,0)),"ID?"))</f>
        <v/>
      </c>
      <c r="H415" s="22" t="str">
        <f aca="false">IF(E415="","",IFERROR(INDEX(02_INDICADORES!$D$2:$D$42,MATCH(E415,02_INDICADORES!$A$2:$A$42,0)),""))</f>
        <v/>
      </c>
      <c r="I415" s="9"/>
      <c r="J415" s="16" t="str">
        <f aca="false">IF(OR(I415="",H415=""),"",I415*H415)</f>
        <v/>
      </c>
      <c r="K415" s="9"/>
      <c r="L415" s="9"/>
      <c r="M415" s="9"/>
    </row>
    <row r="416" customFormat="false" ht="15" hidden="false" customHeight="false" outlineLevel="0" collapsed="false">
      <c r="A416" s="9"/>
      <c r="B416" s="9"/>
      <c r="C416" s="11"/>
      <c r="D416" s="9"/>
      <c r="E416" s="9"/>
      <c r="F416" s="22" t="str">
        <f aca="false">IF(E416="","",IFERROR(INDEX(02_INDICADORES!$B$2:$B$42,MATCH(E416,02_INDICADORES!$A$2:$A$42,0)),"ID?"))</f>
        <v/>
      </c>
      <c r="G416" s="21" t="str">
        <f aca="false">IF(E416="","",IFERROR(INDEX(02_INDICADORES!$C$2:$C$42,MATCH(E416,02_INDICADORES!$A$2:$A$42,0)),"ID?"))</f>
        <v/>
      </c>
      <c r="H416" s="22" t="str">
        <f aca="false">IF(E416="","",IFERROR(INDEX(02_INDICADORES!$D$2:$D$42,MATCH(E416,02_INDICADORES!$A$2:$A$42,0)),""))</f>
        <v/>
      </c>
      <c r="I416" s="9"/>
      <c r="J416" s="16" t="str">
        <f aca="false">IF(OR(I416="",H416=""),"",I416*H416)</f>
        <v/>
      </c>
      <c r="K416" s="9"/>
      <c r="L416" s="9"/>
      <c r="M416" s="9"/>
    </row>
    <row r="417" customFormat="false" ht="15" hidden="false" customHeight="false" outlineLevel="0" collapsed="false">
      <c r="A417" s="9"/>
      <c r="B417" s="9"/>
      <c r="C417" s="11"/>
      <c r="D417" s="9"/>
      <c r="E417" s="9"/>
      <c r="F417" s="22" t="str">
        <f aca="false">IF(E417="","",IFERROR(INDEX(02_INDICADORES!$B$2:$B$42,MATCH(E417,02_INDICADORES!$A$2:$A$42,0)),"ID?"))</f>
        <v/>
      </c>
      <c r="G417" s="21" t="str">
        <f aca="false">IF(E417="","",IFERROR(INDEX(02_INDICADORES!$C$2:$C$42,MATCH(E417,02_INDICADORES!$A$2:$A$42,0)),"ID?"))</f>
        <v/>
      </c>
      <c r="H417" s="22" t="str">
        <f aca="false">IF(E417="","",IFERROR(INDEX(02_INDICADORES!$D$2:$D$42,MATCH(E417,02_INDICADORES!$A$2:$A$42,0)),""))</f>
        <v/>
      </c>
      <c r="I417" s="9"/>
      <c r="J417" s="16" t="str">
        <f aca="false">IF(OR(I417="",H417=""),"",I417*H417)</f>
        <v/>
      </c>
      <c r="K417" s="9"/>
      <c r="L417" s="9"/>
      <c r="M417" s="9"/>
    </row>
    <row r="418" customFormat="false" ht="15" hidden="false" customHeight="false" outlineLevel="0" collapsed="false">
      <c r="A418" s="9"/>
      <c r="B418" s="9"/>
      <c r="C418" s="11"/>
      <c r="D418" s="9"/>
      <c r="E418" s="9"/>
      <c r="F418" s="22" t="str">
        <f aca="false">IF(E418="","",IFERROR(INDEX(02_INDICADORES!$B$2:$B$42,MATCH(E418,02_INDICADORES!$A$2:$A$42,0)),"ID?"))</f>
        <v/>
      </c>
      <c r="G418" s="21" t="str">
        <f aca="false">IF(E418="","",IFERROR(INDEX(02_INDICADORES!$C$2:$C$42,MATCH(E418,02_INDICADORES!$A$2:$A$42,0)),"ID?"))</f>
        <v/>
      </c>
      <c r="H418" s="22" t="str">
        <f aca="false">IF(E418="","",IFERROR(INDEX(02_INDICADORES!$D$2:$D$42,MATCH(E418,02_INDICADORES!$A$2:$A$42,0)),""))</f>
        <v/>
      </c>
      <c r="I418" s="9"/>
      <c r="J418" s="16" t="str">
        <f aca="false">IF(OR(I418="",H418=""),"",I418*H418)</f>
        <v/>
      </c>
      <c r="K418" s="9"/>
      <c r="L418" s="9"/>
      <c r="M418" s="9"/>
    </row>
    <row r="419" customFormat="false" ht="15" hidden="false" customHeight="false" outlineLevel="0" collapsed="false">
      <c r="A419" s="9"/>
      <c r="B419" s="9"/>
      <c r="C419" s="11"/>
      <c r="D419" s="9"/>
      <c r="E419" s="9"/>
      <c r="F419" s="22" t="str">
        <f aca="false">IF(E419="","",IFERROR(INDEX(02_INDICADORES!$B$2:$B$42,MATCH(E419,02_INDICADORES!$A$2:$A$42,0)),"ID?"))</f>
        <v/>
      </c>
      <c r="G419" s="21" t="str">
        <f aca="false">IF(E419="","",IFERROR(INDEX(02_INDICADORES!$C$2:$C$42,MATCH(E419,02_INDICADORES!$A$2:$A$42,0)),"ID?"))</f>
        <v/>
      </c>
      <c r="H419" s="22" t="str">
        <f aca="false">IF(E419="","",IFERROR(INDEX(02_INDICADORES!$D$2:$D$42,MATCH(E419,02_INDICADORES!$A$2:$A$42,0)),""))</f>
        <v/>
      </c>
      <c r="I419" s="9"/>
      <c r="J419" s="16" t="str">
        <f aca="false">IF(OR(I419="",H419=""),"",I419*H419)</f>
        <v/>
      </c>
      <c r="K419" s="9"/>
      <c r="L419" s="9"/>
      <c r="M419" s="9"/>
    </row>
    <row r="420" customFormat="false" ht="15" hidden="false" customHeight="false" outlineLevel="0" collapsed="false">
      <c r="A420" s="9"/>
      <c r="B420" s="9"/>
      <c r="C420" s="11"/>
      <c r="D420" s="9"/>
      <c r="E420" s="9"/>
      <c r="F420" s="22" t="str">
        <f aca="false">IF(E420="","",IFERROR(INDEX(02_INDICADORES!$B$2:$B$42,MATCH(E420,02_INDICADORES!$A$2:$A$42,0)),"ID?"))</f>
        <v/>
      </c>
      <c r="G420" s="21" t="str">
        <f aca="false">IF(E420="","",IFERROR(INDEX(02_INDICADORES!$C$2:$C$42,MATCH(E420,02_INDICADORES!$A$2:$A$42,0)),"ID?"))</f>
        <v/>
      </c>
      <c r="H420" s="22" t="str">
        <f aca="false">IF(E420="","",IFERROR(INDEX(02_INDICADORES!$D$2:$D$42,MATCH(E420,02_INDICADORES!$A$2:$A$42,0)),""))</f>
        <v/>
      </c>
      <c r="I420" s="9"/>
      <c r="J420" s="16" t="str">
        <f aca="false">IF(OR(I420="",H420=""),"",I420*H420)</f>
        <v/>
      </c>
      <c r="K420" s="9"/>
      <c r="L420" s="9"/>
      <c r="M420" s="9"/>
    </row>
    <row r="421" customFormat="false" ht="15" hidden="false" customHeight="false" outlineLevel="0" collapsed="false">
      <c r="A421" s="9"/>
      <c r="B421" s="9"/>
      <c r="C421" s="11"/>
      <c r="D421" s="9"/>
      <c r="E421" s="9"/>
      <c r="F421" s="22" t="str">
        <f aca="false">IF(E421="","",IFERROR(INDEX(02_INDICADORES!$B$2:$B$42,MATCH(E421,02_INDICADORES!$A$2:$A$42,0)),"ID?"))</f>
        <v/>
      </c>
      <c r="G421" s="21" t="str">
        <f aca="false">IF(E421="","",IFERROR(INDEX(02_INDICADORES!$C$2:$C$42,MATCH(E421,02_INDICADORES!$A$2:$A$42,0)),"ID?"))</f>
        <v/>
      </c>
      <c r="H421" s="22" t="str">
        <f aca="false">IF(E421="","",IFERROR(INDEX(02_INDICADORES!$D$2:$D$42,MATCH(E421,02_INDICADORES!$A$2:$A$42,0)),""))</f>
        <v/>
      </c>
      <c r="I421" s="9"/>
      <c r="J421" s="16" t="str">
        <f aca="false">IF(OR(I421="",H421=""),"",I421*H421)</f>
        <v/>
      </c>
      <c r="K421" s="9"/>
      <c r="L421" s="9"/>
      <c r="M421" s="9"/>
    </row>
    <row r="422" customFormat="false" ht="15" hidden="false" customHeight="false" outlineLevel="0" collapsed="false">
      <c r="A422" s="9"/>
      <c r="B422" s="9"/>
      <c r="C422" s="11"/>
      <c r="D422" s="9"/>
      <c r="E422" s="9"/>
      <c r="F422" s="22" t="str">
        <f aca="false">IF(E422="","",IFERROR(INDEX(02_INDICADORES!$B$2:$B$42,MATCH(E422,02_INDICADORES!$A$2:$A$42,0)),"ID?"))</f>
        <v/>
      </c>
      <c r="G422" s="21" t="str">
        <f aca="false">IF(E422="","",IFERROR(INDEX(02_INDICADORES!$C$2:$C$42,MATCH(E422,02_INDICADORES!$A$2:$A$42,0)),"ID?"))</f>
        <v/>
      </c>
      <c r="H422" s="22" t="str">
        <f aca="false">IF(E422="","",IFERROR(INDEX(02_INDICADORES!$D$2:$D$42,MATCH(E422,02_INDICADORES!$A$2:$A$42,0)),""))</f>
        <v/>
      </c>
      <c r="I422" s="9"/>
      <c r="J422" s="16" t="str">
        <f aca="false">IF(OR(I422="",H422=""),"",I422*H422)</f>
        <v/>
      </c>
      <c r="K422" s="9"/>
      <c r="L422" s="9"/>
      <c r="M422" s="9"/>
    </row>
    <row r="423" customFormat="false" ht="15" hidden="false" customHeight="false" outlineLevel="0" collapsed="false">
      <c r="A423" s="9"/>
      <c r="B423" s="9"/>
      <c r="C423" s="11"/>
      <c r="D423" s="9"/>
      <c r="E423" s="9"/>
      <c r="F423" s="22" t="str">
        <f aca="false">IF(E423="","",IFERROR(INDEX(02_INDICADORES!$B$2:$B$42,MATCH(E423,02_INDICADORES!$A$2:$A$42,0)),"ID?"))</f>
        <v/>
      </c>
      <c r="G423" s="21" t="str">
        <f aca="false">IF(E423="","",IFERROR(INDEX(02_INDICADORES!$C$2:$C$42,MATCH(E423,02_INDICADORES!$A$2:$A$42,0)),"ID?"))</f>
        <v/>
      </c>
      <c r="H423" s="22" t="str">
        <f aca="false">IF(E423="","",IFERROR(INDEX(02_INDICADORES!$D$2:$D$42,MATCH(E423,02_INDICADORES!$A$2:$A$42,0)),""))</f>
        <v/>
      </c>
      <c r="I423" s="9"/>
      <c r="J423" s="16" t="str">
        <f aca="false">IF(OR(I423="",H423=""),"",I423*H423)</f>
        <v/>
      </c>
      <c r="K423" s="9"/>
      <c r="L423" s="9"/>
      <c r="M423" s="9"/>
    </row>
    <row r="424" customFormat="false" ht="15" hidden="false" customHeight="false" outlineLevel="0" collapsed="false">
      <c r="A424" s="9"/>
      <c r="B424" s="9"/>
      <c r="C424" s="11"/>
      <c r="D424" s="9"/>
      <c r="E424" s="9"/>
      <c r="F424" s="22" t="str">
        <f aca="false">IF(E424="","",IFERROR(INDEX(02_INDICADORES!$B$2:$B$42,MATCH(E424,02_INDICADORES!$A$2:$A$42,0)),"ID?"))</f>
        <v/>
      </c>
      <c r="G424" s="21" t="str">
        <f aca="false">IF(E424="","",IFERROR(INDEX(02_INDICADORES!$C$2:$C$42,MATCH(E424,02_INDICADORES!$A$2:$A$42,0)),"ID?"))</f>
        <v/>
      </c>
      <c r="H424" s="22" t="str">
        <f aca="false">IF(E424="","",IFERROR(INDEX(02_INDICADORES!$D$2:$D$42,MATCH(E424,02_INDICADORES!$A$2:$A$42,0)),""))</f>
        <v/>
      </c>
      <c r="I424" s="9"/>
      <c r="J424" s="16" t="str">
        <f aca="false">IF(OR(I424="",H424=""),"",I424*H424)</f>
        <v/>
      </c>
      <c r="K424" s="9"/>
      <c r="L424" s="9"/>
      <c r="M424" s="9"/>
    </row>
    <row r="425" customFormat="false" ht="15" hidden="false" customHeight="false" outlineLevel="0" collapsed="false">
      <c r="A425" s="9"/>
      <c r="B425" s="9"/>
      <c r="C425" s="11"/>
      <c r="D425" s="9"/>
      <c r="E425" s="9"/>
      <c r="F425" s="22" t="str">
        <f aca="false">IF(E425="","",IFERROR(INDEX(02_INDICADORES!$B$2:$B$42,MATCH(E425,02_INDICADORES!$A$2:$A$42,0)),"ID?"))</f>
        <v/>
      </c>
      <c r="G425" s="21" t="str">
        <f aca="false">IF(E425="","",IFERROR(INDEX(02_INDICADORES!$C$2:$C$42,MATCH(E425,02_INDICADORES!$A$2:$A$42,0)),"ID?"))</f>
        <v/>
      </c>
      <c r="H425" s="22" t="str">
        <f aca="false">IF(E425="","",IFERROR(INDEX(02_INDICADORES!$D$2:$D$42,MATCH(E425,02_INDICADORES!$A$2:$A$42,0)),""))</f>
        <v/>
      </c>
      <c r="I425" s="9"/>
      <c r="J425" s="16" t="str">
        <f aca="false">IF(OR(I425="",H425=""),"",I425*H425)</f>
        <v/>
      </c>
      <c r="K425" s="9"/>
      <c r="L425" s="9"/>
      <c r="M425" s="9"/>
    </row>
    <row r="426" customFormat="false" ht="15" hidden="false" customHeight="false" outlineLevel="0" collapsed="false">
      <c r="A426" s="9"/>
      <c r="B426" s="9"/>
      <c r="C426" s="11"/>
      <c r="D426" s="9"/>
      <c r="E426" s="9"/>
      <c r="F426" s="22" t="str">
        <f aca="false">IF(E426="","",IFERROR(INDEX(02_INDICADORES!$B$2:$B$42,MATCH(E426,02_INDICADORES!$A$2:$A$42,0)),"ID?"))</f>
        <v/>
      </c>
      <c r="G426" s="21" t="str">
        <f aca="false">IF(E426="","",IFERROR(INDEX(02_INDICADORES!$C$2:$C$42,MATCH(E426,02_INDICADORES!$A$2:$A$42,0)),"ID?"))</f>
        <v/>
      </c>
      <c r="H426" s="22" t="str">
        <f aca="false">IF(E426="","",IFERROR(INDEX(02_INDICADORES!$D$2:$D$42,MATCH(E426,02_INDICADORES!$A$2:$A$42,0)),""))</f>
        <v/>
      </c>
      <c r="I426" s="9"/>
      <c r="J426" s="16" t="str">
        <f aca="false">IF(OR(I426="",H426=""),"",I426*H426)</f>
        <v/>
      </c>
      <c r="K426" s="9"/>
      <c r="L426" s="9"/>
      <c r="M426" s="9"/>
    </row>
    <row r="427" customFormat="false" ht="15" hidden="false" customHeight="false" outlineLevel="0" collapsed="false">
      <c r="A427" s="9"/>
      <c r="B427" s="9"/>
      <c r="C427" s="11"/>
      <c r="D427" s="9"/>
      <c r="E427" s="9"/>
      <c r="F427" s="22" t="str">
        <f aca="false">IF(E427="","",IFERROR(INDEX(02_INDICADORES!$B$2:$B$42,MATCH(E427,02_INDICADORES!$A$2:$A$42,0)),"ID?"))</f>
        <v/>
      </c>
      <c r="G427" s="21" t="str">
        <f aca="false">IF(E427="","",IFERROR(INDEX(02_INDICADORES!$C$2:$C$42,MATCH(E427,02_INDICADORES!$A$2:$A$42,0)),"ID?"))</f>
        <v/>
      </c>
      <c r="H427" s="22" t="str">
        <f aca="false">IF(E427="","",IFERROR(INDEX(02_INDICADORES!$D$2:$D$42,MATCH(E427,02_INDICADORES!$A$2:$A$42,0)),""))</f>
        <v/>
      </c>
      <c r="I427" s="9"/>
      <c r="J427" s="16" t="str">
        <f aca="false">IF(OR(I427="",H427=""),"",I427*H427)</f>
        <v/>
      </c>
      <c r="K427" s="9"/>
      <c r="L427" s="9"/>
      <c r="M427" s="9"/>
    </row>
    <row r="428" customFormat="false" ht="15" hidden="false" customHeight="false" outlineLevel="0" collapsed="false">
      <c r="A428" s="9"/>
      <c r="B428" s="9"/>
      <c r="C428" s="11"/>
      <c r="D428" s="9"/>
      <c r="E428" s="9"/>
      <c r="F428" s="22" t="str">
        <f aca="false">IF(E428="","",IFERROR(INDEX(02_INDICADORES!$B$2:$B$42,MATCH(E428,02_INDICADORES!$A$2:$A$42,0)),"ID?"))</f>
        <v/>
      </c>
      <c r="G428" s="21" t="str">
        <f aca="false">IF(E428="","",IFERROR(INDEX(02_INDICADORES!$C$2:$C$42,MATCH(E428,02_INDICADORES!$A$2:$A$42,0)),"ID?"))</f>
        <v/>
      </c>
      <c r="H428" s="22" t="str">
        <f aca="false">IF(E428="","",IFERROR(INDEX(02_INDICADORES!$D$2:$D$42,MATCH(E428,02_INDICADORES!$A$2:$A$42,0)),""))</f>
        <v/>
      </c>
      <c r="I428" s="9"/>
      <c r="J428" s="16" t="str">
        <f aca="false">IF(OR(I428="",H428=""),"",I428*H428)</f>
        <v/>
      </c>
      <c r="K428" s="9"/>
      <c r="L428" s="9"/>
      <c r="M428" s="9"/>
    </row>
    <row r="429" customFormat="false" ht="15" hidden="false" customHeight="false" outlineLevel="0" collapsed="false">
      <c r="A429" s="9"/>
      <c r="B429" s="9"/>
      <c r="C429" s="11"/>
      <c r="D429" s="9"/>
      <c r="E429" s="9"/>
      <c r="F429" s="22" t="str">
        <f aca="false">IF(E429="","",IFERROR(INDEX(02_INDICADORES!$B$2:$B$42,MATCH(E429,02_INDICADORES!$A$2:$A$42,0)),"ID?"))</f>
        <v/>
      </c>
      <c r="G429" s="21" t="str">
        <f aca="false">IF(E429="","",IFERROR(INDEX(02_INDICADORES!$C$2:$C$42,MATCH(E429,02_INDICADORES!$A$2:$A$42,0)),"ID?"))</f>
        <v/>
      </c>
      <c r="H429" s="22" t="str">
        <f aca="false">IF(E429="","",IFERROR(INDEX(02_INDICADORES!$D$2:$D$42,MATCH(E429,02_INDICADORES!$A$2:$A$42,0)),""))</f>
        <v/>
      </c>
      <c r="I429" s="9"/>
      <c r="J429" s="16" t="str">
        <f aca="false">IF(OR(I429="",H429=""),"",I429*H429)</f>
        <v/>
      </c>
      <c r="K429" s="9"/>
      <c r="L429" s="9"/>
      <c r="M429" s="9"/>
    </row>
    <row r="430" customFormat="false" ht="15" hidden="false" customHeight="false" outlineLevel="0" collapsed="false">
      <c r="A430" s="9"/>
      <c r="B430" s="9"/>
      <c r="C430" s="11"/>
      <c r="D430" s="9"/>
      <c r="E430" s="9"/>
      <c r="F430" s="22" t="str">
        <f aca="false">IF(E430="","",IFERROR(INDEX(02_INDICADORES!$B$2:$B$42,MATCH(E430,02_INDICADORES!$A$2:$A$42,0)),"ID?"))</f>
        <v/>
      </c>
      <c r="G430" s="21" t="str">
        <f aca="false">IF(E430="","",IFERROR(INDEX(02_INDICADORES!$C$2:$C$42,MATCH(E430,02_INDICADORES!$A$2:$A$42,0)),"ID?"))</f>
        <v/>
      </c>
      <c r="H430" s="22" t="str">
        <f aca="false">IF(E430="","",IFERROR(INDEX(02_INDICADORES!$D$2:$D$42,MATCH(E430,02_INDICADORES!$A$2:$A$42,0)),""))</f>
        <v/>
      </c>
      <c r="I430" s="9"/>
      <c r="J430" s="16" t="str">
        <f aca="false">IF(OR(I430="",H430=""),"",I430*H430)</f>
        <v/>
      </c>
      <c r="K430" s="9"/>
      <c r="L430" s="9"/>
      <c r="M430" s="9"/>
    </row>
    <row r="431" customFormat="false" ht="15" hidden="false" customHeight="false" outlineLevel="0" collapsed="false">
      <c r="A431" s="9"/>
      <c r="B431" s="9"/>
      <c r="C431" s="11"/>
      <c r="D431" s="9"/>
      <c r="E431" s="9"/>
      <c r="F431" s="22" t="str">
        <f aca="false">IF(E431="","",IFERROR(INDEX(02_INDICADORES!$B$2:$B$42,MATCH(E431,02_INDICADORES!$A$2:$A$42,0)),"ID?"))</f>
        <v/>
      </c>
      <c r="G431" s="21" t="str">
        <f aca="false">IF(E431="","",IFERROR(INDEX(02_INDICADORES!$C$2:$C$42,MATCH(E431,02_INDICADORES!$A$2:$A$42,0)),"ID?"))</f>
        <v/>
      </c>
      <c r="H431" s="22" t="str">
        <f aca="false">IF(E431="","",IFERROR(INDEX(02_INDICADORES!$D$2:$D$42,MATCH(E431,02_INDICADORES!$A$2:$A$42,0)),""))</f>
        <v/>
      </c>
      <c r="I431" s="9"/>
      <c r="J431" s="16" t="str">
        <f aca="false">IF(OR(I431="",H431=""),"",I431*H431)</f>
        <v/>
      </c>
      <c r="K431" s="9"/>
      <c r="L431" s="9"/>
      <c r="M431" s="9"/>
    </row>
    <row r="432" customFormat="false" ht="15" hidden="false" customHeight="false" outlineLevel="0" collapsed="false">
      <c r="A432" s="9"/>
      <c r="B432" s="9"/>
      <c r="C432" s="11"/>
      <c r="D432" s="9"/>
      <c r="E432" s="9"/>
      <c r="F432" s="22" t="str">
        <f aca="false">IF(E432="","",IFERROR(INDEX(02_INDICADORES!$B$2:$B$42,MATCH(E432,02_INDICADORES!$A$2:$A$42,0)),"ID?"))</f>
        <v/>
      </c>
      <c r="G432" s="21" t="str">
        <f aca="false">IF(E432="","",IFERROR(INDEX(02_INDICADORES!$C$2:$C$42,MATCH(E432,02_INDICADORES!$A$2:$A$42,0)),"ID?"))</f>
        <v/>
      </c>
      <c r="H432" s="22" t="str">
        <f aca="false">IF(E432="","",IFERROR(INDEX(02_INDICADORES!$D$2:$D$42,MATCH(E432,02_INDICADORES!$A$2:$A$42,0)),""))</f>
        <v/>
      </c>
      <c r="I432" s="9"/>
      <c r="J432" s="16" t="str">
        <f aca="false">IF(OR(I432="",H432=""),"",I432*H432)</f>
        <v/>
      </c>
      <c r="K432" s="9"/>
      <c r="L432" s="9"/>
      <c r="M432" s="9"/>
    </row>
    <row r="433" customFormat="false" ht="15" hidden="false" customHeight="false" outlineLevel="0" collapsed="false">
      <c r="A433" s="9"/>
      <c r="B433" s="9"/>
      <c r="C433" s="11"/>
      <c r="D433" s="9"/>
      <c r="E433" s="9"/>
      <c r="F433" s="22" t="str">
        <f aca="false">IF(E433="","",IFERROR(INDEX(02_INDICADORES!$B$2:$B$42,MATCH(E433,02_INDICADORES!$A$2:$A$42,0)),"ID?"))</f>
        <v/>
      </c>
      <c r="G433" s="21" t="str">
        <f aca="false">IF(E433="","",IFERROR(INDEX(02_INDICADORES!$C$2:$C$42,MATCH(E433,02_INDICADORES!$A$2:$A$42,0)),"ID?"))</f>
        <v/>
      </c>
      <c r="H433" s="22" t="str">
        <f aca="false">IF(E433="","",IFERROR(INDEX(02_INDICADORES!$D$2:$D$42,MATCH(E433,02_INDICADORES!$A$2:$A$42,0)),""))</f>
        <v/>
      </c>
      <c r="I433" s="9"/>
      <c r="J433" s="16" t="str">
        <f aca="false">IF(OR(I433="",H433=""),"",I433*H433)</f>
        <v/>
      </c>
      <c r="K433" s="9"/>
      <c r="L433" s="9"/>
      <c r="M433" s="9"/>
    </row>
    <row r="434" customFormat="false" ht="15" hidden="false" customHeight="false" outlineLevel="0" collapsed="false">
      <c r="A434" s="9"/>
      <c r="B434" s="9"/>
      <c r="C434" s="11"/>
      <c r="D434" s="9"/>
      <c r="E434" s="9"/>
      <c r="F434" s="22" t="str">
        <f aca="false">IF(E434="","",IFERROR(INDEX(02_INDICADORES!$B$2:$B$42,MATCH(E434,02_INDICADORES!$A$2:$A$42,0)),"ID?"))</f>
        <v/>
      </c>
      <c r="G434" s="21" t="str">
        <f aca="false">IF(E434="","",IFERROR(INDEX(02_INDICADORES!$C$2:$C$42,MATCH(E434,02_INDICADORES!$A$2:$A$42,0)),"ID?"))</f>
        <v/>
      </c>
      <c r="H434" s="22" t="str">
        <f aca="false">IF(E434="","",IFERROR(INDEX(02_INDICADORES!$D$2:$D$42,MATCH(E434,02_INDICADORES!$A$2:$A$42,0)),""))</f>
        <v/>
      </c>
      <c r="I434" s="9"/>
      <c r="J434" s="16" t="str">
        <f aca="false">IF(OR(I434="",H434=""),"",I434*H434)</f>
        <v/>
      </c>
      <c r="K434" s="9"/>
      <c r="L434" s="9"/>
      <c r="M434" s="9"/>
    </row>
    <row r="435" customFormat="false" ht="15" hidden="false" customHeight="false" outlineLevel="0" collapsed="false">
      <c r="A435" s="9"/>
      <c r="B435" s="9"/>
      <c r="C435" s="11"/>
      <c r="D435" s="9"/>
      <c r="E435" s="9"/>
      <c r="F435" s="22" t="str">
        <f aca="false">IF(E435="","",IFERROR(INDEX(02_INDICADORES!$B$2:$B$42,MATCH(E435,02_INDICADORES!$A$2:$A$42,0)),"ID?"))</f>
        <v/>
      </c>
      <c r="G435" s="21" t="str">
        <f aca="false">IF(E435="","",IFERROR(INDEX(02_INDICADORES!$C$2:$C$42,MATCH(E435,02_INDICADORES!$A$2:$A$42,0)),"ID?"))</f>
        <v/>
      </c>
      <c r="H435" s="22" t="str">
        <f aca="false">IF(E435="","",IFERROR(INDEX(02_INDICADORES!$D$2:$D$42,MATCH(E435,02_INDICADORES!$A$2:$A$42,0)),""))</f>
        <v/>
      </c>
      <c r="I435" s="9"/>
      <c r="J435" s="16" t="str">
        <f aca="false">IF(OR(I435="",H435=""),"",I435*H435)</f>
        <v/>
      </c>
      <c r="K435" s="9"/>
      <c r="L435" s="9"/>
      <c r="M435" s="9"/>
    </row>
    <row r="436" customFormat="false" ht="15" hidden="false" customHeight="false" outlineLevel="0" collapsed="false">
      <c r="A436" s="9"/>
      <c r="B436" s="9"/>
      <c r="C436" s="11"/>
      <c r="D436" s="9"/>
      <c r="E436" s="9"/>
      <c r="F436" s="22" t="str">
        <f aca="false">IF(E436="","",IFERROR(INDEX(02_INDICADORES!$B$2:$B$42,MATCH(E436,02_INDICADORES!$A$2:$A$42,0)),"ID?"))</f>
        <v/>
      </c>
      <c r="G436" s="21" t="str">
        <f aca="false">IF(E436="","",IFERROR(INDEX(02_INDICADORES!$C$2:$C$42,MATCH(E436,02_INDICADORES!$A$2:$A$42,0)),"ID?"))</f>
        <v/>
      </c>
      <c r="H436" s="22" t="str">
        <f aca="false">IF(E436="","",IFERROR(INDEX(02_INDICADORES!$D$2:$D$42,MATCH(E436,02_INDICADORES!$A$2:$A$42,0)),""))</f>
        <v/>
      </c>
      <c r="I436" s="9"/>
      <c r="J436" s="16" t="str">
        <f aca="false">IF(OR(I436="",H436=""),"",I436*H436)</f>
        <v/>
      </c>
      <c r="K436" s="9"/>
      <c r="L436" s="9"/>
      <c r="M436" s="9"/>
    </row>
    <row r="437" customFormat="false" ht="15" hidden="false" customHeight="false" outlineLevel="0" collapsed="false">
      <c r="A437" s="9"/>
      <c r="B437" s="9"/>
      <c r="C437" s="11"/>
      <c r="D437" s="9"/>
      <c r="E437" s="9"/>
      <c r="F437" s="22" t="str">
        <f aca="false">IF(E437="","",IFERROR(INDEX(02_INDICADORES!$B$2:$B$42,MATCH(E437,02_INDICADORES!$A$2:$A$42,0)),"ID?"))</f>
        <v/>
      </c>
      <c r="G437" s="21" t="str">
        <f aca="false">IF(E437="","",IFERROR(INDEX(02_INDICADORES!$C$2:$C$42,MATCH(E437,02_INDICADORES!$A$2:$A$42,0)),"ID?"))</f>
        <v/>
      </c>
      <c r="H437" s="22" t="str">
        <f aca="false">IF(E437="","",IFERROR(INDEX(02_INDICADORES!$D$2:$D$42,MATCH(E437,02_INDICADORES!$A$2:$A$42,0)),""))</f>
        <v/>
      </c>
      <c r="I437" s="9"/>
      <c r="J437" s="16" t="str">
        <f aca="false">IF(OR(I437="",H437=""),"",I437*H437)</f>
        <v/>
      </c>
      <c r="K437" s="9"/>
      <c r="L437" s="9"/>
      <c r="M437" s="9"/>
    </row>
    <row r="438" customFormat="false" ht="15" hidden="false" customHeight="false" outlineLevel="0" collapsed="false">
      <c r="A438" s="9"/>
      <c r="B438" s="9"/>
      <c r="C438" s="11"/>
      <c r="D438" s="9"/>
      <c r="E438" s="9"/>
      <c r="F438" s="22" t="str">
        <f aca="false">IF(E438="","",IFERROR(INDEX(02_INDICADORES!$B$2:$B$42,MATCH(E438,02_INDICADORES!$A$2:$A$42,0)),"ID?"))</f>
        <v/>
      </c>
      <c r="G438" s="21" t="str">
        <f aca="false">IF(E438="","",IFERROR(INDEX(02_INDICADORES!$C$2:$C$42,MATCH(E438,02_INDICADORES!$A$2:$A$42,0)),"ID?"))</f>
        <v/>
      </c>
      <c r="H438" s="22" t="str">
        <f aca="false">IF(E438="","",IFERROR(INDEX(02_INDICADORES!$D$2:$D$42,MATCH(E438,02_INDICADORES!$A$2:$A$42,0)),""))</f>
        <v/>
      </c>
      <c r="I438" s="9"/>
      <c r="J438" s="16" t="str">
        <f aca="false">IF(OR(I438="",H438=""),"",I438*H438)</f>
        <v/>
      </c>
      <c r="K438" s="9"/>
      <c r="L438" s="9"/>
      <c r="M438" s="9"/>
    </row>
    <row r="439" customFormat="false" ht="15" hidden="false" customHeight="false" outlineLevel="0" collapsed="false">
      <c r="A439" s="9"/>
      <c r="B439" s="9"/>
      <c r="C439" s="11"/>
      <c r="D439" s="9"/>
      <c r="E439" s="9"/>
      <c r="F439" s="22" t="str">
        <f aca="false">IF(E439="","",IFERROR(INDEX(02_INDICADORES!$B$2:$B$42,MATCH(E439,02_INDICADORES!$A$2:$A$42,0)),"ID?"))</f>
        <v/>
      </c>
      <c r="G439" s="21" t="str">
        <f aca="false">IF(E439="","",IFERROR(INDEX(02_INDICADORES!$C$2:$C$42,MATCH(E439,02_INDICADORES!$A$2:$A$42,0)),"ID?"))</f>
        <v/>
      </c>
      <c r="H439" s="22" t="str">
        <f aca="false">IF(E439="","",IFERROR(INDEX(02_INDICADORES!$D$2:$D$42,MATCH(E439,02_INDICADORES!$A$2:$A$42,0)),""))</f>
        <v/>
      </c>
      <c r="I439" s="9"/>
      <c r="J439" s="16" t="str">
        <f aca="false">IF(OR(I439="",H439=""),"",I439*H439)</f>
        <v/>
      </c>
      <c r="K439" s="9"/>
      <c r="L439" s="9"/>
      <c r="M439" s="9"/>
    </row>
    <row r="440" customFormat="false" ht="15" hidden="false" customHeight="false" outlineLevel="0" collapsed="false">
      <c r="A440" s="9"/>
      <c r="B440" s="9"/>
      <c r="C440" s="11"/>
      <c r="D440" s="9"/>
      <c r="E440" s="9"/>
      <c r="F440" s="22" t="str">
        <f aca="false">IF(E440="","",IFERROR(INDEX(02_INDICADORES!$B$2:$B$42,MATCH(E440,02_INDICADORES!$A$2:$A$42,0)),"ID?"))</f>
        <v/>
      </c>
      <c r="G440" s="21" t="str">
        <f aca="false">IF(E440="","",IFERROR(INDEX(02_INDICADORES!$C$2:$C$42,MATCH(E440,02_INDICADORES!$A$2:$A$42,0)),"ID?"))</f>
        <v/>
      </c>
      <c r="H440" s="22" t="str">
        <f aca="false">IF(E440="","",IFERROR(INDEX(02_INDICADORES!$D$2:$D$42,MATCH(E440,02_INDICADORES!$A$2:$A$42,0)),""))</f>
        <v/>
      </c>
      <c r="I440" s="9"/>
      <c r="J440" s="16" t="str">
        <f aca="false">IF(OR(I440="",H440=""),"",I440*H440)</f>
        <v/>
      </c>
      <c r="K440" s="9"/>
      <c r="L440" s="9"/>
      <c r="M440" s="9"/>
    </row>
    <row r="441" customFormat="false" ht="15" hidden="false" customHeight="false" outlineLevel="0" collapsed="false">
      <c r="A441" s="9"/>
      <c r="B441" s="9"/>
      <c r="C441" s="11"/>
      <c r="D441" s="9"/>
      <c r="E441" s="9"/>
      <c r="F441" s="22" t="str">
        <f aca="false">IF(E441="","",IFERROR(INDEX(02_INDICADORES!$B$2:$B$42,MATCH(E441,02_INDICADORES!$A$2:$A$42,0)),"ID?"))</f>
        <v/>
      </c>
      <c r="G441" s="21" t="str">
        <f aca="false">IF(E441="","",IFERROR(INDEX(02_INDICADORES!$C$2:$C$42,MATCH(E441,02_INDICADORES!$A$2:$A$42,0)),"ID?"))</f>
        <v/>
      </c>
      <c r="H441" s="22" t="str">
        <f aca="false">IF(E441="","",IFERROR(INDEX(02_INDICADORES!$D$2:$D$42,MATCH(E441,02_INDICADORES!$A$2:$A$42,0)),""))</f>
        <v/>
      </c>
      <c r="I441" s="9"/>
      <c r="J441" s="16" t="str">
        <f aca="false">IF(OR(I441="",H441=""),"",I441*H441)</f>
        <v/>
      </c>
      <c r="K441" s="9"/>
      <c r="L441" s="9"/>
      <c r="M441" s="9"/>
    </row>
    <row r="442" customFormat="false" ht="15" hidden="false" customHeight="false" outlineLevel="0" collapsed="false">
      <c r="A442" s="9"/>
      <c r="B442" s="9"/>
      <c r="C442" s="11"/>
      <c r="D442" s="9"/>
      <c r="E442" s="9"/>
      <c r="F442" s="22" t="str">
        <f aca="false">IF(E442="","",IFERROR(INDEX(02_INDICADORES!$B$2:$B$42,MATCH(E442,02_INDICADORES!$A$2:$A$42,0)),"ID?"))</f>
        <v/>
      </c>
      <c r="G442" s="21" t="str">
        <f aca="false">IF(E442="","",IFERROR(INDEX(02_INDICADORES!$C$2:$C$42,MATCH(E442,02_INDICADORES!$A$2:$A$42,0)),"ID?"))</f>
        <v/>
      </c>
      <c r="H442" s="22" t="str">
        <f aca="false">IF(E442="","",IFERROR(INDEX(02_INDICADORES!$D$2:$D$42,MATCH(E442,02_INDICADORES!$A$2:$A$42,0)),""))</f>
        <v/>
      </c>
      <c r="I442" s="9"/>
      <c r="J442" s="16" t="str">
        <f aca="false">IF(OR(I442="",H442=""),"",I442*H442)</f>
        <v/>
      </c>
      <c r="K442" s="9"/>
      <c r="L442" s="9"/>
      <c r="M442" s="9"/>
    </row>
    <row r="443" customFormat="false" ht="15" hidden="false" customHeight="false" outlineLevel="0" collapsed="false">
      <c r="A443" s="9"/>
      <c r="B443" s="9"/>
      <c r="C443" s="11"/>
      <c r="D443" s="9"/>
      <c r="E443" s="9"/>
      <c r="F443" s="22" t="str">
        <f aca="false">IF(E443="","",IFERROR(INDEX(02_INDICADORES!$B$2:$B$42,MATCH(E443,02_INDICADORES!$A$2:$A$42,0)),"ID?"))</f>
        <v/>
      </c>
      <c r="G443" s="21" t="str">
        <f aca="false">IF(E443="","",IFERROR(INDEX(02_INDICADORES!$C$2:$C$42,MATCH(E443,02_INDICADORES!$A$2:$A$42,0)),"ID?"))</f>
        <v/>
      </c>
      <c r="H443" s="22" t="str">
        <f aca="false">IF(E443="","",IFERROR(INDEX(02_INDICADORES!$D$2:$D$42,MATCH(E443,02_INDICADORES!$A$2:$A$42,0)),""))</f>
        <v/>
      </c>
      <c r="I443" s="9"/>
      <c r="J443" s="16" t="str">
        <f aca="false">IF(OR(I443="",H443=""),"",I443*H443)</f>
        <v/>
      </c>
      <c r="K443" s="9"/>
      <c r="L443" s="9"/>
      <c r="M443" s="9"/>
    </row>
    <row r="444" customFormat="false" ht="15" hidden="false" customHeight="false" outlineLevel="0" collapsed="false">
      <c r="A444" s="9"/>
      <c r="B444" s="9"/>
      <c r="C444" s="11"/>
      <c r="D444" s="9"/>
      <c r="E444" s="9"/>
      <c r="F444" s="22" t="str">
        <f aca="false">IF(E444="","",IFERROR(INDEX(02_INDICADORES!$B$2:$B$42,MATCH(E444,02_INDICADORES!$A$2:$A$42,0)),"ID?"))</f>
        <v/>
      </c>
      <c r="G444" s="21" t="str">
        <f aca="false">IF(E444="","",IFERROR(INDEX(02_INDICADORES!$C$2:$C$42,MATCH(E444,02_INDICADORES!$A$2:$A$42,0)),"ID?"))</f>
        <v/>
      </c>
      <c r="H444" s="22" t="str">
        <f aca="false">IF(E444="","",IFERROR(INDEX(02_INDICADORES!$D$2:$D$42,MATCH(E444,02_INDICADORES!$A$2:$A$42,0)),""))</f>
        <v/>
      </c>
      <c r="I444" s="9"/>
      <c r="J444" s="16" t="str">
        <f aca="false">IF(OR(I444="",H444=""),"",I444*H444)</f>
        <v/>
      </c>
      <c r="K444" s="9"/>
      <c r="L444" s="9"/>
      <c r="M444" s="9"/>
    </row>
    <row r="445" customFormat="false" ht="15" hidden="false" customHeight="false" outlineLevel="0" collapsed="false">
      <c r="A445" s="9"/>
      <c r="B445" s="9"/>
      <c r="C445" s="11"/>
      <c r="D445" s="9"/>
      <c r="E445" s="9"/>
      <c r="F445" s="22" t="str">
        <f aca="false">IF(E445="","",IFERROR(INDEX(02_INDICADORES!$B$2:$B$42,MATCH(E445,02_INDICADORES!$A$2:$A$42,0)),"ID?"))</f>
        <v/>
      </c>
      <c r="G445" s="21" t="str">
        <f aca="false">IF(E445="","",IFERROR(INDEX(02_INDICADORES!$C$2:$C$42,MATCH(E445,02_INDICADORES!$A$2:$A$42,0)),"ID?"))</f>
        <v/>
      </c>
      <c r="H445" s="22" t="str">
        <f aca="false">IF(E445="","",IFERROR(INDEX(02_INDICADORES!$D$2:$D$42,MATCH(E445,02_INDICADORES!$A$2:$A$42,0)),""))</f>
        <v/>
      </c>
      <c r="I445" s="9"/>
      <c r="J445" s="16" t="str">
        <f aca="false">IF(OR(I445="",H445=""),"",I445*H445)</f>
        <v/>
      </c>
      <c r="K445" s="9"/>
      <c r="L445" s="9"/>
      <c r="M445" s="9"/>
    </row>
    <row r="446" customFormat="false" ht="15" hidden="false" customHeight="false" outlineLevel="0" collapsed="false">
      <c r="A446" s="9"/>
      <c r="B446" s="9"/>
      <c r="C446" s="11"/>
      <c r="D446" s="9"/>
      <c r="E446" s="9"/>
      <c r="F446" s="22" t="str">
        <f aca="false">IF(E446="","",IFERROR(INDEX(02_INDICADORES!$B$2:$B$42,MATCH(E446,02_INDICADORES!$A$2:$A$42,0)),"ID?"))</f>
        <v/>
      </c>
      <c r="G446" s="21" t="str">
        <f aca="false">IF(E446="","",IFERROR(INDEX(02_INDICADORES!$C$2:$C$42,MATCH(E446,02_INDICADORES!$A$2:$A$42,0)),"ID?"))</f>
        <v/>
      </c>
      <c r="H446" s="22" t="str">
        <f aca="false">IF(E446="","",IFERROR(INDEX(02_INDICADORES!$D$2:$D$42,MATCH(E446,02_INDICADORES!$A$2:$A$42,0)),""))</f>
        <v/>
      </c>
      <c r="I446" s="9"/>
      <c r="J446" s="16" t="str">
        <f aca="false">IF(OR(I446="",H446=""),"",I446*H446)</f>
        <v/>
      </c>
      <c r="K446" s="9"/>
      <c r="L446" s="9"/>
      <c r="M446" s="9"/>
    </row>
    <row r="447" customFormat="false" ht="15" hidden="false" customHeight="false" outlineLevel="0" collapsed="false">
      <c r="A447" s="9"/>
      <c r="B447" s="9"/>
      <c r="C447" s="11"/>
      <c r="D447" s="9"/>
      <c r="E447" s="9"/>
      <c r="F447" s="22" t="str">
        <f aca="false">IF(E447="","",IFERROR(INDEX(02_INDICADORES!$B$2:$B$42,MATCH(E447,02_INDICADORES!$A$2:$A$42,0)),"ID?"))</f>
        <v/>
      </c>
      <c r="G447" s="21" t="str">
        <f aca="false">IF(E447="","",IFERROR(INDEX(02_INDICADORES!$C$2:$C$42,MATCH(E447,02_INDICADORES!$A$2:$A$42,0)),"ID?"))</f>
        <v/>
      </c>
      <c r="H447" s="22" t="str">
        <f aca="false">IF(E447="","",IFERROR(INDEX(02_INDICADORES!$D$2:$D$42,MATCH(E447,02_INDICADORES!$A$2:$A$42,0)),""))</f>
        <v/>
      </c>
      <c r="I447" s="9"/>
      <c r="J447" s="16" t="str">
        <f aca="false">IF(OR(I447="",H447=""),"",I447*H447)</f>
        <v/>
      </c>
      <c r="K447" s="9"/>
      <c r="L447" s="9"/>
      <c r="M447" s="9"/>
    </row>
    <row r="448" customFormat="false" ht="15" hidden="false" customHeight="false" outlineLevel="0" collapsed="false">
      <c r="A448" s="9"/>
      <c r="B448" s="9"/>
      <c r="C448" s="11"/>
      <c r="D448" s="9"/>
      <c r="E448" s="9"/>
      <c r="F448" s="22" t="str">
        <f aca="false">IF(E448="","",IFERROR(INDEX(02_INDICADORES!$B$2:$B$42,MATCH(E448,02_INDICADORES!$A$2:$A$42,0)),"ID?"))</f>
        <v/>
      </c>
      <c r="G448" s="21" t="str">
        <f aca="false">IF(E448="","",IFERROR(INDEX(02_INDICADORES!$C$2:$C$42,MATCH(E448,02_INDICADORES!$A$2:$A$42,0)),"ID?"))</f>
        <v/>
      </c>
      <c r="H448" s="22" t="str">
        <f aca="false">IF(E448="","",IFERROR(INDEX(02_INDICADORES!$D$2:$D$42,MATCH(E448,02_INDICADORES!$A$2:$A$42,0)),""))</f>
        <v/>
      </c>
      <c r="I448" s="9"/>
      <c r="J448" s="16" t="str">
        <f aca="false">IF(OR(I448="",H448=""),"",I448*H448)</f>
        <v/>
      </c>
      <c r="K448" s="9"/>
      <c r="L448" s="9"/>
      <c r="M448" s="9"/>
    </row>
    <row r="449" customFormat="false" ht="15" hidden="false" customHeight="false" outlineLevel="0" collapsed="false">
      <c r="A449" s="9"/>
      <c r="B449" s="9"/>
      <c r="C449" s="11"/>
      <c r="D449" s="9"/>
      <c r="E449" s="9"/>
      <c r="F449" s="22" t="str">
        <f aca="false">IF(E449="","",IFERROR(INDEX(02_INDICADORES!$B$2:$B$42,MATCH(E449,02_INDICADORES!$A$2:$A$42,0)),"ID?"))</f>
        <v/>
      </c>
      <c r="G449" s="21" t="str">
        <f aca="false">IF(E449="","",IFERROR(INDEX(02_INDICADORES!$C$2:$C$42,MATCH(E449,02_INDICADORES!$A$2:$A$42,0)),"ID?"))</f>
        <v/>
      </c>
      <c r="H449" s="22" t="str">
        <f aca="false">IF(E449="","",IFERROR(INDEX(02_INDICADORES!$D$2:$D$42,MATCH(E449,02_INDICADORES!$A$2:$A$42,0)),""))</f>
        <v/>
      </c>
      <c r="I449" s="9"/>
      <c r="J449" s="16" t="str">
        <f aca="false">IF(OR(I449="",H449=""),"",I449*H449)</f>
        <v/>
      </c>
      <c r="K449" s="9"/>
      <c r="L449" s="9"/>
      <c r="M449" s="9"/>
    </row>
    <row r="450" customFormat="false" ht="15" hidden="false" customHeight="false" outlineLevel="0" collapsed="false">
      <c r="A450" s="9"/>
      <c r="B450" s="9"/>
      <c r="C450" s="11"/>
      <c r="D450" s="9"/>
      <c r="E450" s="9"/>
      <c r="F450" s="22" t="str">
        <f aca="false">IF(E450="","",IFERROR(INDEX(02_INDICADORES!$B$2:$B$42,MATCH(E450,02_INDICADORES!$A$2:$A$42,0)),"ID?"))</f>
        <v/>
      </c>
      <c r="G450" s="21" t="str">
        <f aca="false">IF(E450="","",IFERROR(INDEX(02_INDICADORES!$C$2:$C$42,MATCH(E450,02_INDICADORES!$A$2:$A$42,0)),"ID?"))</f>
        <v/>
      </c>
      <c r="H450" s="22" t="str">
        <f aca="false">IF(E450="","",IFERROR(INDEX(02_INDICADORES!$D$2:$D$42,MATCH(E450,02_INDICADORES!$A$2:$A$42,0)),""))</f>
        <v/>
      </c>
      <c r="I450" s="9"/>
      <c r="J450" s="16" t="str">
        <f aca="false">IF(OR(I450="",H450=""),"",I450*H450)</f>
        <v/>
      </c>
      <c r="K450" s="9"/>
      <c r="L450" s="9"/>
      <c r="M450" s="9"/>
    </row>
    <row r="451" customFormat="false" ht="15" hidden="false" customHeight="false" outlineLevel="0" collapsed="false">
      <c r="A451" s="9"/>
      <c r="B451" s="9"/>
      <c r="C451" s="11"/>
      <c r="D451" s="9"/>
      <c r="E451" s="9"/>
      <c r="F451" s="22" t="str">
        <f aca="false">IF(E451="","",IFERROR(INDEX(02_INDICADORES!$B$2:$B$42,MATCH(E451,02_INDICADORES!$A$2:$A$42,0)),"ID?"))</f>
        <v/>
      </c>
      <c r="G451" s="21" t="str">
        <f aca="false">IF(E451="","",IFERROR(INDEX(02_INDICADORES!$C$2:$C$42,MATCH(E451,02_INDICADORES!$A$2:$A$42,0)),"ID?"))</f>
        <v/>
      </c>
      <c r="H451" s="22" t="str">
        <f aca="false">IF(E451="","",IFERROR(INDEX(02_INDICADORES!$D$2:$D$42,MATCH(E451,02_INDICADORES!$A$2:$A$42,0)),""))</f>
        <v/>
      </c>
      <c r="I451" s="9"/>
      <c r="J451" s="16" t="str">
        <f aca="false">IF(OR(I451="",H451=""),"",I451*H451)</f>
        <v/>
      </c>
      <c r="K451" s="9"/>
      <c r="L451" s="9"/>
      <c r="M451" s="9"/>
    </row>
    <row r="452" customFormat="false" ht="15" hidden="false" customHeight="false" outlineLevel="0" collapsed="false">
      <c r="A452" s="9"/>
      <c r="B452" s="9"/>
      <c r="C452" s="11"/>
      <c r="D452" s="9"/>
      <c r="E452" s="9"/>
      <c r="F452" s="22" t="str">
        <f aca="false">IF(E452="","",IFERROR(INDEX(02_INDICADORES!$B$2:$B$42,MATCH(E452,02_INDICADORES!$A$2:$A$42,0)),"ID?"))</f>
        <v/>
      </c>
      <c r="G452" s="21" t="str">
        <f aca="false">IF(E452="","",IFERROR(INDEX(02_INDICADORES!$C$2:$C$42,MATCH(E452,02_INDICADORES!$A$2:$A$42,0)),"ID?"))</f>
        <v/>
      </c>
      <c r="H452" s="22" t="str">
        <f aca="false">IF(E452="","",IFERROR(INDEX(02_INDICADORES!$D$2:$D$42,MATCH(E452,02_INDICADORES!$A$2:$A$42,0)),""))</f>
        <v/>
      </c>
      <c r="I452" s="9"/>
      <c r="J452" s="16" t="str">
        <f aca="false">IF(OR(I452="",H452=""),"",I452*H452)</f>
        <v/>
      </c>
      <c r="K452" s="9"/>
      <c r="L452" s="9"/>
      <c r="M452" s="9"/>
    </row>
    <row r="453" customFormat="false" ht="15" hidden="false" customHeight="false" outlineLevel="0" collapsed="false">
      <c r="A453" s="9"/>
      <c r="B453" s="9"/>
      <c r="C453" s="11"/>
      <c r="D453" s="9"/>
      <c r="E453" s="9"/>
      <c r="F453" s="22" t="str">
        <f aca="false">IF(E453="","",IFERROR(INDEX(02_INDICADORES!$B$2:$B$42,MATCH(E453,02_INDICADORES!$A$2:$A$42,0)),"ID?"))</f>
        <v/>
      </c>
      <c r="G453" s="21" t="str">
        <f aca="false">IF(E453="","",IFERROR(INDEX(02_INDICADORES!$C$2:$C$42,MATCH(E453,02_INDICADORES!$A$2:$A$42,0)),"ID?"))</f>
        <v/>
      </c>
      <c r="H453" s="22" t="str">
        <f aca="false">IF(E453="","",IFERROR(INDEX(02_INDICADORES!$D$2:$D$42,MATCH(E453,02_INDICADORES!$A$2:$A$42,0)),""))</f>
        <v/>
      </c>
      <c r="I453" s="9"/>
      <c r="J453" s="16" t="str">
        <f aca="false">IF(OR(I453="",H453=""),"",I453*H453)</f>
        <v/>
      </c>
      <c r="K453" s="9"/>
      <c r="L453" s="9"/>
      <c r="M453" s="9"/>
    </row>
    <row r="454" customFormat="false" ht="15" hidden="false" customHeight="false" outlineLevel="0" collapsed="false">
      <c r="A454" s="9"/>
      <c r="B454" s="9"/>
      <c r="C454" s="11"/>
      <c r="D454" s="9"/>
      <c r="E454" s="9"/>
      <c r="F454" s="22" t="str">
        <f aca="false">IF(E454="","",IFERROR(INDEX(02_INDICADORES!$B$2:$B$42,MATCH(E454,02_INDICADORES!$A$2:$A$42,0)),"ID?"))</f>
        <v/>
      </c>
      <c r="G454" s="21" t="str">
        <f aca="false">IF(E454="","",IFERROR(INDEX(02_INDICADORES!$C$2:$C$42,MATCH(E454,02_INDICADORES!$A$2:$A$42,0)),"ID?"))</f>
        <v/>
      </c>
      <c r="H454" s="22" t="str">
        <f aca="false">IF(E454="","",IFERROR(INDEX(02_INDICADORES!$D$2:$D$42,MATCH(E454,02_INDICADORES!$A$2:$A$42,0)),""))</f>
        <v/>
      </c>
      <c r="I454" s="9"/>
      <c r="J454" s="16" t="str">
        <f aca="false">IF(OR(I454="",H454=""),"",I454*H454)</f>
        <v/>
      </c>
      <c r="K454" s="9"/>
      <c r="L454" s="9"/>
      <c r="M454" s="9"/>
    </row>
    <row r="455" customFormat="false" ht="15" hidden="false" customHeight="false" outlineLevel="0" collapsed="false">
      <c r="A455" s="9"/>
      <c r="B455" s="9"/>
      <c r="C455" s="11"/>
      <c r="D455" s="9"/>
      <c r="E455" s="9"/>
      <c r="F455" s="22" t="str">
        <f aca="false">IF(E455="","",IFERROR(INDEX(02_INDICADORES!$B$2:$B$42,MATCH(E455,02_INDICADORES!$A$2:$A$42,0)),"ID?"))</f>
        <v/>
      </c>
      <c r="G455" s="21" t="str">
        <f aca="false">IF(E455="","",IFERROR(INDEX(02_INDICADORES!$C$2:$C$42,MATCH(E455,02_INDICADORES!$A$2:$A$42,0)),"ID?"))</f>
        <v/>
      </c>
      <c r="H455" s="22" t="str">
        <f aca="false">IF(E455="","",IFERROR(INDEX(02_INDICADORES!$D$2:$D$42,MATCH(E455,02_INDICADORES!$A$2:$A$42,0)),""))</f>
        <v/>
      </c>
      <c r="I455" s="9"/>
      <c r="J455" s="16" t="str">
        <f aca="false">IF(OR(I455="",H455=""),"",I455*H455)</f>
        <v/>
      </c>
      <c r="K455" s="9"/>
      <c r="L455" s="9"/>
      <c r="M455" s="9"/>
    </row>
    <row r="456" customFormat="false" ht="15" hidden="false" customHeight="false" outlineLevel="0" collapsed="false">
      <c r="A456" s="9"/>
      <c r="B456" s="9"/>
      <c r="C456" s="11"/>
      <c r="D456" s="9"/>
      <c r="E456" s="9"/>
      <c r="F456" s="22" t="str">
        <f aca="false">IF(E456="","",IFERROR(INDEX(02_INDICADORES!$B$2:$B$42,MATCH(E456,02_INDICADORES!$A$2:$A$42,0)),"ID?"))</f>
        <v/>
      </c>
      <c r="G456" s="21" t="str">
        <f aca="false">IF(E456="","",IFERROR(INDEX(02_INDICADORES!$C$2:$C$42,MATCH(E456,02_INDICADORES!$A$2:$A$42,0)),"ID?"))</f>
        <v/>
      </c>
      <c r="H456" s="22" t="str">
        <f aca="false">IF(E456="","",IFERROR(INDEX(02_INDICADORES!$D$2:$D$42,MATCH(E456,02_INDICADORES!$A$2:$A$42,0)),""))</f>
        <v/>
      </c>
      <c r="I456" s="9"/>
      <c r="J456" s="16" t="str">
        <f aca="false">IF(OR(I456="",H456=""),"",I456*H456)</f>
        <v/>
      </c>
      <c r="K456" s="9"/>
      <c r="L456" s="9"/>
      <c r="M456" s="9"/>
    </row>
    <row r="457" customFormat="false" ht="15" hidden="false" customHeight="false" outlineLevel="0" collapsed="false">
      <c r="A457" s="9"/>
      <c r="B457" s="9"/>
      <c r="C457" s="11"/>
      <c r="D457" s="9"/>
      <c r="E457" s="9"/>
      <c r="F457" s="22" t="str">
        <f aca="false">IF(E457="","",IFERROR(INDEX(02_INDICADORES!$B$2:$B$42,MATCH(E457,02_INDICADORES!$A$2:$A$42,0)),"ID?"))</f>
        <v/>
      </c>
      <c r="G457" s="21" t="str">
        <f aca="false">IF(E457="","",IFERROR(INDEX(02_INDICADORES!$C$2:$C$42,MATCH(E457,02_INDICADORES!$A$2:$A$42,0)),"ID?"))</f>
        <v/>
      </c>
      <c r="H457" s="22" t="str">
        <f aca="false">IF(E457="","",IFERROR(INDEX(02_INDICADORES!$D$2:$D$42,MATCH(E457,02_INDICADORES!$A$2:$A$42,0)),""))</f>
        <v/>
      </c>
      <c r="I457" s="9"/>
      <c r="J457" s="16" t="str">
        <f aca="false">IF(OR(I457="",H457=""),"",I457*H457)</f>
        <v/>
      </c>
      <c r="K457" s="9"/>
      <c r="L457" s="9"/>
      <c r="M457" s="9"/>
    </row>
    <row r="458" customFormat="false" ht="15" hidden="false" customHeight="false" outlineLevel="0" collapsed="false">
      <c r="A458" s="9"/>
      <c r="B458" s="9"/>
      <c r="C458" s="11"/>
      <c r="D458" s="9"/>
      <c r="E458" s="9"/>
      <c r="F458" s="22" t="str">
        <f aca="false">IF(E458="","",IFERROR(INDEX(02_INDICADORES!$B$2:$B$42,MATCH(E458,02_INDICADORES!$A$2:$A$42,0)),"ID?"))</f>
        <v/>
      </c>
      <c r="G458" s="21" t="str">
        <f aca="false">IF(E458="","",IFERROR(INDEX(02_INDICADORES!$C$2:$C$42,MATCH(E458,02_INDICADORES!$A$2:$A$42,0)),"ID?"))</f>
        <v/>
      </c>
      <c r="H458" s="22" t="str">
        <f aca="false">IF(E458="","",IFERROR(INDEX(02_INDICADORES!$D$2:$D$42,MATCH(E458,02_INDICADORES!$A$2:$A$42,0)),""))</f>
        <v/>
      </c>
      <c r="I458" s="9"/>
      <c r="J458" s="16" t="str">
        <f aca="false">IF(OR(I458="",H458=""),"",I458*H458)</f>
        <v/>
      </c>
      <c r="K458" s="9"/>
      <c r="L458" s="9"/>
      <c r="M458" s="9"/>
    </row>
    <row r="459" customFormat="false" ht="15" hidden="false" customHeight="false" outlineLevel="0" collapsed="false">
      <c r="A459" s="9"/>
      <c r="B459" s="9"/>
      <c r="C459" s="11"/>
      <c r="D459" s="9"/>
      <c r="E459" s="9"/>
      <c r="F459" s="22" t="str">
        <f aca="false">IF(E459="","",IFERROR(INDEX(02_INDICADORES!$B$2:$B$42,MATCH(E459,02_INDICADORES!$A$2:$A$42,0)),"ID?"))</f>
        <v/>
      </c>
      <c r="G459" s="21" t="str">
        <f aca="false">IF(E459="","",IFERROR(INDEX(02_INDICADORES!$C$2:$C$42,MATCH(E459,02_INDICADORES!$A$2:$A$42,0)),"ID?"))</f>
        <v/>
      </c>
      <c r="H459" s="22" t="str">
        <f aca="false">IF(E459="","",IFERROR(INDEX(02_INDICADORES!$D$2:$D$42,MATCH(E459,02_INDICADORES!$A$2:$A$42,0)),""))</f>
        <v/>
      </c>
      <c r="I459" s="9"/>
      <c r="J459" s="16" t="str">
        <f aca="false">IF(OR(I459="",H459=""),"",I459*H459)</f>
        <v/>
      </c>
      <c r="K459" s="9"/>
      <c r="L459" s="9"/>
      <c r="M459" s="9"/>
    </row>
    <row r="460" customFormat="false" ht="15" hidden="false" customHeight="false" outlineLevel="0" collapsed="false">
      <c r="A460" s="9"/>
      <c r="B460" s="9"/>
      <c r="C460" s="11"/>
      <c r="D460" s="9"/>
      <c r="E460" s="9"/>
      <c r="F460" s="22" t="str">
        <f aca="false">IF(E460="","",IFERROR(INDEX(02_INDICADORES!$B$2:$B$42,MATCH(E460,02_INDICADORES!$A$2:$A$42,0)),"ID?"))</f>
        <v/>
      </c>
      <c r="G460" s="21" t="str">
        <f aca="false">IF(E460="","",IFERROR(INDEX(02_INDICADORES!$C$2:$C$42,MATCH(E460,02_INDICADORES!$A$2:$A$42,0)),"ID?"))</f>
        <v/>
      </c>
      <c r="H460" s="22" t="str">
        <f aca="false">IF(E460="","",IFERROR(INDEX(02_INDICADORES!$D$2:$D$42,MATCH(E460,02_INDICADORES!$A$2:$A$42,0)),""))</f>
        <v/>
      </c>
      <c r="I460" s="9"/>
      <c r="J460" s="16" t="str">
        <f aca="false">IF(OR(I460="",H460=""),"",I460*H460)</f>
        <v/>
      </c>
      <c r="K460" s="9"/>
      <c r="L460" s="9"/>
      <c r="M460" s="9"/>
    </row>
    <row r="461" customFormat="false" ht="15" hidden="false" customHeight="false" outlineLevel="0" collapsed="false">
      <c r="A461" s="9"/>
      <c r="B461" s="9"/>
      <c r="C461" s="11"/>
      <c r="D461" s="9"/>
      <c r="E461" s="9"/>
      <c r="F461" s="22" t="str">
        <f aca="false">IF(E461="","",IFERROR(INDEX(02_INDICADORES!$B$2:$B$42,MATCH(E461,02_INDICADORES!$A$2:$A$42,0)),"ID?"))</f>
        <v/>
      </c>
      <c r="G461" s="21" t="str">
        <f aca="false">IF(E461="","",IFERROR(INDEX(02_INDICADORES!$C$2:$C$42,MATCH(E461,02_INDICADORES!$A$2:$A$42,0)),"ID?"))</f>
        <v/>
      </c>
      <c r="H461" s="22" t="str">
        <f aca="false">IF(E461="","",IFERROR(INDEX(02_INDICADORES!$D$2:$D$42,MATCH(E461,02_INDICADORES!$A$2:$A$42,0)),""))</f>
        <v/>
      </c>
      <c r="I461" s="9"/>
      <c r="J461" s="16" t="str">
        <f aca="false">IF(OR(I461="",H461=""),"",I461*H461)</f>
        <v/>
      </c>
      <c r="K461" s="9"/>
      <c r="L461" s="9"/>
      <c r="M461" s="9"/>
    </row>
    <row r="462" customFormat="false" ht="15" hidden="false" customHeight="false" outlineLevel="0" collapsed="false">
      <c r="A462" s="9"/>
      <c r="B462" s="9"/>
      <c r="C462" s="11"/>
      <c r="D462" s="9"/>
      <c r="E462" s="9"/>
      <c r="F462" s="22" t="str">
        <f aca="false">IF(E462="","",IFERROR(INDEX(02_INDICADORES!$B$2:$B$42,MATCH(E462,02_INDICADORES!$A$2:$A$42,0)),"ID?"))</f>
        <v/>
      </c>
      <c r="G462" s="21" t="str">
        <f aca="false">IF(E462="","",IFERROR(INDEX(02_INDICADORES!$C$2:$C$42,MATCH(E462,02_INDICADORES!$A$2:$A$42,0)),"ID?"))</f>
        <v/>
      </c>
      <c r="H462" s="22" t="str">
        <f aca="false">IF(E462="","",IFERROR(INDEX(02_INDICADORES!$D$2:$D$42,MATCH(E462,02_INDICADORES!$A$2:$A$42,0)),""))</f>
        <v/>
      </c>
      <c r="I462" s="9"/>
      <c r="J462" s="16" t="str">
        <f aca="false">IF(OR(I462="",H462=""),"",I462*H462)</f>
        <v/>
      </c>
      <c r="K462" s="9"/>
      <c r="L462" s="9"/>
      <c r="M462" s="9"/>
    </row>
    <row r="463" customFormat="false" ht="15" hidden="false" customHeight="false" outlineLevel="0" collapsed="false">
      <c r="A463" s="9"/>
      <c r="B463" s="9"/>
      <c r="C463" s="11"/>
      <c r="D463" s="9"/>
      <c r="E463" s="9"/>
      <c r="F463" s="22" t="str">
        <f aca="false">IF(E463="","",IFERROR(INDEX(02_INDICADORES!$B$2:$B$42,MATCH(E463,02_INDICADORES!$A$2:$A$42,0)),"ID?"))</f>
        <v/>
      </c>
      <c r="G463" s="21" t="str">
        <f aca="false">IF(E463="","",IFERROR(INDEX(02_INDICADORES!$C$2:$C$42,MATCH(E463,02_INDICADORES!$A$2:$A$42,0)),"ID?"))</f>
        <v/>
      </c>
      <c r="H463" s="22" t="str">
        <f aca="false">IF(E463="","",IFERROR(INDEX(02_INDICADORES!$D$2:$D$42,MATCH(E463,02_INDICADORES!$A$2:$A$42,0)),""))</f>
        <v/>
      </c>
      <c r="I463" s="9"/>
      <c r="J463" s="16" t="str">
        <f aca="false">IF(OR(I463="",H463=""),"",I463*H463)</f>
        <v/>
      </c>
      <c r="K463" s="9"/>
      <c r="L463" s="9"/>
      <c r="M463" s="9"/>
    </row>
    <row r="464" customFormat="false" ht="15" hidden="false" customHeight="false" outlineLevel="0" collapsed="false">
      <c r="A464" s="9"/>
      <c r="B464" s="9"/>
      <c r="C464" s="11"/>
      <c r="D464" s="9"/>
      <c r="E464" s="9"/>
      <c r="F464" s="22" t="str">
        <f aca="false">IF(E464="","",IFERROR(INDEX(02_INDICADORES!$B$2:$B$42,MATCH(E464,02_INDICADORES!$A$2:$A$42,0)),"ID?"))</f>
        <v/>
      </c>
      <c r="G464" s="21" t="str">
        <f aca="false">IF(E464="","",IFERROR(INDEX(02_INDICADORES!$C$2:$C$42,MATCH(E464,02_INDICADORES!$A$2:$A$42,0)),"ID?"))</f>
        <v/>
      </c>
      <c r="H464" s="22" t="str">
        <f aca="false">IF(E464="","",IFERROR(INDEX(02_INDICADORES!$D$2:$D$42,MATCH(E464,02_INDICADORES!$A$2:$A$42,0)),""))</f>
        <v/>
      </c>
      <c r="I464" s="9"/>
      <c r="J464" s="16" t="str">
        <f aca="false">IF(OR(I464="",H464=""),"",I464*H464)</f>
        <v/>
      </c>
      <c r="K464" s="9"/>
      <c r="L464" s="9"/>
      <c r="M464" s="9"/>
    </row>
    <row r="465" customFormat="false" ht="15" hidden="false" customHeight="false" outlineLevel="0" collapsed="false">
      <c r="A465" s="9"/>
      <c r="B465" s="9"/>
      <c r="C465" s="11"/>
      <c r="D465" s="9"/>
      <c r="E465" s="9"/>
      <c r="F465" s="22" t="str">
        <f aca="false">IF(E465="","",IFERROR(INDEX(02_INDICADORES!$B$2:$B$42,MATCH(E465,02_INDICADORES!$A$2:$A$42,0)),"ID?"))</f>
        <v/>
      </c>
      <c r="G465" s="21" t="str">
        <f aca="false">IF(E465="","",IFERROR(INDEX(02_INDICADORES!$C$2:$C$42,MATCH(E465,02_INDICADORES!$A$2:$A$42,0)),"ID?"))</f>
        <v/>
      </c>
      <c r="H465" s="22" t="str">
        <f aca="false">IF(E465="","",IFERROR(INDEX(02_INDICADORES!$D$2:$D$42,MATCH(E465,02_INDICADORES!$A$2:$A$42,0)),""))</f>
        <v/>
      </c>
      <c r="I465" s="9"/>
      <c r="J465" s="16" t="str">
        <f aca="false">IF(OR(I465="",H465=""),"",I465*H465)</f>
        <v/>
      </c>
      <c r="K465" s="9"/>
      <c r="L465" s="9"/>
      <c r="M465" s="9"/>
    </row>
    <row r="466" customFormat="false" ht="15" hidden="false" customHeight="false" outlineLevel="0" collapsed="false">
      <c r="A466" s="9"/>
      <c r="B466" s="9"/>
      <c r="C466" s="11"/>
      <c r="D466" s="9"/>
      <c r="E466" s="9"/>
      <c r="F466" s="22" t="str">
        <f aca="false">IF(E466="","",IFERROR(INDEX(02_INDICADORES!$B$2:$B$42,MATCH(E466,02_INDICADORES!$A$2:$A$42,0)),"ID?"))</f>
        <v/>
      </c>
      <c r="G466" s="21" t="str">
        <f aca="false">IF(E466="","",IFERROR(INDEX(02_INDICADORES!$C$2:$C$42,MATCH(E466,02_INDICADORES!$A$2:$A$42,0)),"ID?"))</f>
        <v/>
      </c>
      <c r="H466" s="22" t="str">
        <f aca="false">IF(E466="","",IFERROR(INDEX(02_INDICADORES!$D$2:$D$42,MATCH(E466,02_INDICADORES!$A$2:$A$42,0)),""))</f>
        <v/>
      </c>
      <c r="I466" s="9"/>
      <c r="J466" s="16" t="str">
        <f aca="false">IF(OR(I466="",H466=""),"",I466*H466)</f>
        <v/>
      </c>
      <c r="K466" s="9"/>
      <c r="L466" s="9"/>
      <c r="M466" s="9"/>
    </row>
    <row r="467" customFormat="false" ht="15" hidden="false" customHeight="false" outlineLevel="0" collapsed="false">
      <c r="A467" s="9"/>
      <c r="B467" s="9"/>
      <c r="C467" s="11"/>
      <c r="D467" s="9"/>
      <c r="E467" s="9"/>
      <c r="F467" s="22" t="str">
        <f aca="false">IF(E467="","",IFERROR(INDEX(02_INDICADORES!$B$2:$B$42,MATCH(E467,02_INDICADORES!$A$2:$A$42,0)),"ID?"))</f>
        <v/>
      </c>
      <c r="G467" s="21" t="str">
        <f aca="false">IF(E467="","",IFERROR(INDEX(02_INDICADORES!$C$2:$C$42,MATCH(E467,02_INDICADORES!$A$2:$A$42,0)),"ID?"))</f>
        <v/>
      </c>
      <c r="H467" s="22" t="str">
        <f aca="false">IF(E467="","",IFERROR(INDEX(02_INDICADORES!$D$2:$D$42,MATCH(E467,02_INDICADORES!$A$2:$A$42,0)),""))</f>
        <v/>
      </c>
      <c r="I467" s="9"/>
      <c r="J467" s="16" t="str">
        <f aca="false">IF(OR(I467="",H467=""),"",I467*H467)</f>
        <v/>
      </c>
      <c r="K467" s="9"/>
      <c r="L467" s="9"/>
      <c r="M467" s="9"/>
    </row>
    <row r="468" customFormat="false" ht="15" hidden="false" customHeight="false" outlineLevel="0" collapsed="false">
      <c r="A468" s="9"/>
      <c r="B468" s="9"/>
      <c r="C468" s="11"/>
      <c r="D468" s="9"/>
      <c r="E468" s="9"/>
      <c r="F468" s="22" t="str">
        <f aca="false">IF(E468="","",IFERROR(INDEX(02_INDICADORES!$B$2:$B$42,MATCH(E468,02_INDICADORES!$A$2:$A$42,0)),"ID?"))</f>
        <v/>
      </c>
      <c r="G468" s="21" t="str">
        <f aca="false">IF(E468="","",IFERROR(INDEX(02_INDICADORES!$C$2:$C$42,MATCH(E468,02_INDICADORES!$A$2:$A$42,0)),"ID?"))</f>
        <v/>
      </c>
      <c r="H468" s="22" t="str">
        <f aca="false">IF(E468="","",IFERROR(INDEX(02_INDICADORES!$D$2:$D$42,MATCH(E468,02_INDICADORES!$A$2:$A$42,0)),""))</f>
        <v/>
      </c>
      <c r="I468" s="9"/>
      <c r="J468" s="16" t="str">
        <f aca="false">IF(OR(I468="",H468=""),"",I468*H468)</f>
        <v/>
      </c>
      <c r="K468" s="9"/>
      <c r="L468" s="9"/>
      <c r="M468" s="9"/>
    </row>
    <row r="469" customFormat="false" ht="15" hidden="false" customHeight="false" outlineLevel="0" collapsed="false">
      <c r="A469" s="9"/>
      <c r="B469" s="9"/>
      <c r="C469" s="11"/>
      <c r="D469" s="9"/>
      <c r="E469" s="9"/>
      <c r="F469" s="22" t="str">
        <f aca="false">IF(E469="","",IFERROR(INDEX(02_INDICADORES!$B$2:$B$42,MATCH(E469,02_INDICADORES!$A$2:$A$42,0)),"ID?"))</f>
        <v/>
      </c>
      <c r="G469" s="21" t="str">
        <f aca="false">IF(E469="","",IFERROR(INDEX(02_INDICADORES!$C$2:$C$42,MATCH(E469,02_INDICADORES!$A$2:$A$42,0)),"ID?"))</f>
        <v/>
      </c>
      <c r="H469" s="22" t="str">
        <f aca="false">IF(E469="","",IFERROR(INDEX(02_INDICADORES!$D$2:$D$42,MATCH(E469,02_INDICADORES!$A$2:$A$42,0)),""))</f>
        <v/>
      </c>
      <c r="I469" s="9"/>
      <c r="J469" s="16" t="str">
        <f aca="false">IF(OR(I469="",H469=""),"",I469*H469)</f>
        <v/>
      </c>
      <c r="K469" s="9"/>
      <c r="L469" s="9"/>
      <c r="M469" s="9"/>
    </row>
    <row r="470" customFormat="false" ht="15" hidden="false" customHeight="false" outlineLevel="0" collapsed="false">
      <c r="A470" s="9"/>
      <c r="B470" s="9"/>
      <c r="C470" s="11"/>
      <c r="D470" s="9"/>
      <c r="E470" s="9"/>
      <c r="F470" s="22" t="str">
        <f aca="false">IF(E470="","",IFERROR(INDEX(02_INDICADORES!$B$2:$B$42,MATCH(E470,02_INDICADORES!$A$2:$A$42,0)),"ID?"))</f>
        <v/>
      </c>
      <c r="G470" s="21" t="str">
        <f aca="false">IF(E470="","",IFERROR(INDEX(02_INDICADORES!$C$2:$C$42,MATCH(E470,02_INDICADORES!$A$2:$A$42,0)),"ID?"))</f>
        <v/>
      </c>
      <c r="H470" s="22" t="str">
        <f aca="false">IF(E470="","",IFERROR(INDEX(02_INDICADORES!$D$2:$D$42,MATCH(E470,02_INDICADORES!$A$2:$A$42,0)),""))</f>
        <v/>
      </c>
      <c r="I470" s="9"/>
      <c r="J470" s="16" t="str">
        <f aca="false">IF(OR(I470="",H470=""),"",I470*H470)</f>
        <v/>
      </c>
      <c r="K470" s="9"/>
      <c r="L470" s="9"/>
      <c r="M470" s="9"/>
    </row>
    <row r="471" customFormat="false" ht="15" hidden="false" customHeight="false" outlineLevel="0" collapsed="false">
      <c r="A471" s="9"/>
      <c r="B471" s="9"/>
      <c r="C471" s="11"/>
      <c r="D471" s="9"/>
      <c r="E471" s="9"/>
      <c r="F471" s="22" t="str">
        <f aca="false">IF(E471="","",IFERROR(INDEX(02_INDICADORES!$B$2:$B$42,MATCH(E471,02_INDICADORES!$A$2:$A$42,0)),"ID?"))</f>
        <v/>
      </c>
      <c r="G471" s="21" t="str">
        <f aca="false">IF(E471="","",IFERROR(INDEX(02_INDICADORES!$C$2:$C$42,MATCH(E471,02_INDICADORES!$A$2:$A$42,0)),"ID?"))</f>
        <v/>
      </c>
      <c r="H471" s="22" t="str">
        <f aca="false">IF(E471="","",IFERROR(INDEX(02_INDICADORES!$D$2:$D$42,MATCH(E471,02_INDICADORES!$A$2:$A$42,0)),""))</f>
        <v/>
      </c>
      <c r="I471" s="9"/>
      <c r="J471" s="16" t="str">
        <f aca="false">IF(OR(I471="",H471=""),"",I471*H471)</f>
        <v/>
      </c>
      <c r="K471" s="9"/>
      <c r="L471" s="9"/>
      <c r="M471" s="9"/>
    </row>
    <row r="472" customFormat="false" ht="15" hidden="false" customHeight="false" outlineLevel="0" collapsed="false">
      <c r="A472" s="9"/>
      <c r="B472" s="9"/>
      <c r="C472" s="11"/>
      <c r="D472" s="9"/>
      <c r="E472" s="9"/>
      <c r="F472" s="22" t="str">
        <f aca="false">IF(E472="","",IFERROR(INDEX(02_INDICADORES!$B$2:$B$42,MATCH(E472,02_INDICADORES!$A$2:$A$42,0)),"ID?"))</f>
        <v/>
      </c>
      <c r="G472" s="21" t="str">
        <f aca="false">IF(E472="","",IFERROR(INDEX(02_INDICADORES!$C$2:$C$42,MATCH(E472,02_INDICADORES!$A$2:$A$42,0)),"ID?"))</f>
        <v/>
      </c>
      <c r="H472" s="22" t="str">
        <f aca="false">IF(E472="","",IFERROR(INDEX(02_INDICADORES!$D$2:$D$42,MATCH(E472,02_INDICADORES!$A$2:$A$42,0)),""))</f>
        <v/>
      </c>
      <c r="I472" s="9"/>
      <c r="J472" s="16" t="str">
        <f aca="false">IF(OR(I472="",H472=""),"",I472*H472)</f>
        <v/>
      </c>
      <c r="K472" s="9"/>
      <c r="L472" s="9"/>
      <c r="M472" s="9"/>
    </row>
    <row r="473" customFormat="false" ht="15" hidden="false" customHeight="false" outlineLevel="0" collapsed="false">
      <c r="A473" s="9"/>
      <c r="B473" s="9"/>
      <c r="C473" s="11"/>
      <c r="D473" s="9"/>
      <c r="E473" s="9"/>
      <c r="F473" s="22" t="str">
        <f aca="false">IF(E473="","",IFERROR(INDEX(02_INDICADORES!$B$2:$B$42,MATCH(E473,02_INDICADORES!$A$2:$A$42,0)),"ID?"))</f>
        <v/>
      </c>
      <c r="G473" s="21" t="str">
        <f aca="false">IF(E473="","",IFERROR(INDEX(02_INDICADORES!$C$2:$C$42,MATCH(E473,02_INDICADORES!$A$2:$A$42,0)),"ID?"))</f>
        <v/>
      </c>
      <c r="H473" s="22" t="str">
        <f aca="false">IF(E473="","",IFERROR(INDEX(02_INDICADORES!$D$2:$D$42,MATCH(E473,02_INDICADORES!$A$2:$A$42,0)),""))</f>
        <v/>
      </c>
      <c r="I473" s="9"/>
      <c r="J473" s="16" t="str">
        <f aca="false">IF(OR(I473="",H473=""),"",I473*H473)</f>
        <v/>
      </c>
      <c r="K473" s="9"/>
      <c r="L473" s="9"/>
      <c r="M473" s="9"/>
    </row>
    <row r="474" customFormat="false" ht="15" hidden="false" customHeight="false" outlineLevel="0" collapsed="false">
      <c r="A474" s="9"/>
      <c r="B474" s="9"/>
      <c r="C474" s="11"/>
      <c r="D474" s="9"/>
      <c r="E474" s="9"/>
      <c r="F474" s="22" t="str">
        <f aca="false">IF(E474="","",IFERROR(INDEX(02_INDICADORES!$B$2:$B$42,MATCH(E474,02_INDICADORES!$A$2:$A$42,0)),"ID?"))</f>
        <v/>
      </c>
      <c r="G474" s="21" t="str">
        <f aca="false">IF(E474="","",IFERROR(INDEX(02_INDICADORES!$C$2:$C$42,MATCH(E474,02_INDICADORES!$A$2:$A$42,0)),"ID?"))</f>
        <v/>
      </c>
      <c r="H474" s="22" t="str">
        <f aca="false">IF(E474="","",IFERROR(INDEX(02_INDICADORES!$D$2:$D$42,MATCH(E474,02_INDICADORES!$A$2:$A$42,0)),""))</f>
        <v/>
      </c>
      <c r="I474" s="9"/>
      <c r="J474" s="16" t="str">
        <f aca="false">IF(OR(I474="",H474=""),"",I474*H474)</f>
        <v/>
      </c>
      <c r="K474" s="9"/>
      <c r="L474" s="9"/>
      <c r="M474" s="9"/>
    </row>
    <row r="475" customFormat="false" ht="15" hidden="false" customHeight="false" outlineLevel="0" collapsed="false">
      <c r="A475" s="9"/>
      <c r="B475" s="9"/>
      <c r="C475" s="11"/>
      <c r="D475" s="9"/>
      <c r="E475" s="9"/>
      <c r="F475" s="22" t="str">
        <f aca="false">IF(E475="","",IFERROR(INDEX(02_INDICADORES!$B$2:$B$42,MATCH(E475,02_INDICADORES!$A$2:$A$42,0)),"ID?"))</f>
        <v/>
      </c>
      <c r="G475" s="21" t="str">
        <f aca="false">IF(E475="","",IFERROR(INDEX(02_INDICADORES!$C$2:$C$42,MATCH(E475,02_INDICADORES!$A$2:$A$42,0)),"ID?"))</f>
        <v/>
      </c>
      <c r="H475" s="22" t="str">
        <f aca="false">IF(E475="","",IFERROR(INDEX(02_INDICADORES!$D$2:$D$42,MATCH(E475,02_INDICADORES!$A$2:$A$42,0)),""))</f>
        <v/>
      </c>
      <c r="I475" s="9"/>
      <c r="J475" s="16" t="str">
        <f aca="false">IF(OR(I475="",H475=""),"",I475*H475)</f>
        <v/>
      </c>
      <c r="K475" s="9"/>
      <c r="L475" s="9"/>
      <c r="M475" s="9"/>
    </row>
    <row r="476" customFormat="false" ht="15" hidden="false" customHeight="false" outlineLevel="0" collapsed="false">
      <c r="A476" s="9"/>
      <c r="B476" s="9"/>
      <c r="C476" s="11"/>
      <c r="D476" s="9"/>
      <c r="E476" s="9"/>
      <c r="F476" s="22" t="str">
        <f aca="false">IF(E476="","",IFERROR(INDEX(02_INDICADORES!$B$2:$B$42,MATCH(E476,02_INDICADORES!$A$2:$A$42,0)),"ID?"))</f>
        <v/>
      </c>
      <c r="G476" s="21" t="str">
        <f aca="false">IF(E476="","",IFERROR(INDEX(02_INDICADORES!$C$2:$C$42,MATCH(E476,02_INDICADORES!$A$2:$A$42,0)),"ID?"))</f>
        <v/>
      </c>
      <c r="H476" s="22" t="str">
        <f aca="false">IF(E476="","",IFERROR(INDEX(02_INDICADORES!$D$2:$D$42,MATCH(E476,02_INDICADORES!$A$2:$A$42,0)),""))</f>
        <v/>
      </c>
      <c r="I476" s="9"/>
      <c r="J476" s="16" t="str">
        <f aca="false">IF(OR(I476="",H476=""),"",I476*H476)</f>
        <v/>
      </c>
      <c r="K476" s="9"/>
      <c r="L476" s="9"/>
      <c r="M476" s="9"/>
    </row>
    <row r="477" customFormat="false" ht="15" hidden="false" customHeight="false" outlineLevel="0" collapsed="false">
      <c r="A477" s="9"/>
      <c r="B477" s="9"/>
      <c r="C477" s="11"/>
      <c r="D477" s="9"/>
      <c r="E477" s="9"/>
      <c r="F477" s="22" t="str">
        <f aca="false">IF(E477="","",IFERROR(INDEX(02_INDICADORES!$B$2:$B$42,MATCH(E477,02_INDICADORES!$A$2:$A$42,0)),"ID?"))</f>
        <v/>
      </c>
      <c r="G477" s="21" t="str">
        <f aca="false">IF(E477="","",IFERROR(INDEX(02_INDICADORES!$C$2:$C$42,MATCH(E477,02_INDICADORES!$A$2:$A$42,0)),"ID?"))</f>
        <v/>
      </c>
      <c r="H477" s="22" t="str">
        <f aca="false">IF(E477="","",IFERROR(INDEX(02_INDICADORES!$D$2:$D$42,MATCH(E477,02_INDICADORES!$A$2:$A$42,0)),""))</f>
        <v/>
      </c>
      <c r="I477" s="9"/>
      <c r="J477" s="16" t="str">
        <f aca="false">IF(OR(I477="",H477=""),"",I477*H477)</f>
        <v/>
      </c>
      <c r="K477" s="9"/>
      <c r="L477" s="9"/>
      <c r="M477" s="9"/>
    </row>
    <row r="478" customFormat="false" ht="15" hidden="false" customHeight="false" outlineLevel="0" collapsed="false">
      <c r="A478" s="9"/>
      <c r="B478" s="9"/>
      <c r="C478" s="11"/>
      <c r="D478" s="9"/>
      <c r="E478" s="9"/>
      <c r="F478" s="22" t="str">
        <f aca="false">IF(E478="","",IFERROR(INDEX(02_INDICADORES!$B$2:$B$42,MATCH(E478,02_INDICADORES!$A$2:$A$42,0)),"ID?"))</f>
        <v/>
      </c>
      <c r="G478" s="21" t="str">
        <f aca="false">IF(E478="","",IFERROR(INDEX(02_INDICADORES!$C$2:$C$42,MATCH(E478,02_INDICADORES!$A$2:$A$42,0)),"ID?"))</f>
        <v/>
      </c>
      <c r="H478" s="22" t="str">
        <f aca="false">IF(E478="","",IFERROR(INDEX(02_INDICADORES!$D$2:$D$42,MATCH(E478,02_INDICADORES!$A$2:$A$42,0)),""))</f>
        <v/>
      </c>
      <c r="I478" s="9"/>
      <c r="J478" s="16" t="str">
        <f aca="false">IF(OR(I478="",H478=""),"",I478*H478)</f>
        <v/>
      </c>
      <c r="K478" s="9"/>
      <c r="L478" s="9"/>
      <c r="M478" s="9"/>
    </row>
    <row r="479" customFormat="false" ht="15" hidden="false" customHeight="false" outlineLevel="0" collapsed="false">
      <c r="A479" s="9"/>
      <c r="B479" s="9"/>
      <c r="C479" s="11"/>
      <c r="D479" s="9"/>
      <c r="E479" s="9"/>
      <c r="F479" s="22" t="str">
        <f aca="false">IF(E479="","",IFERROR(INDEX(02_INDICADORES!$B$2:$B$42,MATCH(E479,02_INDICADORES!$A$2:$A$42,0)),"ID?"))</f>
        <v/>
      </c>
      <c r="G479" s="21" t="str">
        <f aca="false">IF(E479="","",IFERROR(INDEX(02_INDICADORES!$C$2:$C$42,MATCH(E479,02_INDICADORES!$A$2:$A$42,0)),"ID?"))</f>
        <v/>
      </c>
      <c r="H479" s="22" t="str">
        <f aca="false">IF(E479="","",IFERROR(INDEX(02_INDICADORES!$D$2:$D$42,MATCH(E479,02_INDICADORES!$A$2:$A$42,0)),""))</f>
        <v/>
      </c>
      <c r="I479" s="9"/>
      <c r="J479" s="16" t="str">
        <f aca="false">IF(OR(I479="",H479=""),"",I479*H479)</f>
        <v/>
      </c>
      <c r="K479" s="9"/>
      <c r="L479" s="9"/>
      <c r="M479" s="9"/>
    </row>
    <row r="480" customFormat="false" ht="15" hidden="false" customHeight="false" outlineLevel="0" collapsed="false">
      <c r="A480" s="9"/>
      <c r="B480" s="9"/>
      <c r="C480" s="11"/>
      <c r="D480" s="9"/>
      <c r="E480" s="9"/>
      <c r="F480" s="22" t="str">
        <f aca="false">IF(E480="","",IFERROR(INDEX(02_INDICADORES!$B$2:$B$42,MATCH(E480,02_INDICADORES!$A$2:$A$42,0)),"ID?"))</f>
        <v/>
      </c>
      <c r="G480" s="21" t="str">
        <f aca="false">IF(E480="","",IFERROR(INDEX(02_INDICADORES!$C$2:$C$42,MATCH(E480,02_INDICADORES!$A$2:$A$42,0)),"ID?"))</f>
        <v/>
      </c>
      <c r="H480" s="22" t="str">
        <f aca="false">IF(E480="","",IFERROR(INDEX(02_INDICADORES!$D$2:$D$42,MATCH(E480,02_INDICADORES!$A$2:$A$42,0)),""))</f>
        <v/>
      </c>
      <c r="I480" s="9"/>
      <c r="J480" s="16" t="str">
        <f aca="false">IF(OR(I480="",H480=""),"",I480*H480)</f>
        <v/>
      </c>
      <c r="K480" s="9"/>
      <c r="L480" s="9"/>
      <c r="M480" s="9"/>
    </row>
    <row r="481" customFormat="false" ht="15" hidden="false" customHeight="false" outlineLevel="0" collapsed="false">
      <c r="A481" s="9"/>
      <c r="B481" s="9"/>
      <c r="C481" s="11"/>
      <c r="D481" s="9"/>
      <c r="E481" s="9"/>
      <c r="F481" s="22" t="str">
        <f aca="false">IF(E481="","",IFERROR(INDEX(02_INDICADORES!$B$2:$B$42,MATCH(E481,02_INDICADORES!$A$2:$A$42,0)),"ID?"))</f>
        <v/>
      </c>
      <c r="G481" s="21" t="str">
        <f aca="false">IF(E481="","",IFERROR(INDEX(02_INDICADORES!$C$2:$C$42,MATCH(E481,02_INDICADORES!$A$2:$A$42,0)),"ID?"))</f>
        <v/>
      </c>
      <c r="H481" s="22" t="str">
        <f aca="false">IF(E481="","",IFERROR(INDEX(02_INDICADORES!$D$2:$D$42,MATCH(E481,02_INDICADORES!$A$2:$A$42,0)),""))</f>
        <v/>
      </c>
      <c r="I481" s="9"/>
      <c r="J481" s="16" t="str">
        <f aca="false">IF(OR(I481="",H481=""),"",I481*H481)</f>
        <v/>
      </c>
      <c r="K481" s="9"/>
      <c r="L481" s="9"/>
      <c r="M481" s="9"/>
    </row>
    <row r="482" customFormat="false" ht="15" hidden="false" customHeight="false" outlineLevel="0" collapsed="false">
      <c r="A482" s="9"/>
      <c r="B482" s="9"/>
      <c r="C482" s="11"/>
      <c r="D482" s="9"/>
      <c r="E482" s="9"/>
      <c r="F482" s="22" t="str">
        <f aca="false">IF(E482="","",IFERROR(INDEX(02_INDICADORES!$B$2:$B$42,MATCH(E482,02_INDICADORES!$A$2:$A$42,0)),"ID?"))</f>
        <v/>
      </c>
      <c r="G482" s="21" t="str">
        <f aca="false">IF(E482="","",IFERROR(INDEX(02_INDICADORES!$C$2:$C$42,MATCH(E482,02_INDICADORES!$A$2:$A$42,0)),"ID?"))</f>
        <v/>
      </c>
      <c r="H482" s="22" t="str">
        <f aca="false">IF(E482="","",IFERROR(INDEX(02_INDICADORES!$D$2:$D$42,MATCH(E482,02_INDICADORES!$A$2:$A$42,0)),""))</f>
        <v/>
      </c>
      <c r="I482" s="9"/>
      <c r="J482" s="16" t="str">
        <f aca="false">IF(OR(I482="",H482=""),"",I482*H482)</f>
        <v/>
      </c>
      <c r="K482" s="9"/>
      <c r="L482" s="9"/>
      <c r="M482" s="9"/>
    </row>
    <row r="483" customFormat="false" ht="15" hidden="false" customHeight="false" outlineLevel="0" collapsed="false">
      <c r="A483" s="9"/>
      <c r="B483" s="9"/>
      <c r="C483" s="11"/>
      <c r="D483" s="9"/>
      <c r="E483" s="9"/>
      <c r="F483" s="22" t="str">
        <f aca="false">IF(E483="","",IFERROR(INDEX(02_INDICADORES!$B$2:$B$42,MATCH(E483,02_INDICADORES!$A$2:$A$42,0)),"ID?"))</f>
        <v/>
      </c>
      <c r="G483" s="21" t="str">
        <f aca="false">IF(E483="","",IFERROR(INDEX(02_INDICADORES!$C$2:$C$42,MATCH(E483,02_INDICADORES!$A$2:$A$42,0)),"ID?"))</f>
        <v/>
      </c>
      <c r="H483" s="22" t="str">
        <f aca="false">IF(E483="","",IFERROR(INDEX(02_INDICADORES!$D$2:$D$42,MATCH(E483,02_INDICADORES!$A$2:$A$42,0)),""))</f>
        <v/>
      </c>
      <c r="I483" s="9"/>
      <c r="J483" s="16" t="str">
        <f aca="false">IF(OR(I483="",H483=""),"",I483*H483)</f>
        <v/>
      </c>
      <c r="K483" s="9"/>
      <c r="L483" s="9"/>
      <c r="M483" s="9"/>
    </row>
    <row r="484" customFormat="false" ht="15" hidden="false" customHeight="false" outlineLevel="0" collapsed="false">
      <c r="A484" s="9"/>
      <c r="B484" s="9"/>
      <c r="C484" s="11"/>
      <c r="D484" s="9"/>
      <c r="E484" s="9"/>
      <c r="F484" s="22" t="str">
        <f aca="false">IF(E484="","",IFERROR(INDEX(02_INDICADORES!$B$2:$B$42,MATCH(E484,02_INDICADORES!$A$2:$A$42,0)),"ID?"))</f>
        <v/>
      </c>
      <c r="G484" s="21" t="str">
        <f aca="false">IF(E484="","",IFERROR(INDEX(02_INDICADORES!$C$2:$C$42,MATCH(E484,02_INDICADORES!$A$2:$A$42,0)),"ID?"))</f>
        <v/>
      </c>
      <c r="H484" s="22" t="str">
        <f aca="false">IF(E484="","",IFERROR(INDEX(02_INDICADORES!$D$2:$D$42,MATCH(E484,02_INDICADORES!$A$2:$A$42,0)),""))</f>
        <v/>
      </c>
      <c r="I484" s="9"/>
      <c r="J484" s="16" t="str">
        <f aca="false">IF(OR(I484="",H484=""),"",I484*H484)</f>
        <v/>
      </c>
      <c r="K484" s="9"/>
      <c r="L484" s="9"/>
      <c r="M484" s="9"/>
    </row>
    <row r="485" customFormat="false" ht="15" hidden="false" customHeight="false" outlineLevel="0" collapsed="false">
      <c r="A485" s="9"/>
      <c r="B485" s="9"/>
      <c r="C485" s="11"/>
      <c r="D485" s="9"/>
      <c r="E485" s="9"/>
      <c r="F485" s="22" t="str">
        <f aca="false">IF(E485="","",IFERROR(INDEX(02_INDICADORES!$B$2:$B$42,MATCH(E485,02_INDICADORES!$A$2:$A$42,0)),"ID?"))</f>
        <v/>
      </c>
      <c r="G485" s="21" t="str">
        <f aca="false">IF(E485="","",IFERROR(INDEX(02_INDICADORES!$C$2:$C$42,MATCH(E485,02_INDICADORES!$A$2:$A$42,0)),"ID?"))</f>
        <v/>
      </c>
      <c r="H485" s="22" t="str">
        <f aca="false">IF(E485="","",IFERROR(INDEX(02_INDICADORES!$D$2:$D$42,MATCH(E485,02_INDICADORES!$A$2:$A$42,0)),""))</f>
        <v/>
      </c>
      <c r="I485" s="9"/>
      <c r="J485" s="16" t="str">
        <f aca="false">IF(OR(I485="",H485=""),"",I485*H485)</f>
        <v/>
      </c>
      <c r="K485" s="9"/>
      <c r="L485" s="9"/>
      <c r="M485" s="9"/>
    </row>
    <row r="486" customFormat="false" ht="15" hidden="false" customHeight="false" outlineLevel="0" collapsed="false">
      <c r="A486" s="9"/>
      <c r="B486" s="9"/>
      <c r="C486" s="11"/>
      <c r="D486" s="9"/>
      <c r="E486" s="9"/>
      <c r="F486" s="22" t="str">
        <f aca="false">IF(E486="","",IFERROR(INDEX(02_INDICADORES!$B$2:$B$42,MATCH(E486,02_INDICADORES!$A$2:$A$42,0)),"ID?"))</f>
        <v/>
      </c>
      <c r="G486" s="21" t="str">
        <f aca="false">IF(E486="","",IFERROR(INDEX(02_INDICADORES!$C$2:$C$42,MATCH(E486,02_INDICADORES!$A$2:$A$42,0)),"ID?"))</f>
        <v/>
      </c>
      <c r="H486" s="22" t="str">
        <f aca="false">IF(E486="","",IFERROR(INDEX(02_INDICADORES!$D$2:$D$42,MATCH(E486,02_INDICADORES!$A$2:$A$42,0)),""))</f>
        <v/>
      </c>
      <c r="I486" s="9"/>
      <c r="J486" s="16" t="str">
        <f aca="false">IF(OR(I486="",H486=""),"",I486*H486)</f>
        <v/>
      </c>
      <c r="K486" s="9"/>
      <c r="L486" s="9"/>
      <c r="M486" s="9"/>
    </row>
    <row r="487" customFormat="false" ht="15" hidden="false" customHeight="false" outlineLevel="0" collapsed="false">
      <c r="A487" s="9"/>
      <c r="B487" s="9"/>
      <c r="C487" s="11"/>
      <c r="D487" s="9"/>
      <c r="E487" s="9"/>
      <c r="F487" s="22" t="str">
        <f aca="false">IF(E487="","",IFERROR(INDEX(02_INDICADORES!$B$2:$B$42,MATCH(E487,02_INDICADORES!$A$2:$A$42,0)),"ID?"))</f>
        <v/>
      </c>
      <c r="G487" s="21" t="str">
        <f aca="false">IF(E487="","",IFERROR(INDEX(02_INDICADORES!$C$2:$C$42,MATCH(E487,02_INDICADORES!$A$2:$A$42,0)),"ID?"))</f>
        <v/>
      </c>
      <c r="H487" s="22" t="str">
        <f aca="false">IF(E487="","",IFERROR(INDEX(02_INDICADORES!$D$2:$D$42,MATCH(E487,02_INDICADORES!$A$2:$A$42,0)),""))</f>
        <v/>
      </c>
      <c r="I487" s="9"/>
      <c r="J487" s="16" t="str">
        <f aca="false">IF(OR(I487="",H487=""),"",I487*H487)</f>
        <v/>
      </c>
      <c r="K487" s="9"/>
      <c r="L487" s="9"/>
      <c r="M487" s="9"/>
    </row>
    <row r="488" customFormat="false" ht="15" hidden="false" customHeight="false" outlineLevel="0" collapsed="false">
      <c r="A488" s="9"/>
      <c r="B488" s="9"/>
      <c r="C488" s="11"/>
      <c r="D488" s="9"/>
      <c r="E488" s="9"/>
      <c r="F488" s="22" t="str">
        <f aca="false">IF(E488="","",IFERROR(INDEX(02_INDICADORES!$B$2:$B$42,MATCH(E488,02_INDICADORES!$A$2:$A$42,0)),"ID?"))</f>
        <v/>
      </c>
      <c r="G488" s="21" t="str">
        <f aca="false">IF(E488="","",IFERROR(INDEX(02_INDICADORES!$C$2:$C$42,MATCH(E488,02_INDICADORES!$A$2:$A$42,0)),"ID?"))</f>
        <v/>
      </c>
      <c r="H488" s="22" t="str">
        <f aca="false">IF(E488="","",IFERROR(INDEX(02_INDICADORES!$D$2:$D$42,MATCH(E488,02_INDICADORES!$A$2:$A$42,0)),""))</f>
        <v/>
      </c>
      <c r="I488" s="9"/>
      <c r="J488" s="16" t="str">
        <f aca="false">IF(OR(I488="",H488=""),"",I488*H488)</f>
        <v/>
      </c>
      <c r="K488" s="9"/>
      <c r="L488" s="9"/>
      <c r="M488" s="9"/>
    </row>
    <row r="489" customFormat="false" ht="15" hidden="false" customHeight="false" outlineLevel="0" collapsed="false">
      <c r="A489" s="9"/>
      <c r="B489" s="9"/>
      <c r="C489" s="11"/>
      <c r="D489" s="9"/>
      <c r="E489" s="9"/>
      <c r="F489" s="22" t="str">
        <f aca="false">IF(E489="","",IFERROR(INDEX(02_INDICADORES!$B$2:$B$42,MATCH(E489,02_INDICADORES!$A$2:$A$42,0)),"ID?"))</f>
        <v/>
      </c>
      <c r="G489" s="21" t="str">
        <f aca="false">IF(E489="","",IFERROR(INDEX(02_INDICADORES!$C$2:$C$42,MATCH(E489,02_INDICADORES!$A$2:$A$42,0)),"ID?"))</f>
        <v/>
      </c>
      <c r="H489" s="22" t="str">
        <f aca="false">IF(E489="","",IFERROR(INDEX(02_INDICADORES!$D$2:$D$42,MATCH(E489,02_INDICADORES!$A$2:$A$42,0)),""))</f>
        <v/>
      </c>
      <c r="I489" s="9"/>
      <c r="J489" s="16" t="str">
        <f aca="false">IF(OR(I489="",H489=""),"",I489*H489)</f>
        <v/>
      </c>
      <c r="K489" s="9"/>
      <c r="L489" s="9"/>
      <c r="M489" s="9"/>
    </row>
    <row r="490" customFormat="false" ht="15" hidden="false" customHeight="false" outlineLevel="0" collapsed="false">
      <c r="A490" s="9"/>
      <c r="B490" s="9"/>
      <c r="C490" s="11"/>
      <c r="D490" s="9"/>
      <c r="E490" s="9"/>
      <c r="F490" s="22" t="str">
        <f aca="false">IF(E490="","",IFERROR(INDEX(02_INDICADORES!$B$2:$B$42,MATCH(E490,02_INDICADORES!$A$2:$A$42,0)),"ID?"))</f>
        <v/>
      </c>
      <c r="G490" s="21" t="str">
        <f aca="false">IF(E490="","",IFERROR(INDEX(02_INDICADORES!$C$2:$C$42,MATCH(E490,02_INDICADORES!$A$2:$A$42,0)),"ID?"))</f>
        <v/>
      </c>
      <c r="H490" s="22" t="str">
        <f aca="false">IF(E490="","",IFERROR(INDEX(02_INDICADORES!$D$2:$D$42,MATCH(E490,02_INDICADORES!$A$2:$A$42,0)),""))</f>
        <v/>
      </c>
      <c r="I490" s="9"/>
      <c r="J490" s="16" t="str">
        <f aca="false">IF(OR(I490="",H490=""),"",I490*H490)</f>
        <v/>
      </c>
      <c r="K490" s="9"/>
      <c r="L490" s="9"/>
      <c r="M490" s="9"/>
    </row>
    <row r="491" customFormat="false" ht="15" hidden="false" customHeight="false" outlineLevel="0" collapsed="false">
      <c r="A491" s="9"/>
      <c r="B491" s="9"/>
      <c r="C491" s="11"/>
      <c r="D491" s="9"/>
      <c r="E491" s="9"/>
      <c r="F491" s="22" t="str">
        <f aca="false">IF(E491="","",IFERROR(INDEX(02_INDICADORES!$B$2:$B$42,MATCH(E491,02_INDICADORES!$A$2:$A$42,0)),"ID?"))</f>
        <v/>
      </c>
      <c r="G491" s="21" t="str">
        <f aca="false">IF(E491="","",IFERROR(INDEX(02_INDICADORES!$C$2:$C$42,MATCH(E491,02_INDICADORES!$A$2:$A$42,0)),"ID?"))</f>
        <v/>
      </c>
      <c r="H491" s="22" t="str">
        <f aca="false">IF(E491="","",IFERROR(INDEX(02_INDICADORES!$D$2:$D$42,MATCH(E491,02_INDICADORES!$A$2:$A$42,0)),""))</f>
        <v/>
      </c>
      <c r="I491" s="9"/>
      <c r="J491" s="16" t="str">
        <f aca="false">IF(OR(I491="",H491=""),"",I491*H491)</f>
        <v/>
      </c>
      <c r="K491" s="9"/>
      <c r="L491" s="9"/>
      <c r="M491" s="9"/>
    </row>
    <row r="492" customFormat="false" ht="15" hidden="false" customHeight="false" outlineLevel="0" collapsed="false">
      <c r="A492" s="9"/>
      <c r="B492" s="9"/>
      <c r="C492" s="11"/>
      <c r="D492" s="9"/>
      <c r="E492" s="9"/>
      <c r="F492" s="22" t="str">
        <f aca="false">IF(E492="","",IFERROR(INDEX(02_INDICADORES!$B$2:$B$42,MATCH(E492,02_INDICADORES!$A$2:$A$42,0)),"ID?"))</f>
        <v/>
      </c>
      <c r="G492" s="21" t="str">
        <f aca="false">IF(E492="","",IFERROR(INDEX(02_INDICADORES!$C$2:$C$42,MATCH(E492,02_INDICADORES!$A$2:$A$42,0)),"ID?"))</f>
        <v/>
      </c>
      <c r="H492" s="22" t="str">
        <f aca="false">IF(E492="","",IFERROR(INDEX(02_INDICADORES!$D$2:$D$42,MATCH(E492,02_INDICADORES!$A$2:$A$42,0)),""))</f>
        <v/>
      </c>
      <c r="I492" s="9"/>
      <c r="J492" s="16" t="str">
        <f aca="false">IF(OR(I492="",H492=""),"",I492*H492)</f>
        <v/>
      </c>
      <c r="K492" s="9"/>
      <c r="L492" s="9"/>
      <c r="M492" s="9"/>
    </row>
    <row r="493" customFormat="false" ht="15" hidden="false" customHeight="false" outlineLevel="0" collapsed="false">
      <c r="A493" s="9"/>
      <c r="B493" s="9"/>
      <c r="C493" s="11"/>
      <c r="D493" s="9"/>
      <c r="E493" s="9"/>
      <c r="F493" s="22" t="str">
        <f aca="false">IF(E493="","",IFERROR(INDEX(02_INDICADORES!$B$2:$B$42,MATCH(E493,02_INDICADORES!$A$2:$A$42,0)),"ID?"))</f>
        <v/>
      </c>
      <c r="G493" s="21" t="str">
        <f aca="false">IF(E493="","",IFERROR(INDEX(02_INDICADORES!$C$2:$C$42,MATCH(E493,02_INDICADORES!$A$2:$A$42,0)),"ID?"))</f>
        <v/>
      </c>
      <c r="H493" s="22" t="str">
        <f aca="false">IF(E493="","",IFERROR(INDEX(02_INDICADORES!$D$2:$D$42,MATCH(E493,02_INDICADORES!$A$2:$A$42,0)),""))</f>
        <v/>
      </c>
      <c r="I493" s="9"/>
      <c r="J493" s="16" t="str">
        <f aca="false">IF(OR(I493="",H493=""),"",I493*H493)</f>
        <v/>
      </c>
      <c r="K493" s="9"/>
      <c r="L493" s="9"/>
      <c r="M493" s="9"/>
    </row>
    <row r="494" customFormat="false" ht="15" hidden="false" customHeight="false" outlineLevel="0" collapsed="false">
      <c r="A494" s="9"/>
      <c r="B494" s="9"/>
      <c r="C494" s="11"/>
      <c r="D494" s="9"/>
      <c r="E494" s="9"/>
      <c r="F494" s="22" t="str">
        <f aca="false">IF(E494="","",IFERROR(INDEX(02_INDICADORES!$B$2:$B$42,MATCH(E494,02_INDICADORES!$A$2:$A$42,0)),"ID?"))</f>
        <v/>
      </c>
      <c r="G494" s="21" t="str">
        <f aca="false">IF(E494="","",IFERROR(INDEX(02_INDICADORES!$C$2:$C$42,MATCH(E494,02_INDICADORES!$A$2:$A$42,0)),"ID?"))</f>
        <v/>
      </c>
      <c r="H494" s="22" t="str">
        <f aca="false">IF(E494="","",IFERROR(INDEX(02_INDICADORES!$D$2:$D$42,MATCH(E494,02_INDICADORES!$A$2:$A$42,0)),""))</f>
        <v/>
      </c>
      <c r="I494" s="9"/>
      <c r="J494" s="16" t="str">
        <f aca="false">IF(OR(I494="",H494=""),"",I494*H494)</f>
        <v/>
      </c>
      <c r="K494" s="9"/>
      <c r="L494" s="9"/>
      <c r="M494" s="9"/>
    </row>
    <row r="495" customFormat="false" ht="15" hidden="false" customHeight="false" outlineLevel="0" collapsed="false">
      <c r="A495" s="9"/>
      <c r="B495" s="9"/>
      <c r="C495" s="11"/>
      <c r="D495" s="9"/>
      <c r="E495" s="9"/>
      <c r="F495" s="22" t="str">
        <f aca="false">IF(E495="","",IFERROR(INDEX(02_INDICADORES!$B$2:$B$42,MATCH(E495,02_INDICADORES!$A$2:$A$42,0)),"ID?"))</f>
        <v/>
      </c>
      <c r="G495" s="21" t="str">
        <f aca="false">IF(E495="","",IFERROR(INDEX(02_INDICADORES!$C$2:$C$42,MATCH(E495,02_INDICADORES!$A$2:$A$42,0)),"ID?"))</f>
        <v/>
      </c>
      <c r="H495" s="22" t="str">
        <f aca="false">IF(E495="","",IFERROR(INDEX(02_INDICADORES!$D$2:$D$42,MATCH(E495,02_INDICADORES!$A$2:$A$42,0)),""))</f>
        <v/>
      </c>
      <c r="I495" s="9"/>
      <c r="J495" s="16" t="str">
        <f aca="false">IF(OR(I495="",H495=""),"",I495*H495)</f>
        <v/>
      </c>
      <c r="K495" s="9"/>
      <c r="L495" s="9"/>
      <c r="M495" s="9"/>
    </row>
    <row r="496" customFormat="false" ht="15" hidden="false" customHeight="false" outlineLevel="0" collapsed="false">
      <c r="A496" s="9"/>
      <c r="B496" s="9"/>
      <c r="C496" s="11"/>
      <c r="D496" s="9"/>
      <c r="E496" s="9"/>
      <c r="F496" s="22" t="str">
        <f aca="false">IF(E496="","",IFERROR(INDEX(02_INDICADORES!$B$2:$B$42,MATCH(E496,02_INDICADORES!$A$2:$A$42,0)),"ID?"))</f>
        <v/>
      </c>
      <c r="G496" s="21" t="str">
        <f aca="false">IF(E496="","",IFERROR(INDEX(02_INDICADORES!$C$2:$C$42,MATCH(E496,02_INDICADORES!$A$2:$A$42,0)),"ID?"))</f>
        <v/>
      </c>
      <c r="H496" s="22" t="str">
        <f aca="false">IF(E496="","",IFERROR(INDEX(02_INDICADORES!$D$2:$D$42,MATCH(E496,02_INDICADORES!$A$2:$A$42,0)),""))</f>
        <v/>
      </c>
      <c r="I496" s="9"/>
      <c r="J496" s="16" t="str">
        <f aca="false">IF(OR(I496="",H496=""),"",I496*H496)</f>
        <v/>
      </c>
      <c r="K496" s="9"/>
      <c r="L496" s="9"/>
      <c r="M496" s="9"/>
    </row>
    <row r="497" customFormat="false" ht="15" hidden="false" customHeight="false" outlineLevel="0" collapsed="false">
      <c r="A497" s="9"/>
      <c r="B497" s="9"/>
      <c r="C497" s="11"/>
      <c r="D497" s="9"/>
      <c r="E497" s="9"/>
      <c r="F497" s="22" t="str">
        <f aca="false">IF(E497="","",IFERROR(INDEX(02_INDICADORES!$B$2:$B$42,MATCH(E497,02_INDICADORES!$A$2:$A$42,0)),"ID?"))</f>
        <v/>
      </c>
      <c r="G497" s="21" t="str">
        <f aca="false">IF(E497="","",IFERROR(INDEX(02_INDICADORES!$C$2:$C$42,MATCH(E497,02_INDICADORES!$A$2:$A$42,0)),"ID?"))</f>
        <v/>
      </c>
      <c r="H497" s="22" t="str">
        <f aca="false">IF(E497="","",IFERROR(INDEX(02_INDICADORES!$D$2:$D$42,MATCH(E497,02_INDICADORES!$A$2:$A$42,0)),""))</f>
        <v/>
      </c>
      <c r="I497" s="9"/>
      <c r="J497" s="16" t="str">
        <f aca="false">IF(OR(I497="",H497=""),"",I497*H497)</f>
        <v/>
      </c>
      <c r="K497" s="9"/>
      <c r="L497" s="9"/>
      <c r="M497" s="9"/>
    </row>
    <row r="498" customFormat="false" ht="15" hidden="false" customHeight="false" outlineLevel="0" collapsed="false">
      <c r="A498" s="9"/>
      <c r="B498" s="9"/>
      <c r="C498" s="11"/>
      <c r="D498" s="9"/>
      <c r="E498" s="9"/>
      <c r="F498" s="22" t="str">
        <f aca="false">IF(E498="","",IFERROR(INDEX(02_INDICADORES!$B$2:$B$42,MATCH(E498,02_INDICADORES!$A$2:$A$42,0)),"ID?"))</f>
        <v/>
      </c>
      <c r="G498" s="21" t="str">
        <f aca="false">IF(E498="","",IFERROR(INDEX(02_INDICADORES!$C$2:$C$42,MATCH(E498,02_INDICADORES!$A$2:$A$42,0)),"ID?"))</f>
        <v/>
      </c>
      <c r="H498" s="22" t="str">
        <f aca="false">IF(E498="","",IFERROR(INDEX(02_INDICADORES!$D$2:$D$42,MATCH(E498,02_INDICADORES!$A$2:$A$42,0)),""))</f>
        <v/>
      </c>
      <c r="I498" s="9"/>
      <c r="J498" s="16" t="str">
        <f aca="false">IF(OR(I498="",H498=""),"",I498*H498)</f>
        <v/>
      </c>
      <c r="K498" s="9"/>
      <c r="L498" s="9"/>
      <c r="M498" s="9"/>
    </row>
    <row r="499" customFormat="false" ht="15" hidden="false" customHeight="false" outlineLevel="0" collapsed="false">
      <c r="A499" s="9"/>
      <c r="B499" s="9"/>
      <c r="C499" s="11"/>
      <c r="D499" s="9"/>
      <c r="E499" s="9"/>
      <c r="F499" s="22" t="str">
        <f aca="false">IF(E499="","",IFERROR(INDEX(02_INDICADORES!$B$2:$B$42,MATCH(E499,02_INDICADORES!$A$2:$A$42,0)),"ID?"))</f>
        <v/>
      </c>
      <c r="G499" s="21" t="str">
        <f aca="false">IF(E499="","",IFERROR(INDEX(02_INDICADORES!$C$2:$C$42,MATCH(E499,02_INDICADORES!$A$2:$A$42,0)),"ID?"))</f>
        <v/>
      </c>
      <c r="H499" s="22" t="str">
        <f aca="false">IF(E499="","",IFERROR(INDEX(02_INDICADORES!$D$2:$D$42,MATCH(E499,02_INDICADORES!$A$2:$A$42,0)),""))</f>
        <v/>
      </c>
      <c r="I499" s="9"/>
      <c r="J499" s="16" t="str">
        <f aca="false">IF(OR(I499="",H499=""),"",I499*H499)</f>
        <v/>
      </c>
      <c r="K499" s="9"/>
      <c r="L499" s="9"/>
      <c r="M499" s="9"/>
    </row>
    <row r="500" customFormat="false" ht="15" hidden="false" customHeight="false" outlineLevel="0" collapsed="false">
      <c r="A500" s="9"/>
      <c r="B500" s="9"/>
      <c r="C500" s="11"/>
      <c r="D500" s="9"/>
      <c r="E500" s="9"/>
      <c r="F500" s="22" t="str">
        <f aca="false">IF(E500="","",IFERROR(INDEX(02_INDICADORES!$B$2:$B$42,MATCH(E500,02_INDICADORES!$A$2:$A$42,0)),"ID?"))</f>
        <v/>
      </c>
      <c r="G500" s="21" t="str">
        <f aca="false">IF(E500="","",IFERROR(INDEX(02_INDICADORES!$C$2:$C$42,MATCH(E500,02_INDICADORES!$A$2:$A$42,0)),"ID?"))</f>
        <v/>
      </c>
      <c r="H500" s="22" t="str">
        <f aca="false">IF(E500="","",IFERROR(INDEX(02_INDICADORES!$D$2:$D$42,MATCH(E500,02_INDICADORES!$A$2:$A$42,0)),""))</f>
        <v/>
      </c>
      <c r="I500" s="9"/>
      <c r="J500" s="16" t="str">
        <f aca="false">IF(OR(I500="",H500=""),"",I500*H500)</f>
        <v/>
      </c>
      <c r="K500" s="9"/>
      <c r="L500" s="9"/>
      <c r="M500" s="9"/>
    </row>
    <row r="501" customFormat="false" ht="15" hidden="false" customHeight="false" outlineLevel="0" collapsed="false">
      <c r="A501" s="9"/>
      <c r="B501" s="9"/>
      <c r="C501" s="11"/>
      <c r="D501" s="9"/>
      <c r="E501" s="9"/>
      <c r="F501" s="22" t="str">
        <f aca="false">IF(E501="","",IFERROR(INDEX(02_INDICADORES!$B$2:$B$42,MATCH(E501,02_INDICADORES!$A$2:$A$42,0)),"ID?"))</f>
        <v/>
      </c>
      <c r="G501" s="21" t="str">
        <f aca="false">IF(E501="","",IFERROR(INDEX(02_INDICADORES!$C$2:$C$42,MATCH(E501,02_INDICADORES!$A$2:$A$42,0)),"ID?"))</f>
        <v/>
      </c>
      <c r="H501" s="22" t="str">
        <f aca="false">IF(E501="","",IFERROR(INDEX(02_INDICADORES!$D$2:$D$42,MATCH(E501,02_INDICADORES!$A$2:$A$42,0)),""))</f>
        <v/>
      </c>
      <c r="I501" s="9"/>
      <c r="J501" s="16" t="str">
        <f aca="false">IF(OR(I501="",H501=""),"",I501*H501)</f>
        <v/>
      </c>
      <c r="K501" s="9"/>
      <c r="L501" s="9"/>
      <c r="M501" s="9"/>
    </row>
    <row r="502" customFormat="false" ht="15" hidden="false" customHeight="false" outlineLevel="0" collapsed="false">
      <c r="A502" s="9"/>
      <c r="B502" s="9"/>
      <c r="C502" s="11"/>
      <c r="D502" s="9"/>
      <c r="E502" s="9"/>
      <c r="F502" s="22" t="str">
        <f aca="false">IF(E502="","",IFERROR(INDEX(02_INDICADORES!$B$2:$B$42,MATCH(E502,02_INDICADORES!$A$2:$A$42,0)),"ID?"))</f>
        <v/>
      </c>
      <c r="G502" s="21" t="str">
        <f aca="false">IF(E502="","",IFERROR(INDEX(02_INDICADORES!$C$2:$C$42,MATCH(E502,02_INDICADORES!$A$2:$A$42,0)),"ID?"))</f>
        <v/>
      </c>
      <c r="H502" s="22" t="str">
        <f aca="false">IF(E502="","",IFERROR(INDEX(02_INDICADORES!$D$2:$D$42,MATCH(E502,02_INDICADORES!$A$2:$A$42,0)),""))</f>
        <v/>
      </c>
      <c r="I502" s="9"/>
      <c r="J502" s="16" t="str">
        <f aca="false">IF(OR(I502="",H502=""),"",I502*H502)</f>
        <v/>
      </c>
      <c r="K502" s="9"/>
      <c r="L502" s="9"/>
      <c r="M502" s="9"/>
    </row>
    <row r="503" customFormat="false" ht="15" hidden="false" customHeight="false" outlineLevel="0" collapsed="false">
      <c r="A503" s="9"/>
      <c r="B503" s="9"/>
      <c r="C503" s="11"/>
      <c r="D503" s="9"/>
      <c r="E503" s="9"/>
      <c r="F503" s="22" t="str">
        <f aca="false">IF(E503="","",IFERROR(INDEX(02_INDICADORES!$B$2:$B$42,MATCH(E503,02_INDICADORES!$A$2:$A$42,0)),"ID?"))</f>
        <v/>
      </c>
      <c r="G503" s="21" t="str">
        <f aca="false">IF(E503="","",IFERROR(INDEX(02_INDICADORES!$C$2:$C$42,MATCH(E503,02_INDICADORES!$A$2:$A$42,0)),"ID?"))</f>
        <v/>
      </c>
      <c r="H503" s="22" t="str">
        <f aca="false">IF(E503="","",IFERROR(INDEX(02_INDICADORES!$D$2:$D$42,MATCH(E503,02_INDICADORES!$A$2:$A$42,0)),""))</f>
        <v/>
      </c>
      <c r="I503" s="9"/>
      <c r="J503" s="16" t="str">
        <f aca="false">IF(OR(I503="",H503=""),"",I503*H503)</f>
        <v/>
      </c>
      <c r="K503" s="9"/>
      <c r="L503" s="9"/>
      <c r="M503" s="9"/>
    </row>
    <row r="504" customFormat="false" ht="15" hidden="false" customHeight="false" outlineLevel="0" collapsed="false">
      <c r="A504" s="9"/>
      <c r="B504" s="9"/>
      <c r="C504" s="11"/>
      <c r="D504" s="9"/>
      <c r="E504" s="9"/>
      <c r="F504" s="22" t="str">
        <f aca="false">IF(E504="","",IFERROR(INDEX(02_INDICADORES!$B$2:$B$42,MATCH(E504,02_INDICADORES!$A$2:$A$42,0)),"ID?"))</f>
        <v/>
      </c>
      <c r="G504" s="21" t="str">
        <f aca="false">IF(E504="","",IFERROR(INDEX(02_INDICADORES!$C$2:$C$42,MATCH(E504,02_INDICADORES!$A$2:$A$42,0)),"ID?"))</f>
        <v/>
      </c>
      <c r="H504" s="22" t="str">
        <f aca="false">IF(E504="","",IFERROR(INDEX(02_INDICADORES!$D$2:$D$42,MATCH(E504,02_INDICADORES!$A$2:$A$42,0)),""))</f>
        <v/>
      </c>
      <c r="I504" s="9"/>
      <c r="J504" s="16" t="str">
        <f aca="false">IF(OR(I504="",H504=""),"",I504*H504)</f>
        <v/>
      </c>
      <c r="K504" s="9"/>
      <c r="L504" s="9"/>
      <c r="M504" s="9"/>
    </row>
    <row r="505" customFormat="false" ht="15" hidden="false" customHeight="false" outlineLevel="0" collapsed="false">
      <c r="A505" s="9"/>
      <c r="B505" s="9"/>
      <c r="C505" s="11"/>
      <c r="D505" s="9"/>
      <c r="E505" s="9"/>
      <c r="F505" s="22" t="str">
        <f aca="false">IF(E505="","",IFERROR(INDEX(02_INDICADORES!$B$2:$B$42,MATCH(E505,02_INDICADORES!$A$2:$A$42,0)),"ID?"))</f>
        <v/>
      </c>
      <c r="G505" s="21" t="str">
        <f aca="false">IF(E505="","",IFERROR(INDEX(02_INDICADORES!$C$2:$C$42,MATCH(E505,02_INDICADORES!$A$2:$A$42,0)),"ID?"))</f>
        <v/>
      </c>
      <c r="H505" s="22" t="str">
        <f aca="false">IF(E505="","",IFERROR(INDEX(02_INDICADORES!$D$2:$D$42,MATCH(E505,02_INDICADORES!$A$2:$A$42,0)),""))</f>
        <v/>
      </c>
      <c r="I505" s="9"/>
      <c r="J505" s="16" t="str">
        <f aca="false">IF(OR(I505="",H505=""),"",I505*H505)</f>
        <v/>
      </c>
      <c r="K505" s="9"/>
      <c r="L505" s="9"/>
      <c r="M505" s="9"/>
    </row>
    <row r="506" customFormat="false" ht="15" hidden="false" customHeight="false" outlineLevel="0" collapsed="false">
      <c r="A506" s="9"/>
      <c r="B506" s="9"/>
      <c r="C506" s="11"/>
      <c r="D506" s="9"/>
      <c r="E506" s="9"/>
      <c r="F506" s="22" t="str">
        <f aca="false">IF(E506="","",IFERROR(INDEX(02_INDICADORES!$B$2:$B$42,MATCH(E506,02_INDICADORES!$A$2:$A$42,0)),"ID?"))</f>
        <v/>
      </c>
      <c r="G506" s="21" t="str">
        <f aca="false">IF(E506="","",IFERROR(INDEX(02_INDICADORES!$C$2:$C$42,MATCH(E506,02_INDICADORES!$A$2:$A$42,0)),"ID?"))</f>
        <v/>
      </c>
      <c r="H506" s="22" t="str">
        <f aca="false">IF(E506="","",IFERROR(INDEX(02_INDICADORES!$D$2:$D$42,MATCH(E506,02_INDICADORES!$A$2:$A$42,0)),""))</f>
        <v/>
      </c>
      <c r="I506" s="9"/>
      <c r="J506" s="16" t="str">
        <f aca="false">IF(OR(I506="",H506=""),"",I506*H506)</f>
        <v/>
      </c>
      <c r="K506" s="9"/>
      <c r="L506" s="9"/>
      <c r="M506" s="9"/>
    </row>
    <row r="507" customFormat="false" ht="15" hidden="false" customHeight="false" outlineLevel="0" collapsed="false">
      <c r="A507" s="9"/>
      <c r="B507" s="9"/>
      <c r="C507" s="11"/>
      <c r="D507" s="9"/>
      <c r="E507" s="9"/>
      <c r="F507" s="22" t="str">
        <f aca="false">IF(E507="","",IFERROR(INDEX(02_INDICADORES!$B$2:$B$42,MATCH(E507,02_INDICADORES!$A$2:$A$42,0)),"ID?"))</f>
        <v/>
      </c>
      <c r="G507" s="21" t="str">
        <f aca="false">IF(E507="","",IFERROR(INDEX(02_INDICADORES!$C$2:$C$42,MATCH(E507,02_INDICADORES!$A$2:$A$42,0)),"ID?"))</f>
        <v/>
      </c>
      <c r="H507" s="22" t="str">
        <f aca="false">IF(E507="","",IFERROR(INDEX(02_INDICADORES!$D$2:$D$42,MATCH(E507,02_INDICADORES!$A$2:$A$42,0)),""))</f>
        <v/>
      </c>
      <c r="I507" s="9"/>
      <c r="J507" s="16" t="str">
        <f aca="false">IF(OR(I507="",H507=""),"",I507*H507)</f>
        <v/>
      </c>
      <c r="K507" s="9"/>
      <c r="L507" s="9"/>
      <c r="M507" s="9"/>
    </row>
    <row r="508" customFormat="false" ht="15" hidden="false" customHeight="false" outlineLevel="0" collapsed="false">
      <c r="A508" s="9"/>
      <c r="B508" s="9"/>
      <c r="C508" s="11"/>
      <c r="D508" s="9"/>
      <c r="E508" s="9"/>
      <c r="F508" s="22" t="str">
        <f aca="false">IF(E508="","",IFERROR(INDEX(02_INDICADORES!$B$2:$B$42,MATCH(E508,02_INDICADORES!$A$2:$A$42,0)),"ID?"))</f>
        <v/>
      </c>
      <c r="G508" s="21" t="str">
        <f aca="false">IF(E508="","",IFERROR(INDEX(02_INDICADORES!$C$2:$C$42,MATCH(E508,02_INDICADORES!$A$2:$A$42,0)),"ID?"))</f>
        <v/>
      </c>
      <c r="H508" s="22" t="str">
        <f aca="false">IF(E508="","",IFERROR(INDEX(02_INDICADORES!$D$2:$D$42,MATCH(E508,02_INDICADORES!$A$2:$A$42,0)),""))</f>
        <v/>
      </c>
      <c r="I508" s="9"/>
      <c r="J508" s="16" t="str">
        <f aca="false">IF(OR(I508="",H508=""),"",I508*H508)</f>
        <v/>
      </c>
      <c r="K508" s="9"/>
      <c r="L508" s="9"/>
      <c r="M508" s="9"/>
    </row>
    <row r="509" customFormat="false" ht="15" hidden="false" customHeight="false" outlineLevel="0" collapsed="false">
      <c r="A509" s="9"/>
      <c r="B509" s="9"/>
      <c r="C509" s="11"/>
      <c r="D509" s="9"/>
      <c r="E509" s="9"/>
      <c r="F509" s="22" t="str">
        <f aca="false">IF(E509="","",IFERROR(INDEX(02_INDICADORES!$B$2:$B$42,MATCH(E509,02_INDICADORES!$A$2:$A$42,0)),"ID?"))</f>
        <v/>
      </c>
      <c r="G509" s="21" t="str">
        <f aca="false">IF(E509="","",IFERROR(INDEX(02_INDICADORES!$C$2:$C$42,MATCH(E509,02_INDICADORES!$A$2:$A$42,0)),"ID?"))</f>
        <v/>
      </c>
      <c r="H509" s="22" t="str">
        <f aca="false">IF(E509="","",IFERROR(INDEX(02_INDICADORES!$D$2:$D$42,MATCH(E509,02_INDICADORES!$A$2:$A$42,0)),""))</f>
        <v/>
      </c>
      <c r="I509" s="9"/>
      <c r="J509" s="16" t="str">
        <f aca="false">IF(OR(I509="",H509=""),"",I509*H509)</f>
        <v/>
      </c>
      <c r="K509" s="9"/>
      <c r="L509" s="9"/>
      <c r="M509" s="9"/>
    </row>
    <row r="510" customFormat="false" ht="15" hidden="false" customHeight="false" outlineLevel="0" collapsed="false">
      <c r="A510" s="9"/>
      <c r="B510" s="9"/>
      <c r="C510" s="11"/>
      <c r="D510" s="9"/>
      <c r="E510" s="9"/>
      <c r="F510" s="22" t="str">
        <f aca="false">IF(E510="","",IFERROR(INDEX(02_INDICADORES!$B$2:$B$42,MATCH(E510,02_INDICADORES!$A$2:$A$42,0)),"ID?"))</f>
        <v/>
      </c>
      <c r="G510" s="21" t="str">
        <f aca="false">IF(E510="","",IFERROR(INDEX(02_INDICADORES!$C$2:$C$42,MATCH(E510,02_INDICADORES!$A$2:$A$42,0)),"ID?"))</f>
        <v/>
      </c>
      <c r="H510" s="22" t="str">
        <f aca="false">IF(E510="","",IFERROR(INDEX(02_INDICADORES!$D$2:$D$42,MATCH(E510,02_INDICADORES!$A$2:$A$42,0)),""))</f>
        <v/>
      </c>
      <c r="I510" s="9"/>
      <c r="J510" s="16" t="str">
        <f aca="false">IF(OR(I510="",H510=""),"",I510*H510)</f>
        <v/>
      </c>
      <c r="K510" s="9"/>
      <c r="L510" s="9"/>
      <c r="M510" s="9"/>
    </row>
    <row r="511" customFormat="false" ht="15" hidden="false" customHeight="false" outlineLevel="0" collapsed="false">
      <c r="A511" s="9"/>
      <c r="B511" s="9"/>
      <c r="C511" s="11"/>
      <c r="D511" s="9"/>
      <c r="E511" s="9"/>
      <c r="F511" s="22" t="str">
        <f aca="false">IF(E511="","",IFERROR(INDEX(02_INDICADORES!$B$2:$B$42,MATCH(E511,02_INDICADORES!$A$2:$A$42,0)),"ID?"))</f>
        <v/>
      </c>
      <c r="G511" s="21" t="str">
        <f aca="false">IF(E511="","",IFERROR(INDEX(02_INDICADORES!$C$2:$C$42,MATCH(E511,02_INDICADORES!$A$2:$A$42,0)),"ID?"))</f>
        <v/>
      </c>
      <c r="H511" s="22" t="str">
        <f aca="false">IF(E511="","",IFERROR(INDEX(02_INDICADORES!$D$2:$D$42,MATCH(E511,02_INDICADORES!$A$2:$A$42,0)),""))</f>
        <v/>
      </c>
      <c r="I511" s="9"/>
      <c r="J511" s="16" t="str">
        <f aca="false">IF(OR(I511="",H511=""),"",I511*H511)</f>
        <v/>
      </c>
      <c r="K511" s="9"/>
      <c r="L511" s="9"/>
      <c r="M511" s="9"/>
    </row>
    <row r="512" customFormat="false" ht="15" hidden="false" customHeight="false" outlineLevel="0" collapsed="false">
      <c r="A512" s="9"/>
      <c r="B512" s="9"/>
      <c r="C512" s="11"/>
      <c r="D512" s="9"/>
      <c r="E512" s="9"/>
      <c r="F512" s="22" t="str">
        <f aca="false">IF(E512="","",IFERROR(INDEX(02_INDICADORES!$B$2:$B$42,MATCH(E512,02_INDICADORES!$A$2:$A$42,0)),"ID?"))</f>
        <v/>
      </c>
      <c r="G512" s="21" t="str">
        <f aca="false">IF(E512="","",IFERROR(INDEX(02_INDICADORES!$C$2:$C$42,MATCH(E512,02_INDICADORES!$A$2:$A$42,0)),"ID?"))</f>
        <v/>
      </c>
      <c r="H512" s="22" t="str">
        <f aca="false">IF(E512="","",IFERROR(INDEX(02_INDICADORES!$D$2:$D$42,MATCH(E512,02_INDICADORES!$A$2:$A$42,0)),""))</f>
        <v/>
      </c>
      <c r="I512" s="9"/>
      <c r="J512" s="16" t="str">
        <f aca="false">IF(OR(I512="",H512=""),"",I512*H512)</f>
        <v/>
      </c>
      <c r="K512" s="9"/>
      <c r="L512" s="9"/>
      <c r="M512" s="9"/>
    </row>
    <row r="513" customFormat="false" ht="15" hidden="false" customHeight="false" outlineLevel="0" collapsed="false">
      <c r="A513" s="9"/>
      <c r="B513" s="9"/>
      <c r="C513" s="11"/>
      <c r="D513" s="9"/>
      <c r="E513" s="9"/>
      <c r="F513" s="22" t="str">
        <f aca="false">IF(E513="","",IFERROR(INDEX(02_INDICADORES!$B$2:$B$42,MATCH(E513,02_INDICADORES!$A$2:$A$42,0)),"ID?"))</f>
        <v/>
      </c>
      <c r="G513" s="21" t="str">
        <f aca="false">IF(E513="","",IFERROR(INDEX(02_INDICADORES!$C$2:$C$42,MATCH(E513,02_INDICADORES!$A$2:$A$42,0)),"ID?"))</f>
        <v/>
      </c>
      <c r="H513" s="22" t="str">
        <f aca="false">IF(E513="","",IFERROR(INDEX(02_INDICADORES!$D$2:$D$42,MATCH(E513,02_INDICADORES!$A$2:$A$42,0)),""))</f>
        <v/>
      </c>
      <c r="I513" s="9"/>
      <c r="J513" s="16" t="str">
        <f aca="false">IF(OR(I513="",H513=""),"",I513*H513)</f>
        <v/>
      </c>
      <c r="K513" s="9"/>
      <c r="L513" s="9"/>
      <c r="M513" s="9"/>
    </row>
    <row r="514" customFormat="false" ht="15" hidden="false" customHeight="false" outlineLevel="0" collapsed="false">
      <c r="A514" s="9"/>
      <c r="B514" s="9"/>
      <c r="C514" s="11"/>
      <c r="D514" s="9"/>
      <c r="E514" s="9"/>
      <c r="F514" s="22" t="str">
        <f aca="false">IF(E514="","",IFERROR(INDEX(02_INDICADORES!$B$2:$B$42,MATCH(E514,02_INDICADORES!$A$2:$A$42,0)),"ID?"))</f>
        <v/>
      </c>
      <c r="G514" s="21" t="str">
        <f aca="false">IF(E514="","",IFERROR(INDEX(02_INDICADORES!$C$2:$C$42,MATCH(E514,02_INDICADORES!$A$2:$A$42,0)),"ID?"))</f>
        <v/>
      </c>
      <c r="H514" s="22" t="str">
        <f aca="false">IF(E514="","",IFERROR(INDEX(02_INDICADORES!$D$2:$D$42,MATCH(E514,02_INDICADORES!$A$2:$A$42,0)),""))</f>
        <v/>
      </c>
      <c r="I514" s="9"/>
      <c r="J514" s="16" t="str">
        <f aca="false">IF(OR(I514="",H514=""),"",I514*H514)</f>
        <v/>
      </c>
      <c r="K514" s="9"/>
      <c r="L514" s="9"/>
      <c r="M514" s="9"/>
    </row>
    <row r="515" customFormat="false" ht="15" hidden="false" customHeight="false" outlineLevel="0" collapsed="false">
      <c r="A515" s="9"/>
      <c r="B515" s="9"/>
      <c r="C515" s="11"/>
      <c r="D515" s="9"/>
      <c r="E515" s="9"/>
      <c r="F515" s="22" t="str">
        <f aca="false">IF(E515="","",IFERROR(INDEX(02_INDICADORES!$B$2:$B$42,MATCH(E515,02_INDICADORES!$A$2:$A$42,0)),"ID?"))</f>
        <v/>
      </c>
      <c r="G515" s="21" t="str">
        <f aca="false">IF(E515="","",IFERROR(INDEX(02_INDICADORES!$C$2:$C$42,MATCH(E515,02_INDICADORES!$A$2:$A$42,0)),"ID?"))</f>
        <v/>
      </c>
      <c r="H515" s="22" t="str">
        <f aca="false">IF(E515="","",IFERROR(INDEX(02_INDICADORES!$D$2:$D$42,MATCH(E515,02_INDICADORES!$A$2:$A$42,0)),""))</f>
        <v/>
      </c>
      <c r="I515" s="9"/>
      <c r="J515" s="16" t="str">
        <f aca="false">IF(OR(I515="",H515=""),"",I515*H515)</f>
        <v/>
      </c>
      <c r="K515" s="9"/>
      <c r="L515" s="9"/>
      <c r="M515" s="9"/>
    </row>
    <row r="516" customFormat="false" ht="15" hidden="false" customHeight="false" outlineLevel="0" collapsed="false">
      <c r="A516" s="9"/>
      <c r="B516" s="9"/>
      <c r="C516" s="11"/>
      <c r="D516" s="9"/>
      <c r="E516" s="9"/>
      <c r="F516" s="22" t="str">
        <f aca="false">IF(E516="","",IFERROR(INDEX(02_INDICADORES!$B$2:$B$42,MATCH(E516,02_INDICADORES!$A$2:$A$42,0)),"ID?"))</f>
        <v/>
      </c>
      <c r="G516" s="21" t="str">
        <f aca="false">IF(E516="","",IFERROR(INDEX(02_INDICADORES!$C$2:$C$42,MATCH(E516,02_INDICADORES!$A$2:$A$42,0)),"ID?"))</f>
        <v/>
      </c>
      <c r="H516" s="22" t="str">
        <f aca="false">IF(E516="","",IFERROR(INDEX(02_INDICADORES!$D$2:$D$42,MATCH(E516,02_INDICADORES!$A$2:$A$42,0)),""))</f>
        <v/>
      </c>
      <c r="I516" s="9"/>
      <c r="J516" s="16" t="str">
        <f aca="false">IF(OR(I516="",H516=""),"",I516*H516)</f>
        <v/>
      </c>
      <c r="K516" s="9"/>
      <c r="L516" s="9"/>
      <c r="M516" s="9"/>
    </row>
    <row r="517" customFormat="false" ht="15" hidden="false" customHeight="false" outlineLevel="0" collapsed="false">
      <c r="A517" s="9"/>
      <c r="B517" s="9"/>
      <c r="C517" s="11"/>
      <c r="D517" s="9"/>
      <c r="E517" s="9"/>
      <c r="F517" s="22" t="str">
        <f aca="false">IF(E517="","",IFERROR(INDEX(02_INDICADORES!$B$2:$B$42,MATCH(E517,02_INDICADORES!$A$2:$A$42,0)),"ID?"))</f>
        <v/>
      </c>
      <c r="G517" s="21" t="str">
        <f aca="false">IF(E517="","",IFERROR(INDEX(02_INDICADORES!$C$2:$C$42,MATCH(E517,02_INDICADORES!$A$2:$A$42,0)),"ID?"))</f>
        <v/>
      </c>
      <c r="H517" s="22" t="str">
        <f aca="false">IF(E517="","",IFERROR(INDEX(02_INDICADORES!$D$2:$D$42,MATCH(E517,02_INDICADORES!$A$2:$A$42,0)),""))</f>
        <v/>
      </c>
      <c r="I517" s="9"/>
      <c r="J517" s="16" t="str">
        <f aca="false">IF(OR(I517="",H517=""),"",I517*H517)</f>
        <v/>
      </c>
      <c r="K517" s="9"/>
      <c r="L517" s="9"/>
      <c r="M517" s="9"/>
    </row>
    <row r="518" customFormat="false" ht="15" hidden="false" customHeight="false" outlineLevel="0" collapsed="false">
      <c r="A518" s="9"/>
      <c r="B518" s="9"/>
      <c r="C518" s="11"/>
      <c r="D518" s="9"/>
      <c r="E518" s="9"/>
      <c r="F518" s="22" t="str">
        <f aca="false">IF(E518="","",IFERROR(INDEX(02_INDICADORES!$B$2:$B$42,MATCH(E518,02_INDICADORES!$A$2:$A$42,0)),"ID?"))</f>
        <v/>
      </c>
      <c r="G518" s="21" t="str">
        <f aca="false">IF(E518="","",IFERROR(INDEX(02_INDICADORES!$C$2:$C$42,MATCH(E518,02_INDICADORES!$A$2:$A$42,0)),"ID?"))</f>
        <v/>
      </c>
      <c r="H518" s="22" t="str">
        <f aca="false">IF(E518="","",IFERROR(INDEX(02_INDICADORES!$D$2:$D$42,MATCH(E518,02_INDICADORES!$A$2:$A$42,0)),""))</f>
        <v/>
      </c>
      <c r="I518" s="9"/>
      <c r="J518" s="16" t="str">
        <f aca="false">IF(OR(I518="",H518=""),"",I518*H518)</f>
        <v/>
      </c>
      <c r="K518" s="9"/>
      <c r="L518" s="9"/>
      <c r="M518" s="9"/>
    </row>
    <row r="519" customFormat="false" ht="15" hidden="false" customHeight="false" outlineLevel="0" collapsed="false">
      <c r="A519" s="9"/>
      <c r="B519" s="9"/>
      <c r="C519" s="11"/>
      <c r="D519" s="9"/>
      <c r="E519" s="9"/>
      <c r="F519" s="22" t="str">
        <f aca="false">IF(E519="","",IFERROR(INDEX(02_INDICADORES!$B$2:$B$42,MATCH(E519,02_INDICADORES!$A$2:$A$42,0)),"ID?"))</f>
        <v/>
      </c>
      <c r="G519" s="21" t="str">
        <f aca="false">IF(E519="","",IFERROR(INDEX(02_INDICADORES!$C$2:$C$42,MATCH(E519,02_INDICADORES!$A$2:$A$42,0)),"ID?"))</f>
        <v/>
      </c>
      <c r="H519" s="22" t="str">
        <f aca="false">IF(E519="","",IFERROR(INDEX(02_INDICADORES!$D$2:$D$42,MATCH(E519,02_INDICADORES!$A$2:$A$42,0)),""))</f>
        <v/>
      </c>
      <c r="I519" s="9"/>
      <c r="J519" s="16" t="str">
        <f aca="false">IF(OR(I519="",H519=""),"",I519*H519)</f>
        <v/>
      </c>
      <c r="K519" s="9"/>
      <c r="L519" s="9"/>
      <c r="M519" s="9"/>
    </row>
    <row r="520" customFormat="false" ht="15" hidden="false" customHeight="false" outlineLevel="0" collapsed="false">
      <c r="A520" s="9"/>
      <c r="B520" s="9"/>
      <c r="C520" s="11"/>
      <c r="D520" s="9"/>
      <c r="E520" s="9"/>
      <c r="F520" s="22" t="str">
        <f aca="false">IF(E520="","",IFERROR(INDEX(02_INDICADORES!$B$2:$B$42,MATCH(E520,02_INDICADORES!$A$2:$A$42,0)),"ID?"))</f>
        <v/>
      </c>
      <c r="G520" s="21" t="str">
        <f aca="false">IF(E520="","",IFERROR(INDEX(02_INDICADORES!$C$2:$C$42,MATCH(E520,02_INDICADORES!$A$2:$A$42,0)),"ID?"))</f>
        <v/>
      </c>
      <c r="H520" s="22" t="str">
        <f aca="false">IF(E520="","",IFERROR(INDEX(02_INDICADORES!$D$2:$D$42,MATCH(E520,02_INDICADORES!$A$2:$A$42,0)),""))</f>
        <v/>
      </c>
      <c r="I520" s="9"/>
      <c r="J520" s="16" t="str">
        <f aca="false">IF(OR(I520="",H520=""),"",I520*H520)</f>
        <v/>
      </c>
      <c r="K520" s="9"/>
      <c r="L520" s="9"/>
      <c r="M520" s="9"/>
    </row>
    <row r="521" customFormat="false" ht="15" hidden="false" customHeight="false" outlineLevel="0" collapsed="false">
      <c r="A521" s="9"/>
      <c r="B521" s="9"/>
      <c r="C521" s="11"/>
      <c r="D521" s="9"/>
      <c r="E521" s="9"/>
      <c r="F521" s="22" t="str">
        <f aca="false">IF(E521="","",IFERROR(INDEX(02_INDICADORES!$B$2:$B$42,MATCH(E521,02_INDICADORES!$A$2:$A$42,0)),"ID?"))</f>
        <v/>
      </c>
      <c r="G521" s="21" t="str">
        <f aca="false">IF(E521="","",IFERROR(INDEX(02_INDICADORES!$C$2:$C$42,MATCH(E521,02_INDICADORES!$A$2:$A$42,0)),"ID?"))</f>
        <v/>
      </c>
      <c r="H521" s="22" t="str">
        <f aca="false">IF(E521="","",IFERROR(INDEX(02_INDICADORES!$D$2:$D$42,MATCH(E521,02_INDICADORES!$A$2:$A$42,0)),""))</f>
        <v/>
      </c>
      <c r="I521" s="9"/>
      <c r="J521" s="16" t="str">
        <f aca="false">IF(OR(I521="",H521=""),"",I521*H521)</f>
        <v/>
      </c>
      <c r="K521" s="9"/>
      <c r="L521" s="9"/>
      <c r="M521" s="9"/>
    </row>
    <row r="522" customFormat="false" ht="15" hidden="false" customHeight="false" outlineLevel="0" collapsed="false">
      <c r="A522" s="9"/>
      <c r="B522" s="9"/>
      <c r="C522" s="11"/>
      <c r="D522" s="9"/>
      <c r="E522" s="9"/>
      <c r="F522" s="22" t="str">
        <f aca="false">IF(E522="","",IFERROR(INDEX(02_INDICADORES!$B$2:$B$42,MATCH(E522,02_INDICADORES!$A$2:$A$42,0)),"ID?"))</f>
        <v/>
      </c>
      <c r="G522" s="21" t="str">
        <f aca="false">IF(E522="","",IFERROR(INDEX(02_INDICADORES!$C$2:$C$42,MATCH(E522,02_INDICADORES!$A$2:$A$42,0)),"ID?"))</f>
        <v/>
      </c>
      <c r="H522" s="22" t="str">
        <f aca="false">IF(E522="","",IFERROR(INDEX(02_INDICADORES!$D$2:$D$42,MATCH(E522,02_INDICADORES!$A$2:$A$42,0)),""))</f>
        <v/>
      </c>
      <c r="I522" s="9"/>
      <c r="J522" s="16" t="str">
        <f aca="false">IF(OR(I522="",H522=""),"",I522*H522)</f>
        <v/>
      </c>
      <c r="K522" s="9"/>
      <c r="L522" s="9"/>
      <c r="M522" s="9"/>
    </row>
    <row r="523" customFormat="false" ht="15" hidden="false" customHeight="false" outlineLevel="0" collapsed="false">
      <c r="A523" s="9"/>
      <c r="B523" s="9"/>
      <c r="C523" s="11"/>
      <c r="D523" s="9"/>
      <c r="E523" s="9"/>
      <c r="F523" s="22" t="str">
        <f aca="false">IF(E523="","",IFERROR(INDEX(02_INDICADORES!$B$2:$B$42,MATCH(E523,02_INDICADORES!$A$2:$A$42,0)),"ID?"))</f>
        <v/>
      </c>
      <c r="G523" s="21" t="str">
        <f aca="false">IF(E523="","",IFERROR(INDEX(02_INDICADORES!$C$2:$C$42,MATCH(E523,02_INDICADORES!$A$2:$A$42,0)),"ID?"))</f>
        <v/>
      </c>
      <c r="H523" s="22" t="str">
        <f aca="false">IF(E523="","",IFERROR(INDEX(02_INDICADORES!$D$2:$D$42,MATCH(E523,02_INDICADORES!$A$2:$A$42,0)),""))</f>
        <v/>
      </c>
      <c r="I523" s="9"/>
      <c r="J523" s="16" t="str">
        <f aca="false">IF(OR(I523="",H523=""),"",I523*H523)</f>
        <v/>
      </c>
      <c r="K523" s="9"/>
      <c r="L523" s="9"/>
      <c r="M523" s="9"/>
    </row>
    <row r="524" customFormat="false" ht="15" hidden="false" customHeight="false" outlineLevel="0" collapsed="false">
      <c r="A524" s="9"/>
      <c r="B524" s="9"/>
      <c r="C524" s="11"/>
      <c r="D524" s="9"/>
      <c r="E524" s="9"/>
      <c r="F524" s="22" t="str">
        <f aca="false">IF(E524="","",IFERROR(INDEX(02_INDICADORES!$B$2:$B$42,MATCH(E524,02_INDICADORES!$A$2:$A$42,0)),"ID?"))</f>
        <v/>
      </c>
      <c r="G524" s="21" t="str">
        <f aca="false">IF(E524="","",IFERROR(INDEX(02_INDICADORES!$C$2:$C$42,MATCH(E524,02_INDICADORES!$A$2:$A$42,0)),"ID?"))</f>
        <v/>
      </c>
      <c r="H524" s="22" t="str">
        <f aca="false">IF(E524="","",IFERROR(INDEX(02_INDICADORES!$D$2:$D$42,MATCH(E524,02_INDICADORES!$A$2:$A$42,0)),""))</f>
        <v/>
      </c>
      <c r="I524" s="9"/>
      <c r="J524" s="16" t="str">
        <f aca="false">IF(OR(I524="",H524=""),"",I524*H524)</f>
        <v/>
      </c>
      <c r="K524" s="9"/>
      <c r="L524" s="9"/>
      <c r="M524" s="9"/>
    </row>
    <row r="525" customFormat="false" ht="15" hidden="false" customHeight="false" outlineLevel="0" collapsed="false">
      <c r="A525" s="9"/>
      <c r="B525" s="9"/>
      <c r="C525" s="11"/>
      <c r="D525" s="9"/>
      <c r="E525" s="9"/>
      <c r="F525" s="22" t="str">
        <f aca="false">IF(E525="","",IFERROR(INDEX(02_INDICADORES!$B$2:$B$42,MATCH(E525,02_INDICADORES!$A$2:$A$42,0)),"ID?"))</f>
        <v/>
      </c>
      <c r="G525" s="21" t="str">
        <f aca="false">IF(E525="","",IFERROR(INDEX(02_INDICADORES!$C$2:$C$42,MATCH(E525,02_INDICADORES!$A$2:$A$42,0)),"ID?"))</f>
        <v/>
      </c>
      <c r="H525" s="22" t="str">
        <f aca="false">IF(E525="","",IFERROR(INDEX(02_INDICADORES!$D$2:$D$42,MATCH(E525,02_INDICADORES!$A$2:$A$42,0)),""))</f>
        <v/>
      </c>
      <c r="I525" s="9"/>
      <c r="J525" s="16" t="str">
        <f aca="false">IF(OR(I525="",H525=""),"",I525*H525)</f>
        <v/>
      </c>
      <c r="K525" s="9"/>
      <c r="L525" s="9"/>
      <c r="M525" s="9"/>
    </row>
    <row r="526" customFormat="false" ht="15" hidden="false" customHeight="false" outlineLevel="0" collapsed="false">
      <c r="A526" s="9"/>
      <c r="B526" s="9"/>
      <c r="C526" s="11"/>
      <c r="D526" s="9"/>
      <c r="E526" s="9"/>
      <c r="F526" s="22" t="str">
        <f aca="false">IF(E526="","",IFERROR(INDEX(02_INDICADORES!$B$2:$B$42,MATCH(E526,02_INDICADORES!$A$2:$A$42,0)),"ID?"))</f>
        <v/>
      </c>
      <c r="G526" s="21" t="str">
        <f aca="false">IF(E526="","",IFERROR(INDEX(02_INDICADORES!$C$2:$C$42,MATCH(E526,02_INDICADORES!$A$2:$A$42,0)),"ID?"))</f>
        <v/>
      </c>
      <c r="H526" s="22" t="str">
        <f aca="false">IF(E526="","",IFERROR(INDEX(02_INDICADORES!$D$2:$D$42,MATCH(E526,02_INDICADORES!$A$2:$A$42,0)),""))</f>
        <v/>
      </c>
      <c r="I526" s="9"/>
      <c r="J526" s="16" t="str">
        <f aca="false">IF(OR(I526="",H526=""),"",I526*H526)</f>
        <v/>
      </c>
      <c r="K526" s="9"/>
      <c r="L526" s="9"/>
      <c r="M526" s="9"/>
    </row>
    <row r="527" customFormat="false" ht="15" hidden="false" customHeight="false" outlineLevel="0" collapsed="false">
      <c r="A527" s="9"/>
      <c r="B527" s="9"/>
      <c r="C527" s="11"/>
      <c r="D527" s="9"/>
      <c r="E527" s="9"/>
      <c r="F527" s="22" t="str">
        <f aca="false">IF(E527="","",IFERROR(INDEX(02_INDICADORES!$B$2:$B$42,MATCH(E527,02_INDICADORES!$A$2:$A$42,0)),"ID?"))</f>
        <v/>
      </c>
      <c r="G527" s="21" t="str">
        <f aca="false">IF(E527="","",IFERROR(INDEX(02_INDICADORES!$C$2:$C$42,MATCH(E527,02_INDICADORES!$A$2:$A$42,0)),"ID?"))</f>
        <v/>
      </c>
      <c r="H527" s="22" t="str">
        <f aca="false">IF(E527="","",IFERROR(INDEX(02_INDICADORES!$D$2:$D$42,MATCH(E527,02_INDICADORES!$A$2:$A$42,0)),""))</f>
        <v/>
      </c>
      <c r="I527" s="9"/>
      <c r="J527" s="16" t="str">
        <f aca="false">IF(OR(I527="",H527=""),"",I527*H527)</f>
        <v/>
      </c>
      <c r="K527" s="9"/>
      <c r="L527" s="9"/>
      <c r="M527" s="9"/>
    </row>
    <row r="528" customFormat="false" ht="15" hidden="false" customHeight="false" outlineLevel="0" collapsed="false">
      <c r="A528" s="9"/>
      <c r="B528" s="9"/>
      <c r="C528" s="11"/>
      <c r="D528" s="9"/>
      <c r="E528" s="9"/>
      <c r="F528" s="22" t="str">
        <f aca="false">IF(E528="","",IFERROR(INDEX(02_INDICADORES!$B$2:$B$42,MATCH(E528,02_INDICADORES!$A$2:$A$42,0)),"ID?"))</f>
        <v/>
      </c>
      <c r="G528" s="21" t="str">
        <f aca="false">IF(E528="","",IFERROR(INDEX(02_INDICADORES!$C$2:$C$42,MATCH(E528,02_INDICADORES!$A$2:$A$42,0)),"ID?"))</f>
        <v/>
      </c>
      <c r="H528" s="22" t="str">
        <f aca="false">IF(E528="","",IFERROR(INDEX(02_INDICADORES!$D$2:$D$42,MATCH(E528,02_INDICADORES!$A$2:$A$42,0)),""))</f>
        <v/>
      </c>
      <c r="I528" s="9"/>
      <c r="J528" s="16" t="str">
        <f aca="false">IF(OR(I528="",H528=""),"",I528*H528)</f>
        <v/>
      </c>
      <c r="K528" s="9"/>
      <c r="L528" s="9"/>
      <c r="M528" s="9"/>
    </row>
    <row r="529" customFormat="false" ht="15" hidden="false" customHeight="false" outlineLevel="0" collapsed="false">
      <c r="A529" s="9"/>
      <c r="B529" s="9"/>
      <c r="C529" s="11"/>
      <c r="D529" s="9"/>
      <c r="E529" s="9"/>
      <c r="F529" s="22" t="str">
        <f aca="false">IF(E529="","",IFERROR(INDEX(02_INDICADORES!$B$2:$B$42,MATCH(E529,02_INDICADORES!$A$2:$A$42,0)),"ID?"))</f>
        <v/>
      </c>
      <c r="G529" s="21" t="str">
        <f aca="false">IF(E529="","",IFERROR(INDEX(02_INDICADORES!$C$2:$C$42,MATCH(E529,02_INDICADORES!$A$2:$A$42,0)),"ID?"))</f>
        <v/>
      </c>
      <c r="H529" s="22" t="str">
        <f aca="false">IF(E529="","",IFERROR(INDEX(02_INDICADORES!$D$2:$D$42,MATCH(E529,02_INDICADORES!$A$2:$A$42,0)),""))</f>
        <v/>
      </c>
      <c r="I529" s="9"/>
      <c r="J529" s="16" t="str">
        <f aca="false">IF(OR(I529="",H529=""),"",I529*H529)</f>
        <v/>
      </c>
      <c r="K529" s="9"/>
      <c r="L529" s="9"/>
      <c r="M529" s="9"/>
    </row>
    <row r="530" customFormat="false" ht="15" hidden="false" customHeight="false" outlineLevel="0" collapsed="false">
      <c r="A530" s="9"/>
      <c r="B530" s="9"/>
      <c r="C530" s="11"/>
      <c r="D530" s="9"/>
      <c r="E530" s="9"/>
      <c r="F530" s="22" t="str">
        <f aca="false">IF(E530="","",IFERROR(INDEX(02_INDICADORES!$B$2:$B$42,MATCH(E530,02_INDICADORES!$A$2:$A$42,0)),"ID?"))</f>
        <v/>
      </c>
      <c r="G530" s="21" t="str">
        <f aca="false">IF(E530="","",IFERROR(INDEX(02_INDICADORES!$C$2:$C$42,MATCH(E530,02_INDICADORES!$A$2:$A$42,0)),"ID?"))</f>
        <v/>
      </c>
      <c r="H530" s="22" t="str">
        <f aca="false">IF(E530="","",IFERROR(INDEX(02_INDICADORES!$D$2:$D$42,MATCH(E530,02_INDICADORES!$A$2:$A$42,0)),""))</f>
        <v/>
      </c>
      <c r="I530" s="9"/>
      <c r="J530" s="16" t="str">
        <f aca="false">IF(OR(I530="",H530=""),"",I530*H530)</f>
        <v/>
      </c>
      <c r="K530" s="9"/>
      <c r="L530" s="9"/>
      <c r="M530" s="9"/>
    </row>
    <row r="531" customFormat="false" ht="15" hidden="false" customHeight="false" outlineLevel="0" collapsed="false">
      <c r="A531" s="9"/>
      <c r="B531" s="9"/>
      <c r="C531" s="11"/>
      <c r="D531" s="9"/>
      <c r="E531" s="9"/>
      <c r="F531" s="22" t="str">
        <f aca="false">IF(E531="","",IFERROR(INDEX(02_INDICADORES!$B$2:$B$42,MATCH(E531,02_INDICADORES!$A$2:$A$42,0)),"ID?"))</f>
        <v/>
      </c>
      <c r="G531" s="21" t="str">
        <f aca="false">IF(E531="","",IFERROR(INDEX(02_INDICADORES!$C$2:$C$42,MATCH(E531,02_INDICADORES!$A$2:$A$42,0)),"ID?"))</f>
        <v/>
      </c>
      <c r="H531" s="22" t="str">
        <f aca="false">IF(E531="","",IFERROR(INDEX(02_INDICADORES!$D$2:$D$42,MATCH(E531,02_INDICADORES!$A$2:$A$42,0)),""))</f>
        <v/>
      </c>
      <c r="I531" s="9"/>
      <c r="J531" s="16" t="str">
        <f aca="false">IF(OR(I531="",H531=""),"",I531*H531)</f>
        <v/>
      </c>
      <c r="K531" s="9"/>
      <c r="L531" s="9"/>
      <c r="M531" s="9"/>
    </row>
    <row r="532" customFormat="false" ht="15" hidden="false" customHeight="false" outlineLevel="0" collapsed="false">
      <c r="A532" s="9"/>
      <c r="B532" s="9"/>
      <c r="C532" s="11"/>
      <c r="D532" s="9"/>
      <c r="E532" s="9"/>
      <c r="F532" s="22" t="str">
        <f aca="false">IF(E532="","",IFERROR(INDEX(02_INDICADORES!$B$2:$B$42,MATCH(E532,02_INDICADORES!$A$2:$A$42,0)),"ID?"))</f>
        <v/>
      </c>
      <c r="G532" s="21" t="str">
        <f aca="false">IF(E532="","",IFERROR(INDEX(02_INDICADORES!$C$2:$C$42,MATCH(E532,02_INDICADORES!$A$2:$A$42,0)),"ID?"))</f>
        <v/>
      </c>
      <c r="H532" s="22" t="str">
        <f aca="false">IF(E532="","",IFERROR(INDEX(02_INDICADORES!$D$2:$D$42,MATCH(E532,02_INDICADORES!$A$2:$A$42,0)),""))</f>
        <v/>
      </c>
      <c r="I532" s="9"/>
      <c r="J532" s="16" t="str">
        <f aca="false">IF(OR(I532="",H532=""),"",I532*H532)</f>
        <v/>
      </c>
      <c r="K532" s="9"/>
      <c r="L532" s="9"/>
      <c r="M532" s="9"/>
    </row>
    <row r="533" customFormat="false" ht="15" hidden="false" customHeight="false" outlineLevel="0" collapsed="false">
      <c r="A533" s="9"/>
      <c r="B533" s="9"/>
      <c r="C533" s="11"/>
      <c r="D533" s="9"/>
      <c r="E533" s="9"/>
      <c r="F533" s="22" t="str">
        <f aca="false">IF(E533="","",IFERROR(INDEX(02_INDICADORES!$B$2:$B$42,MATCH(E533,02_INDICADORES!$A$2:$A$42,0)),"ID?"))</f>
        <v/>
      </c>
      <c r="G533" s="21" t="str">
        <f aca="false">IF(E533="","",IFERROR(INDEX(02_INDICADORES!$C$2:$C$42,MATCH(E533,02_INDICADORES!$A$2:$A$42,0)),"ID?"))</f>
        <v/>
      </c>
      <c r="H533" s="22" t="str">
        <f aca="false">IF(E533="","",IFERROR(INDEX(02_INDICADORES!$D$2:$D$42,MATCH(E533,02_INDICADORES!$A$2:$A$42,0)),""))</f>
        <v/>
      </c>
      <c r="I533" s="9"/>
      <c r="J533" s="16" t="str">
        <f aca="false">IF(OR(I533="",H533=""),"",I533*H533)</f>
        <v/>
      </c>
      <c r="K533" s="9"/>
      <c r="L533" s="9"/>
      <c r="M533" s="9"/>
    </row>
    <row r="534" customFormat="false" ht="15" hidden="false" customHeight="false" outlineLevel="0" collapsed="false">
      <c r="A534" s="9"/>
      <c r="B534" s="9"/>
      <c r="C534" s="11"/>
      <c r="D534" s="9"/>
      <c r="E534" s="9"/>
      <c r="F534" s="22" t="str">
        <f aca="false">IF(E534="","",IFERROR(INDEX(02_INDICADORES!$B$2:$B$42,MATCH(E534,02_INDICADORES!$A$2:$A$42,0)),"ID?"))</f>
        <v/>
      </c>
      <c r="G534" s="21" t="str">
        <f aca="false">IF(E534="","",IFERROR(INDEX(02_INDICADORES!$C$2:$C$42,MATCH(E534,02_INDICADORES!$A$2:$A$42,0)),"ID?"))</f>
        <v/>
      </c>
      <c r="H534" s="22" t="str">
        <f aca="false">IF(E534="","",IFERROR(INDEX(02_INDICADORES!$D$2:$D$42,MATCH(E534,02_INDICADORES!$A$2:$A$42,0)),""))</f>
        <v/>
      </c>
      <c r="I534" s="9"/>
      <c r="J534" s="16" t="str">
        <f aca="false">IF(OR(I534="",H534=""),"",I534*H534)</f>
        <v/>
      </c>
      <c r="K534" s="9"/>
      <c r="L534" s="9"/>
      <c r="M534" s="9"/>
    </row>
    <row r="535" customFormat="false" ht="15" hidden="false" customHeight="false" outlineLevel="0" collapsed="false">
      <c r="A535" s="9"/>
      <c r="B535" s="9"/>
      <c r="C535" s="11"/>
      <c r="D535" s="9"/>
      <c r="E535" s="9"/>
      <c r="F535" s="22" t="str">
        <f aca="false">IF(E535="","",IFERROR(INDEX(02_INDICADORES!$B$2:$B$42,MATCH(E535,02_INDICADORES!$A$2:$A$42,0)),"ID?"))</f>
        <v/>
      </c>
      <c r="G535" s="21" t="str">
        <f aca="false">IF(E535="","",IFERROR(INDEX(02_INDICADORES!$C$2:$C$42,MATCH(E535,02_INDICADORES!$A$2:$A$42,0)),"ID?"))</f>
        <v/>
      </c>
      <c r="H535" s="22" t="str">
        <f aca="false">IF(E535="","",IFERROR(INDEX(02_INDICADORES!$D$2:$D$42,MATCH(E535,02_INDICADORES!$A$2:$A$42,0)),""))</f>
        <v/>
      </c>
      <c r="I535" s="9"/>
      <c r="J535" s="16" t="str">
        <f aca="false">IF(OR(I535="",H535=""),"",I535*H535)</f>
        <v/>
      </c>
      <c r="K535" s="9"/>
      <c r="L535" s="9"/>
      <c r="M535" s="9"/>
    </row>
    <row r="536" customFormat="false" ht="15" hidden="false" customHeight="false" outlineLevel="0" collapsed="false">
      <c r="A536" s="9"/>
      <c r="B536" s="9"/>
      <c r="C536" s="11"/>
      <c r="D536" s="9"/>
      <c r="E536" s="9"/>
      <c r="F536" s="22" t="str">
        <f aca="false">IF(E536="","",IFERROR(INDEX(02_INDICADORES!$B$2:$B$42,MATCH(E536,02_INDICADORES!$A$2:$A$42,0)),"ID?"))</f>
        <v/>
      </c>
      <c r="G536" s="21" t="str">
        <f aca="false">IF(E536="","",IFERROR(INDEX(02_INDICADORES!$C$2:$C$42,MATCH(E536,02_INDICADORES!$A$2:$A$42,0)),"ID?"))</f>
        <v/>
      </c>
      <c r="H536" s="22" t="str">
        <f aca="false">IF(E536="","",IFERROR(INDEX(02_INDICADORES!$D$2:$D$42,MATCH(E536,02_INDICADORES!$A$2:$A$42,0)),""))</f>
        <v/>
      </c>
      <c r="I536" s="9"/>
      <c r="J536" s="16" t="str">
        <f aca="false">IF(OR(I536="",H536=""),"",I536*H536)</f>
        <v/>
      </c>
      <c r="K536" s="9"/>
      <c r="L536" s="9"/>
      <c r="M536" s="9"/>
    </row>
    <row r="537" customFormat="false" ht="15" hidden="false" customHeight="false" outlineLevel="0" collapsed="false">
      <c r="A537" s="9"/>
      <c r="B537" s="9"/>
      <c r="C537" s="11"/>
      <c r="D537" s="9"/>
      <c r="E537" s="9"/>
      <c r="F537" s="22" t="str">
        <f aca="false">IF(E537="","",IFERROR(INDEX(02_INDICADORES!$B$2:$B$42,MATCH(E537,02_INDICADORES!$A$2:$A$42,0)),"ID?"))</f>
        <v/>
      </c>
      <c r="G537" s="21" t="str">
        <f aca="false">IF(E537="","",IFERROR(INDEX(02_INDICADORES!$C$2:$C$42,MATCH(E537,02_INDICADORES!$A$2:$A$42,0)),"ID?"))</f>
        <v/>
      </c>
      <c r="H537" s="22" t="str">
        <f aca="false">IF(E537="","",IFERROR(INDEX(02_INDICADORES!$D$2:$D$42,MATCH(E537,02_INDICADORES!$A$2:$A$42,0)),""))</f>
        <v/>
      </c>
      <c r="I537" s="9"/>
      <c r="J537" s="16" t="str">
        <f aca="false">IF(OR(I537="",H537=""),"",I537*H537)</f>
        <v/>
      </c>
      <c r="K537" s="9"/>
      <c r="L537" s="9"/>
      <c r="M537" s="9"/>
    </row>
    <row r="538" customFormat="false" ht="15" hidden="false" customHeight="false" outlineLevel="0" collapsed="false">
      <c r="A538" s="9"/>
      <c r="B538" s="9"/>
      <c r="C538" s="11"/>
      <c r="D538" s="9"/>
      <c r="E538" s="9"/>
      <c r="F538" s="22" t="str">
        <f aca="false">IF(E538="","",IFERROR(INDEX(02_INDICADORES!$B$2:$B$42,MATCH(E538,02_INDICADORES!$A$2:$A$42,0)),"ID?"))</f>
        <v/>
      </c>
      <c r="G538" s="21" t="str">
        <f aca="false">IF(E538="","",IFERROR(INDEX(02_INDICADORES!$C$2:$C$42,MATCH(E538,02_INDICADORES!$A$2:$A$42,0)),"ID?"))</f>
        <v/>
      </c>
      <c r="H538" s="22" t="str">
        <f aca="false">IF(E538="","",IFERROR(INDEX(02_INDICADORES!$D$2:$D$42,MATCH(E538,02_INDICADORES!$A$2:$A$42,0)),""))</f>
        <v/>
      </c>
      <c r="I538" s="9"/>
      <c r="J538" s="16" t="str">
        <f aca="false">IF(OR(I538="",H538=""),"",I538*H538)</f>
        <v/>
      </c>
      <c r="K538" s="9"/>
      <c r="L538" s="9"/>
      <c r="M538" s="9"/>
    </row>
    <row r="539" customFormat="false" ht="15" hidden="false" customHeight="false" outlineLevel="0" collapsed="false">
      <c r="A539" s="9"/>
      <c r="B539" s="9"/>
      <c r="C539" s="11"/>
      <c r="D539" s="9"/>
      <c r="E539" s="9"/>
      <c r="F539" s="22" t="str">
        <f aca="false">IF(E539="","",IFERROR(INDEX(02_INDICADORES!$B$2:$B$42,MATCH(E539,02_INDICADORES!$A$2:$A$42,0)),"ID?"))</f>
        <v/>
      </c>
      <c r="G539" s="21" t="str">
        <f aca="false">IF(E539="","",IFERROR(INDEX(02_INDICADORES!$C$2:$C$42,MATCH(E539,02_INDICADORES!$A$2:$A$42,0)),"ID?"))</f>
        <v/>
      </c>
      <c r="H539" s="22" t="str">
        <f aca="false">IF(E539="","",IFERROR(INDEX(02_INDICADORES!$D$2:$D$42,MATCH(E539,02_INDICADORES!$A$2:$A$42,0)),""))</f>
        <v/>
      </c>
      <c r="I539" s="9"/>
      <c r="J539" s="16" t="str">
        <f aca="false">IF(OR(I539="",H539=""),"",I539*H539)</f>
        <v/>
      </c>
      <c r="K539" s="9"/>
      <c r="L539" s="9"/>
      <c r="M539" s="9"/>
    </row>
    <row r="540" customFormat="false" ht="15" hidden="false" customHeight="false" outlineLevel="0" collapsed="false">
      <c r="A540" s="9"/>
      <c r="B540" s="9"/>
      <c r="C540" s="11"/>
      <c r="D540" s="9"/>
      <c r="E540" s="9"/>
      <c r="F540" s="22" t="str">
        <f aca="false">IF(E540="","",IFERROR(INDEX(02_INDICADORES!$B$2:$B$42,MATCH(E540,02_INDICADORES!$A$2:$A$42,0)),"ID?"))</f>
        <v/>
      </c>
      <c r="G540" s="21" t="str">
        <f aca="false">IF(E540="","",IFERROR(INDEX(02_INDICADORES!$C$2:$C$42,MATCH(E540,02_INDICADORES!$A$2:$A$42,0)),"ID?"))</f>
        <v/>
      </c>
      <c r="H540" s="22" t="str">
        <f aca="false">IF(E540="","",IFERROR(INDEX(02_INDICADORES!$D$2:$D$42,MATCH(E540,02_INDICADORES!$A$2:$A$42,0)),""))</f>
        <v/>
      </c>
      <c r="I540" s="9"/>
      <c r="J540" s="16" t="str">
        <f aca="false">IF(OR(I540="",H540=""),"",I540*H540)</f>
        <v/>
      </c>
      <c r="K540" s="9"/>
      <c r="L540" s="9"/>
      <c r="M540" s="9"/>
    </row>
    <row r="541" customFormat="false" ht="15" hidden="false" customHeight="false" outlineLevel="0" collapsed="false">
      <c r="A541" s="9"/>
      <c r="B541" s="9"/>
      <c r="C541" s="11"/>
      <c r="D541" s="9"/>
      <c r="E541" s="9"/>
      <c r="F541" s="22" t="str">
        <f aca="false">IF(E541="","",IFERROR(INDEX(02_INDICADORES!$B$2:$B$42,MATCH(E541,02_INDICADORES!$A$2:$A$42,0)),"ID?"))</f>
        <v/>
      </c>
      <c r="G541" s="21" t="str">
        <f aca="false">IF(E541="","",IFERROR(INDEX(02_INDICADORES!$C$2:$C$42,MATCH(E541,02_INDICADORES!$A$2:$A$42,0)),"ID?"))</f>
        <v/>
      </c>
      <c r="H541" s="22" t="str">
        <f aca="false">IF(E541="","",IFERROR(INDEX(02_INDICADORES!$D$2:$D$42,MATCH(E541,02_INDICADORES!$A$2:$A$42,0)),""))</f>
        <v/>
      </c>
      <c r="I541" s="9"/>
      <c r="J541" s="16" t="str">
        <f aca="false">IF(OR(I541="",H541=""),"",I541*H541)</f>
        <v/>
      </c>
      <c r="K541" s="9"/>
      <c r="L541" s="9"/>
      <c r="M541" s="9"/>
    </row>
    <row r="542" customFormat="false" ht="15" hidden="false" customHeight="false" outlineLevel="0" collapsed="false">
      <c r="A542" s="9"/>
      <c r="B542" s="9"/>
      <c r="C542" s="11"/>
      <c r="D542" s="9"/>
      <c r="E542" s="9"/>
      <c r="F542" s="22" t="str">
        <f aca="false">IF(E542="","",IFERROR(INDEX(02_INDICADORES!$B$2:$B$42,MATCH(E542,02_INDICADORES!$A$2:$A$42,0)),"ID?"))</f>
        <v/>
      </c>
      <c r="G542" s="21" t="str">
        <f aca="false">IF(E542="","",IFERROR(INDEX(02_INDICADORES!$C$2:$C$42,MATCH(E542,02_INDICADORES!$A$2:$A$42,0)),"ID?"))</f>
        <v/>
      </c>
      <c r="H542" s="22" t="str">
        <f aca="false">IF(E542="","",IFERROR(INDEX(02_INDICADORES!$D$2:$D$42,MATCH(E542,02_INDICADORES!$A$2:$A$42,0)),""))</f>
        <v/>
      </c>
      <c r="I542" s="9"/>
      <c r="J542" s="16" t="str">
        <f aca="false">IF(OR(I542="",H542=""),"",I542*H542)</f>
        <v/>
      </c>
      <c r="K542" s="9"/>
      <c r="L542" s="9"/>
      <c r="M542" s="9"/>
    </row>
    <row r="543" customFormat="false" ht="15" hidden="false" customHeight="false" outlineLevel="0" collapsed="false">
      <c r="A543" s="9"/>
      <c r="B543" s="9"/>
      <c r="C543" s="11"/>
      <c r="D543" s="9"/>
      <c r="E543" s="9"/>
      <c r="F543" s="22" t="str">
        <f aca="false">IF(E543="","",IFERROR(INDEX(02_INDICADORES!$B$2:$B$42,MATCH(E543,02_INDICADORES!$A$2:$A$42,0)),"ID?"))</f>
        <v/>
      </c>
      <c r="G543" s="21" t="str">
        <f aca="false">IF(E543="","",IFERROR(INDEX(02_INDICADORES!$C$2:$C$42,MATCH(E543,02_INDICADORES!$A$2:$A$42,0)),"ID?"))</f>
        <v/>
      </c>
      <c r="H543" s="22" t="str">
        <f aca="false">IF(E543="","",IFERROR(INDEX(02_INDICADORES!$D$2:$D$42,MATCH(E543,02_INDICADORES!$A$2:$A$42,0)),""))</f>
        <v/>
      </c>
      <c r="I543" s="9"/>
      <c r="J543" s="16" t="str">
        <f aca="false">IF(OR(I543="",H543=""),"",I543*H543)</f>
        <v/>
      </c>
      <c r="K543" s="9"/>
      <c r="L543" s="9"/>
      <c r="M543" s="9"/>
    </row>
    <row r="544" customFormat="false" ht="15" hidden="false" customHeight="false" outlineLevel="0" collapsed="false">
      <c r="A544" s="9"/>
      <c r="B544" s="9"/>
      <c r="C544" s="11"/>
      <c r="D544" s="9"/>
      <c r="E544" s="9"/>
      <c r="F544" s="22" t="str">
        <f aca="false">IF(E544="","",IFERROR(INDEX(02_INDICADORES!$B$2:$B$42,MATCH(E544,02_INDICADORES!$A$2:$A$42,0)),"ID?"))</f>
        <v/>
      </c>
      <c r="G544" s="21" t="str">
        <f aca="false">IF(E544="","",IFERROR(INDEX(02_INDICADORES!$C$2:$C$42,MATCH(E544,02_INDICADORES!$A$2:$A$42,0)),"ID?"))</f>
        <v/>
      </c>
      <c r="H544" s="22" t="str">
        <f aca="false">IF(E544="","",IFERROR(INDEX(02_INDICADORES!$D$2:$D$42,MATCH(E544,02_INDICADORES!$A$2:$A$42,0)),""))</f>
        <v/>
      </c>
      <c r="I544" s="9"/>
      <c r="J544" s="16" t="str">
        <f aca="false">IF(OR(I544="",H544=""),"",I544*H544)</f>
        <v/>
      </c>
      <c r="K544" s="9"/>
      <c r="L544" s="9"/>
      <c r="M544" s="9"/>
    </row>
    <row r="545" customFormat="false" ht="15" hidden="false" customHeight="false" outlineLevel="0" collapsed="false">
      <c r="A545" s="9"/>
      <c r="B545" s="9"/>
      <c r="C545" s="11"/>
      <c r="D545" s="9"/>
      <c r="E545" s="9"/>
      <c r="F545" s="22" t="str">
        <f aca="false">IF(E545="","",IFERROR(INDEX(02_INDICADORES!$B$2:$B$42,MATCH(E545,02_INDICADORES!$A$2:$A$42,0)),"ID?"))</f>
        <v/>
      </c>
      <c r="G545" s="21" t="str">
        <f aca="false">IF(E545="","",IFERROR(INDEX(02_INDICADORES!$C$2:$C$42,MATCH(E545,02_INDICADORES!$A$2:$A$42,0)),"ID?"))</f>
        <v/>
      </c>
      <c r="H545" s="22" t="str">
        <f aca="false">IF(E545="","",IFERROR(INDEX(02_INDICADORES!$D$2:$D$42,MATCH(E545,02_INDICADORES!$A$2:$A$42,0)),""))</f>
        <v/>
      </c>
      <c r="I545" s="9"/>
      <c r="J545" s="16" t="str">
        <f aca="false">IF(OR(I545="",H545=""),"",I545*H545)</f>
        <v/>
      </c>
      <c r="K545" s="9"/>
      <c r="L545" s="9"/>
      <c r="M545" s="9"/>
    </row>
    <row r="546" customFormat="false" ht="15" hidden="false" customHeight="false" outlineLevel="0" collapsed="false">
      <c r="A546" s="9"/>
      <c r="B546" s="9"/>
      <c r="C546" s="11"/>
      <c r="D546" s="9"/>
      <c r="E546" s="9"/>
      <c r="F546" s="22" t="str">
        <f aca="false">IF(E546="","",IFERROR(INDEX(02_INDICADORES!$B$2:$B$42,MATCH(E546,02_INDICADORES!$A$2:$A$42,0)),"ID?"))</f>
        <v/>
      </c>
      <c r="G546" s="21" t="str">
        <f aca="false">IF(E546="","",IFERROR(INDEX(02_INDICADORES!$C$2:$C$42,MATCH(E546,02_INDICADORES!$A$2:$A$42,0)),"ID?"))</f>
        <v/>
      </c>
      <c r="H546" s="22" t="str">
        <f aca="false">IF(E546="","",IFERROR(INDEX(02_INDICADORES!$D$2:$D$42,MATCH(E546,02_INDICADORES!$A$2:$A$42,0)),""))</f>
        <v/>
      </c>
      <c r="I546" s="9"/>
      <c r="J546" s="16" t="str">
        <f aca="false">IF(OR(I546="",H546=""),"",I546*H546)</f>
        <v/>
      </c>
      <c r="K546" s="9"/>
      <c r="L546" s="9"/>
      <c r="M546" s="9"/>
    </row>
    <row r="547" customFormat="false" ht="15" hidden="false" customHeight="false" outlineLevel="0" collapsed="false">
      <c r="A547" s="9"/>
      <c r="B547" s="9"/>
      <c r="C547" s="11"/>
      <c r="D547" s="9"/>
      <c r="E547" s="9"/>
      <c r="F547" s="22" t="str">
        <f aca="false">IF(E547="","",IFERROR(INDEX(02_INDICADORES!$B$2:$B$42,MATCH(E547,02_INDICADORES!$A$2:$A$42,0)),"ID?"))</f>
        <v/>
      </c>
      <c r="G547" s="21" t="str">
        <f aca="false">IF(E547="","",IFERROR(INDEX(02_INDICADORES!$C$2:$C$42,MATCH(E547,02_INDICADORES!$A$2:$A$42,0)),"ID?"))</f>
        <v/>
      </c>
      <c r="H547" s="22" t="str">
        <f aca="false">IF(E547="","",IFERROR(INDEX(02_INDICADORES!$D$2:$D$42,MATCH(E547,02_INDICADORES!$A$2:$A$42,0)),""))</f>
        <v/>
      </c>
      <c r="I547" s="9"/>
      <c r="J547" s="16" t="str">
        <f aca="false">IF(OR(I547="",H547=""),"",I547*H547)</f>
        <v/>
      </c>
      <c r="K547" s="9"/>
      <c r="L547" s="9"/>
      <c r="M547" s="9"/>
    </row>
    <row r="548" customFormat="false" ht="15" hidden="false" customHeight="false" outlineLevel="0" collapsed="false">
      <c r="A548" s="9"/>
      <c r="B548" s="9"/>
      <c r="C548" s="11"/>
      <c r="D548" s="9"/>
      <c r="E548" s="9"/>
      <c r="F548" s="22" t="str">
        <f aca="false">IF(E548="","",IFERROR(INDEX(02_INDICADORES!$B$2:$B$42,MATCH(E548,02_INDICADORES!$A$2:$A$42,0)),"ID?"))</f>
        <v/>
      </c>
      <c r="G548" s="21" t="str">
        <f aca="false">IF(E548="","",IFERROR(INDEX(02_INDICADORES!$C$2:$C$42,MATCH(E548,02_INDICADORES!$A$2:$A$42,0)),"ID?"))</f>
        <v/>
      </c>
      <c r="H548" s="22" t="str">
        <f aca="false">IF(E548="","",IFERROR(INDEX(02_INDICADORES!$D$2:$D$42,MATCH(E548,02_INDICADORES!$A$2:$A$42,0)),""))</f>
        <v/>
      </c>
      <c r="I548" s="9"/>
      <c r="J548" s="16" t="str">
        <f aca="false">IF(OR(I548="",H548=""),"",I548*H548)</f>
        <v/>
      </c>
      <c r="K548" s="9"/>
      <c r="L548" s="9"/>
      <c r="M548" s="9"/>
    </row>
    <row r="549" customFormat="false" ht="15" hidden="false" customHeight="false" outlineLevel="0" collapsed="false">
      <c r="A549" s="9"/>
      <c r="B549" s="9"/>
      <c r="C549" s="11"/>
      <c r="D549" s="9"/>
      <c r="E549" s="9"/>
      <c r="F549" s="22" t="str">
        <f aca="false">IF(E549="","",IFERROR(INDEX(02_INDICADORES!$B$2:$B$42,MATCH(E549,02_INDICADORES!$A$2:$A$42,0)),"ID?"))</f>
        <v/>
      </c>
      <c r="G549" s="21" t="str">
        <f aca="false">IF(E549="","",IFERROR(INDEX(02_INDICADORES!$C$2:$C$42,MATCH(E549,02_INDICADORES!$A$2:$A$42,0)),"ID?"))</f>
        <v/>
      </c>
      <c r="H549" s="22" t="str">
        <f aca="false">IF(E549="","",IFERROR(INDEX(02_INDICADORES!$D$2:$D$42,MATCH(E549,02_INDICADORES!$A$2:$A$42,0)),""))</f>
        <v/>
      </c>
      <c r="I549" s="9"/>
      <c r="J549" s="16" t="str">
        <f aca="false">IF(OR(I549="",H549=""),"",I549*H549)</f>
        <v/>
      </c>
      <c r="K549" s="9"/>
      <c r="L549" s="9"/>
      <c r="M549" s="9"/>
    </row>
    <row r="550" customFormat="false" ht="15" hidden="false" customHeight="false" outlineLevel="0" collapsed="false">
      <c r="A550" s="9"/>
      <c r="B550" s="9"/>
      <c r="C550" s="11"/>
      <c r="D550" s="9"/>
      <c r="E550" s="9"/>
      <c r="F550" s="22" t="str">
        <f aca="false">IF(E550="","",IFERROR(INDEX(02_INDICADORES!$B$2:$B$42,MATCH(E550,02_INDICADORES!$A$2:$A$42,0)),"ID?"))</f>
        <v/>
      </c>
      <c r="G550" s="21" t="str">
        <f aca="false">IF(E550="","",IFERROR(INDEX(02_INDICADORES!$C$2:$C$42,MATCH(E550,02_INDICADORES!$A$2:$A$42,0)),"ID?"))</f>
        <v/>
      </c>
      <c r="H550" s="22" t="str">
        <f aca="false">IF(E550="","",IFERROR(INDEX(02_INDICADORES!$D$2:$D$42,MATCH(E550,02_INDICADORES!$A$2:$A$42,0)),""))</f>
        <v/>
      </c>
      <c r="I550" s="9"/>
      <c r="J550" s="16" t="str">
        <f aca="false">IF(OR(I550="",H550=""),"",I550*H550)</f>
        <v/>
      </c>
      <c r="K550" s="9"/>
      <c r="L550" s="9"/>
      <c r="M550" s="9"/>
    </row>
    <row r="551" customFormat="false" ht="15" hidden="false" customHeight="false" outlineLevel="0" collapsed="false">
      <c r="A551" s="9"/>
      <c r="B551" s="9"/>
      <c r="C551" s="11"/>
      <c r="D551" s="9"/>
      <c r="E551" s="9"/>
      <c r="F551" s="22" t="str">
        <f aca="false">IF(E551="","",IFERROR(INDEX(02_INDICADORES!$B$2:$B$42,MATCH(E551,02_INDICADORES!$A$2:$A$42,0)),"ID?"))</f>
        <v/>
      </c>
      <c r="G551" s="21" t="str">
        <f aca="false">IF(E551="","",IFERROR(INDEX(02_INDICADORES!$C$2:$C$42,MATCH(E551,02_INDICADORES!$A$2:$A$42,0)),"ID?"))</f>
        <v/>
      </c>
      <c r="H551" s="22" t="str">
        <f aca="false">IF(E551="","",IFERROR(INDEX(02_INDICADORES!$D$2:$D$42,MATCH(E551,02_INDICADORES!$A$2:$A$42,0)),""))</f>
        <v/>
      </c>
      <c r="I551" s="9"/>
      <c r="J551" s="16" t="str">
        <f aca="false">IF(OR(I551="",H551=""),"",I551*H551)</f>
        <v/>
      </c>
      <c r="K551" s="9"/>
      <c r="L551" s="9"/>
      <c r="M551" s="9"/>
    </row>
    <row r="552" customFormat="false" ht="15" hidden="false" customHeight="false" outlineLevel="0" collapsed="false">
      <c r="A552" s="9"/>
      <c r="B552" s="9"/>
      <c r="C552" s="11"/>
      <c r="D552" s="9"/>
      <c r="E552" s="9"/>
      <c r="F552" s="22" t="str">
        <f aca="false">IF(E552="","",IFERROR(INDEX(02_INDICADORES!$B$2:$B$42,MATCH(E552,02_INDICADORES!$A$2:$A$42,0)),"ID?"))</f>
        <v/>
      </c>
      <c r="G552" s="21" t="str">
        <f aca="false">IF(E552="","",IFERROR(INDEX(02_INDICADORES!$C$2:$C$42,MATCH(E552,02_INDICADORES!$A$2:$A$42,0)),"ID?"))</f>
        <v/>
      </c>
      <c r="H552" s="22" t="str">
        <f aca="false">IF(E552="","",IFERROR(INDEX(02_INDICADORES!$D$2:$D$42,MATCH(E552,02_INDICADORES!$A$2:$A$42,0)),""))</f>
        <v/>
      </c>
      <c r="I552" s="9"/>
      <c r="J552" s="16" t="str">
        <f aca="false">IF(OR(I552="",H552=""),"",I552*H552)</f>
        <v/>
      </c>
      <c r="K552" s="9"/>
      <c r="L552" s="9"/>
      <c r="M552" s="9"/>
    </row>
    <row r="553" customFormat="false" ht="15" hidden="false" customHeight="false" outlineLevel="0" collapsed="false">
      <c r="A553" s="9"/>
      <c r="B553" s="9"/>
      <c r="C553" s="11"/>
      <c r="D553" s="9"/>
      <c r="E553" s="9"/>
      <c r="F553" s="22" t="str">
        <f aca="false">IF(E553="","",IFERROR(INDEX(02_INDICADORES!$B$2:$B$42,MATCH(E553,02_INDICADORES!$A$2:$A$42,0)),"ID?"))</f>
        <v/>
      </c>
      <c r="G553" s="21" t="str">
        <f aca="false">IF(E553="","",IFERROR(INDEX(02_INDICADORES!$C$2:$C$42,MATCH(E553,02_INDICADORES!$A$2:$A$42,0)),"ID?"))</f>
        <v/>
      </c>
      <c r="H553" s="22" t="str">
        <f aca="false">IF(E553="","",IFERROR(INDEX(02_INDICADORES!$D$2:$D$42,MATCH(E553,02_INDICADORES!$A$2:$A$42,0)),""))</f>
        <v/>
      </c>
      <c r="I553" s="9"/>
      <c r="J553" s="16" t="str">
        <f aca="false">IF(OR(I553="",H553=""),"",I553*H553)</f>
        <v/>
      </c>
      <c r="K553" s="9"/>
      <c r="L553" s="9"/>
      <c r="M553" s="9"/>
    </row>
    <row r="554" customFormat="false" ht="15" hidden="false" customHeight="false" outlineLevel="0" collapsed="false">
      <c r="A554" s="9"/>
      <c r="B554" s="9"/>
      <c r="C554" s="11"/>
      <c r="D554" s="9"/>
      <c r="E554" s="9"/>
      <c r="F554" s="22" t="str">
        <f aca="false">IF(E554="","",IFERROR(INDEX(02_INDICADORES!$B$2:$B$42,MATCH(E554,02_INDICADORES!$A$2:$A$42,0)),"ID?"))</f>
        <v/>
      </c>
      <c r="G554" s="21" t="str">
        <f aca="false">IF(E554="","",IFERROR(INDEX(02_INDICADORES!$C$2:$C$42,MATCH(E554,02_INDICADORES!$A$2:$A$42,0)),"ID?"))</f>
        <v/>
      </c>
      <c r="H554" s="22" t="str">
        <f aca="false">IF(E554="","",IFERROR(INDEX(02_INDICADORES!$D$2:$D$42,MATCH(E554,02_INDICADORES!$A$2:$A$42,0)),""))</f>
        <v/>
      </c>
      <c r="I554" s="9"/>
      <c r="J554" s="16" t="str">
        <f aca="false">IF(OR(I554="",H554=""),"",I554*H554)</f>
        <v/>
      </c>
      <c r="K554" s="9"/>
      <c r="L554" s="9"/>
      <c r="M554" s="9"/>
    </row>
    <row r="555" customFormat="false" ht="15" hidden="false" customHeight="false" outlineLevel="0" collapsed="false">
      <c r="A555" s="9"/>
      <c r="B555" s="9"/>
      <c r="C555" s="11"/>
      <c r="D555" s="9"/>
      <c r="E555" s="9"/>
      <c r="F555" s="22" t="str">
        <f aca="false">IF(E555="","",IFERROR(INDEX(02_INDICADORES!$B$2:$B$42,MATCH(E555,02_INDICADORES!$A$2:$A$42,0)),"ID?"))</f>
        <v/>
      </c>
      <c r="G555" s="21" t="str">
        <f aca="false">IF(E555="","",IFERROR(INDEX(02_INDICADORES!$C$2:$C$42,MATCH(E555,02_INDICADORES!$A$2:$A$42,0)),"ID?"))</f>
        <v/>
      </c>
      <c r="H555" s="22" t="str">
        <f aca="false">IF(E555="","",IFERROR(INDEX(02_INDICADORES!$D$2:$D$42,MATCH(E555,02_INDICADORES!$A$2:$A$42,0)),""))</f>
        <v/>
      </c>
      <c r="I555" s="9"/>
      <c r="J555" s="16" t="str">
        <f aca="false">IF(OR(I555="",H555=""),"",I555*H555)</f>
        <v/>
      </c>
      <c r="K555" s="9"/>
      <c r="L555" s="9"/>
      <c r="M555" s="9"/>
    </row>
    <row r="556" customFormat="false" ht="15" hidden="false" customHeight="false" outlineLevel="0" collapsed="false">
      <c r="A556" s="9"/>
      <c r="B556" s="9"/>
      <c r="C556" s="11"/>
      <c r="D556" s="9"/>
      <c r="E556" s="9"/>
      <c r="F556" s="22" t="str">
        <f aca="false">IF(E556="","",IFERROR(INDEX(02_INDICADORES!$B$2:$B$42,MATCH(E556,02_INDICADORES!$A$2:$A$42,0)),"ID?"))</f>
        <v/>
      </c>
      <c r="G556" s="21" t="str">
        <f aca="false">IF(E556="","",IFERROR(INDEX(02_INDICADORES!$C$2:$C$42,MATCH(E556,02_INDICADORES!$A$2:$A$42,0)),"ID?"))</f>
        <v/>
      </c>
      <c r="H556" s="22" t="str">
        <f aca="false">IF(E556="","",IFERROR(INDEX(02_INDICADORES!$D$2:$D$42,MATCH(E556,02_INDICADORES!$A$2:$A$42,0)),""))</f>
        <v/>
      </c>
      <c r="I556" s="9"/>
      <c r="J556" s="16" t="str">
        <f aca="false">IF(OR(I556="",H556=""),"",I556*H556)</f>
        <v/>
      </c>
      <c r="K556" s="9"/>
      <c r="L556" s="9"/>
      <c r="M556" s="9"/>
    </row>
    <row r="557" customFormat="false" ht="15" hidden="false" customHeight="false" outlineLevel="0" collapsed="false">
      <c r="A557" s="9"/>
      <c r="B557" s="9"/>
      <c r="C557" s="11"/>
      <c r="D557" s="9"/>
      <c r="E557" s="9"/>
      <c r="F557" s="22" t="str">
        <f aca="false">IF(E557="","",IFERROR(INDEX(02_INDICADORES!$B$2:$B$42,MATCH(E557,02_INDICADORES!$A$2:$A$42,0)),"ID?"))</f>
        <v/>
      </c>
      <c r="G557" s="21" t="str">
        <f aca="false">IF(E557="","",IFERROR(INDEX(02_INDICADORES!$C$2:$C$42,MATCH(E557,02_INDICADORES!$A$2:$A$42,0)),"ID?"))</f>
        <v/>
      </c>
      <c r="H557" s="22" t="str">
        <f aca="false">IF(E557="","",IFERROR(INDEX(02_INDICADORES!$D$2:$D$42,MATCH(E557,02_INDICADORES!$A$2:$A$42,0)),""))</f>
        <v/>
      </c>
      <c r="I557" s="9"/>
      <c r="J557" s="16" t="str">
        <f aca="false">IF(OR(I557="",H557=""),"",I557*H557)</f>
        <v/>
      </c>
      <c r="K557" s="9"/>
      <c r="L557" s="9"/>
      <c r="M557" s="9"/>
    </row>
    <row r="558" customFormat="false" ht="15" hidden="false" customHeight="false" outlineLevel="0" collapsed="false">
      <c r="A558" s="9"/>
      <c r="B558" s="9"/>
      <c r="C558" s="11"/>
      <c r="D558" s="9"/>
      <c r="E558" s="9"/>
      <c r="F558" s="22" t="str">
        <f aca="false">IF(E558="","",IFERROR(INDEX(02_INDICADORES!$B$2:$B$42,MATCH(E558,02_INDICADORES!$A$2:$A$42,0)),"ID?"))</f>
        <v/>
      </c>
      <c r="G558" s="21" t="str">
        <f aca="false">IF(E558="","",IFERROR(INDEX(02_INDICADORES!$C$2:$C$42,MATCH(E558,02_INDICADORES!$A$2:$A$42,0)),"ID?"))</f>
        <v/>
      </c>
      <c r="H558" s="22" t="str">
        <f aca="false">IF(E558="","",IFERROR(INDEX(02_INDICADORES!$D$2:$D$42,MATCH(E558,02_INDICADORES!$A$2:$A$42,0)),""))</f>
        <v/>
      </c>
      <c r="I558" s="9"/>
      <c r="J558" s="16" t="str">
        <f aca="false">IF(OR(I558="",H558=""),"",I558*H558)</f>
        <v/>
      </c>
      <c r="K558" s="9"/>
      <c r="L558" s="9"/>
      <c r="M558" s="9"/>
    </row>
    <row r="559" customFormat="false" ht="15" hidden="false" customHeight="false" outlineLevel="0" collapsed="false">
      <c r="A559" s="9"/>
      <c r="B559" s="9"/>
      <c r="C559" s="11"/>
      <c r="D559" s="9"/>
      <c r="E559" s="9"/>
      <c r="F559" s="22" t="str">
        <f aca="false">IF(E559="","",IFERROR(INDEX(02_INDICADORES!$B$2:$B$42,MATCH(E559,02_INDICADORES!$A$2:$A$42,0)),"ID?"))</f>
        <v/>
      </c>
      <c r="G559" s="21" t="str">
        <f aca="false">IF(E559="","",IFERROR(INDEX(02_INDICADORES!$C$2:$C$42,MATCH(E559,02_INDICADORES!$A$2:$A$42,0)),"ID?"))</f>
        <v/>
      </c>
      <c r="H559" s="22" t="str">
        <f aca="false">IF(E559="","",IFERROR(INDEX(02_INDICADORES!$D$2:$D$42,MATCH(E559,02_INDICADORES!$A$2:$A$42,0)),""))</f>
        <v/>
      </c>
      <c r="I559" s="9"/>
      <c r="J559" s="16" t="str">
        <f aca="false">IF(OR(I559="",H559=""),"",I559*H559)</f>
        <v/>
      </c>
      <c r="K559" s="9"/>
      <c r="L559" s="9"/>
      <c r="M559" s="9"/>
    </row>
    <row r="560" customFormat="false" ht="15" hidden="false" customHeight="false" outlineLevel="0" collapsed="false">
      <c r="A560" s="9"/>
      <c r="B560" s="9"/>
      <c r="C560" s="11"/>
      <c r="D560" s="9"/>
      <c r="E560" s="9"/>
      <c r="F560" s="22" t="str">
        <f aca="false">IF(E560="","",IFERROR(INDEX(02_INDICADORES!$B$2:$B$42,MATCH(E560,02_INDICADORES!$A$2:$A$42,0)),"ID?"))</f>
        <v/>
      </c>
      <c r="G560" s="21" t="str">
        <f aca="false">IF(E560="","",IFERROR(INDEX(02_INDICADORES!$C$2:$C$42,MATCH(E560,02_INDICADORES!$A$2:$A$42,0)),"ID?"))</f>
        <v/>
      </c>
      <c r="H560" s="22" t="str">
        <f aca="false">IF(E560="","",IFERROR(INDEX(02_INDICADORES!$D$2:$D$42,MATCH(E560,02_INDICADORES!$A$2:$A$42,0)),""))</f>
        <v/>
      </c>
      <c r="I560" s="9"/>
      <c r="J560" s="16" t="str">
        <f aca="false">IF(OR(I560="",H560=""),"",I560*H560)</f>
        <v/>
      </c>
      <c r="K560" s="9"/>
      <c r="L560" s="9"/>
      <c r="M560" s="9"/>
    </row>
    <row r="561" customFormat="false" ht="15" hidden="false" customHeight="false" outlineLevel="0" collapsed="false">
      <c r="A561" s="9"/>
      <c r="B561" s="9"/>
      <c r="C561" s="11"/>
      <c r="D561" s="9"/>
      <c r="E561" s="9"/>
      <c r="F561" s="22" t="str">
        <f aca="false">IF(E561="","",IFERROR(INDEX(02_INDICADORES!$B$2:$B$42,MATCH(E561,02_INDICADORES!$A$2:$A$42,0)),"ID?"))</f>
        <v/>
      </c>
      <c r="G561" s="21" t="str">
        <f aca="false">IF(E561="","",IFERROR(INDEX(02_INDICADORES!$C$2:$C$42,MATCH(E561,02_INDICADORES!$A$2:$A$42,0)),"ID?"))</f>
        <v/>
      </c>
      <c r="H561" s="22" t="str">
        <f aca="false">IF(E561="","",IFERROR(INDEX(02_INDICADORES!$D$2:$D$42,MATCH(E561,02_INDICADORES!$A$2:$A$42,0)),""))</f>
        <v/>
      </c>
      <c r="I561" s="9"/>
      <c r="J561" s="16" t="str">
        <f aca="false">IF(OR(I561="",H561=""),"",I561*H561)</f>
        <v/>
      </c>
      <c r="K561" s="9"/>
      <c r="L561" s="9"/>
      <c r="M561" s="9"/>
    </row>
    <row r="562" customFormat="false" ht="15" hidden="false" customHeight="false" outlineLevel="0" collapsed="false">
      <c r="A562" s="9"/>
      <c r="B562" s="9"/>
      <c r="C562" s="11"/>
      <c r="D562" s="9"/>
      <c r="E562" s="9"/>
      <c r="F562" s="22" t="str">
        <f aca="false">IF(E562="","",IFERROR(INDEX(02_INDICADORES!$B$2:$B$42,MATCH(E562,02_INDICADORES!$A$2:$A$42,0)),"ID?"))</f>
        <v/>
      </c>
      <c r="G562" s="21" t="str">
        <f aca="false">IF(E562="","",IFERROR(INDEX(02_INDICADORES!$C$2:$C$42,MATCH(E562,02_INDICADORES!$A$2:$A$42,0)),"ID?"))</f>
        <v/>
      </c>
      <c r="H562" s="22" t="str">
        <f aca="false">IF(E562="","",IFERROR(INDEX(02_INDICADORES!$D$2:$D$42,MATCH(E562,02_INDICADORES!$A$2:$A$42,0)),""))</f>
        <v/>
      </c>
      <c r="I562" s="9"/>
      <c r="J562" s="16" t="str">
        <f aca="false">IF(OR(I562="",H562=""),"",I562*H562)</f>
        <v/>
      </c>
      <c r="K562" s="9"/>
      <c r="L562" s="9"/>
      <c r="M562" s="9"/>
    </row>
    <row r="563" customFormat="false" ht="15" hidden="false" customHeight="false" outlineLevel="0" collapsed="false">
      <c r="A563" s="9"/>
      <c r="B563" s="9"/>
      <c r="C563" s="11"/>
      <c r="D563" s="9"/>
      <c r="E563" s="9"/>
      <c r="F563" s="22" t="str">
        <f aca="false">IF(E563="","",IFERROR(INDEX(02_INDICADORES!$B$2:$B$42,MATCH(E563,02_INDICADORES!$A$2:$A$42,0)),"ID?"))</f>
        <v/>
      </c>
      <c r="G563" s="21" t="str">
        <f aca="false">IF(E563="","",IFERROR(INDEX(02_INDICADORES!$C$2:$C$42,MATCH(E563,02_INDICADORES!$A$2:$A$42,0)),"ID?"))</f>
        <v/>
      </c>
      <c r="H563" s="22" t="str">
        <f aca="false">IF(E563="","",IFERROR(INDEX(02_INDICADORES!$D$2:$D$42,MATCH(E563,02_INDICADORES!$A$2:$A$42,0)),""))</f>
        <v/>
      </c>
      <c r="I563" s="9"/>
      <c r="J563" s="16" t="str">
        <f aca="false">IF(OR(I563="",H563=""),"",I563*H563)</f>
        <v/>
      </c>
      <c r="K563" s="9"/>
      <c r="L563" s="9"/>
      <c r="M563" s="9"/>
    </row>
    <row r="564" customFormat="false" ht="15" hidden="false" customHeight="false" outlineLevel="0" collapsed="false">
      <c r="A564" s="9"/>
      <c r="B564" s="9"/>
      <c r="C564" s="11"/>
      <c r="D564" s="9"/>
      <c r="E564" s="9"/>
      <c r="F564" s="22" t="str">
        <f aca="false">IF(E564="","",IFERROR(INDEX(02_INDICADORES!$B$2:$B$42,MATCH(E564,02_INDICADORES!$A$2:$A$42,0)),"ID?"))</f>
        <v/>
      </c>
      <c r="G564" s="21" t="str">
        <f aca="false">IF(E564="","",IFERROR(INDEX(02_INDICADORES!$C$2:$C$42,MATCH(E564,02_INDICADORES!$A$2:$A$42,0)),"ID?"))</f>
        <v/>
      </c>
      <c r="H564" s="22" t="str">
        <f aca="false">IF(E564="","",IFERROR(INDEX(02_INDICADORES!$D$2:$D$42,MATCH(E564,02_INDICADORES!$A$2:$A$42,0)),""))</f>
        <v/>
      </c>
      <c r="I564" s="9"/>
      <c r="J564" s="16" t="str">
        <f aca="false">IF(OR(I564="",H564=""),"",I564*H564)</f>
        <v/>
      </c>
      <c r="K564" s="9"/>
      <c r="L564" s="9"/>
      <c r="M564" s="9"/>
    </row>
    <row r="565" customFormat="false" ht="15" hidden="false" customHeight="false" outlineLevel="0" collapsed="false">
      <c r="A565" s="9"/>
      <c r="B565" s="9"/>
      <c r="C565" s="11"/>
      <c r="D565" s="9"/>
      <c r="E565" s="9"/>
      <c r="F565" s="22" t="str">
        <f aca="false">IF(E565="","",IFERROR(INDEX(02_INDICADORES!$B$2:$B$42,MATCH(E565,02_INDICADORES!$A$2:$A$42,0)),"ID?"))</f>
        <v/>
      </c>
      <c r="G565" s="21" t="str">
        <f aca="false">IF(E565="","",IFERROR(INDEX(02_INDICADORES!$C$2:$C$42,MATCH(E565,02_INDICADORES!$A$2:$A$42,0)),"ID?"))</f>
        <v/>
      </c>
      <c r="H565" s="22" t="str">
        <f aca="false">IF(E565="","",IFERROR(INDEX(02_INDICADORES!$D$2:$D$42,MATCH(E565,02_INDICADORES!$A$2:$A$42,0)),""))</f>
        <v/>
      </c>
      <c r="I565" s="9"/>
      <c r="J565" s="16" t="str">
        <f aca="false">IF(OR(I565="",H565=""),"",I565*H565)</f>
        <v/>
      </c>
      <c r="K565" s="9"/>
      <c r="L565" s="9"/>
      <c r="M565" s="9"/>
    </row>
    <row r="566" customFormat="false" ht="15" hidden="false" customHeight="false" outlineLevel="0" collapsed="false">
      <c r="A566" s="9"/>
      <c r="B566" s="9"/>
      <c r="C566" s="11"/>
      <c r="D566" s="9"/>
      <c r="E566" s="9"/>
      <c r="F566" s="22" t="str">
        <f aca="false">IF(E566="","",IFERROR(INDEX(02_INDICADORES!$B$2:$B$42,MATCH(E566,02_INDICADORES!$A$2:$A$42,0)),"ID?"))</f>
        <v/>
      </c>
      <c r="G566" s="21" t="str">
        <f aca="false">IF(E566="","",IFERROR(INDEX(02_INDICADORES!$C$2:$C$42,MATCH(E566,02_INDICADORES!$A$2:$A$42,0)),"ID?"))</f>
        <v/>
      </c>
      <c r="H566" s="22" t="str">
        <f aca="false">IF(E566="","",IFERROR(INDEX(02_INDICADORES!$D$2:$D$42,MATCH(E566,02_INDICADORES!$A$2:$A$42,0)),""))</f>
        <v/>
      </c>
      <c r="I566" s="9"/>
      <c r="J566" s="16" t="str">
        <f aca="false">IF(OR(I566="",H566=""),"",I566*H566)</f>
        <v/>
      </c>
      <c r="K566" s="9"/>
      <c r="L566" s="9"/>
      <c r="M566" s="9"/>
    </row>
    <row r="567" customFormat="false" ht="15" hidden="false" customHeight="false" outlineLevel="0" collapsed="false">
      <c r="A567" s="9"/>
      <c r="B567" s="9"/>
      <c r="C567" s="11"/>
      <c r="D567" s="9"/>
      <c r="E567" s="9"/>
      <c r="F567" s="22" t="str">
        <f aca="false">IF(E567="","",IFERROR(INDEX(02_INDICADORES!$B$2:$B$42,MATCH(E567,02_INDICADORES!$A$2:$A$42,0)),"ID?"))</f>
        <v/>
      </c>
      <c r="G567" s="21" t="str">
        <f aca="false">IF(E567="","",IFERROR(INDEX(02_INDICADORES!$C$2:$C$42,MATCH(E567,02_INDICADORES!$A$2:$A$42,0)),"ID?"))</f>
        <v/>
      </c>
      <c r="H567" s="22" t="str">
        <f aca="false">IF(E567="","",IFERROR(INDEX(02_INDICADORES!$D$2:$D$42,MATCH(E567,02_INDICADORES!$A$2:$A$42,0)),""))</f>
        <v/>
      </c>
      <c r="I567" s="9"/>
      <c r="J567" s="16" t="str">
        <f aca="false">IF(OR(I567="",H567=""),"",I567*H567)</f>
        <v/>
      </c>
      <c r="K567" s="9"/>
      <c r="L567" s="9"/>
      <c r="M567" s="9"/>
    </row>
    <row r="568" customFormat="false" ht="15" hidden="false" customHeight="false" outlineLevel="0" collapsed="false">
      <c r="A568" s="9"/>
      <c r="B568" s="9"/>
      <c r="C568" s="11"/>
      <c r="D568" s="9"/>
      <c r="E568" s="9"/>
      <c r="F568" s="22" t="str">
        <f aca="false">IF(E568="","",IFERROR(INDEX(02_INDICADORES!$B$2:$B$42,MATCH(E568,02_INDICADORES!$A$2:$A$42,0)),"ID?"))</f>
        <v/>
      </c>
      <c r="G568" s="21" t="str">
        <f aca="false">IF(E568="","",IFERROR(INDEX(02_INDICADORES!$C$2:$C$42,MATCH(E568,02_INDICADORES!$A$2:$A$42,0)),"ID?"))</f>
        <v/>
      </c>
      <c r="H568" s="22" t="str">
        <f aca="false">IF(E568="","",IFERROR(INDEX(02_INDICADORES!$D$2:$D$42,MATCH(E568,02_INDICADORES!$A$2:$A$42,0)),""))</f>
        <v/>
      </c>
      <c r="I568" s="9"/>
      <c r="J568" s="16" t="str">
        <f aca="false">IF(OR(I568="",H568=""),"",I568*H568)</f>
        <v/>
      </c>
      <c r="K568" s="9"/>
      <c r="L568" s="9"/>
      <c r="M568" s="9"/>
    </row>
    <row r="569" customFormat="false" ht="15" hidden="false" customHeight="false" outlineLevel="0" collapsed="false">
      <c r="A569" s="9"/>
      <c r="B569" s="9"/>
      <c r="C569" s="11"/>
      <c r="D569" s="9"/>
      <c r="E569" s="9"/>
      <c r="F569" s="22" t="str">
        <f aca="false">IF(E569="","",IFERROR(INDEX(02_INDICADORES!$B$2:$B$42,MATCH(E569,02_INDICADORES!$A$2:$A$42,0)),"ID?"))</f>
        <v/>
      </c>
      <c r="G569" s="21" t="str">
        <f aca="false">IF(E569="","",IFERROR(INDEX(02_INDICADORES!$C$2:$C$42,MATCH(E569,02_INDICADORES!$A$2:$A$42,0)),"ID?"))</f>
        <v/>
      </c>
      <c r="H569" s="22" t="str">
        <f aca="false">IF(E569="","",IFERROR(INDEX(02_INDICADORES!$D$2:$D$42,MATCH(E569,02_INDICADORES!$A$2:$A$42,0)),""))</f>
        <v/>
      </c>
      <c r="I569" s="9"/>
      <c r="J569" s="16" t="str">
        <f aca="false">IF(OR(I569="",H569=""),"",I569*H569)</f>
        <v/>
      </c>
      <c r="K569" s="9"/>
      <c r="L569" s="9"/>
      <c r="M569" s="9"/>
    </row>
    <row r="570" customFormat="false" ht="15" hidden="false" customHeight="false" outlineLevel="0" collapsed="false">
      <c r="A570" s="9"/>
      <c r="B570" s="9"/>
      <c r="C570" s="11"/>
      <c r="D570" s="9"/>
      <c r="E570" s="9"/>
      <c r="F570" s="22" t="str">
        <f aca="false">IF(E570="","",IFERROR(INDEX(02_INDICADORES!$B$2:$B$42,MATCH(E570,02_INDICADORES!$A$2:$A$42,0)),"ID?"))</f>
        <v/>
      </c>
      <c r="G570" s="21" t="str">
        <f aca="false">IF(E570="","",IFERROR(INDEX(02_INDICADORES!$C$2:$C$42,MATCH(E570,02_INDICADORES!$A$2:$A$42,0)),"ID?"))</f>
        <v/>
      </c>
      <c r="H570" s="22" t="str">
        <f aca="false">IF(E570="","",IFERROR(INDEX(02_INDICADORES!$D$2:$D$42,MATCH(E570,02_INDICADORES!$A$2:$A$42,0)),""))</f>
        <v/>
      </c>
      <c r="I570" s="9"/>
      <c r="J570" s="16" t="str">
        <f aca="false">IF(OR(I570="",H570=""),"",I570*H570)</f>
        <v/>
      </c>
      <c r="K570" s="9"/>
      <c r="L570" s="9"/>
      <c r="M570" s="9"/>
    </row>
    <row r="571" customFormat="false" ht="15" hidden="false" customHeight="false" outlineLevel="0" collapsed="false">
      <c r="A571" s="9"/>
      <c r="B571" s="9"/>
      <c r="C571" s="11"/>
      <c r="D571" s="9"/>
      <c r="E571" s="9"/>
      <c r="F571" s="22" t="str">
        <f aca="false">IF(E571="","",IFERROR(INDEX(02_INDICADORES!$B$2:$B$42,MATCH(E571,02_INDICADORES!$A$2:$A$42,0)),"ID?"))</f>
        <v/>
      </c>
      <c r="G571" s="21" t="str">
        <f aca="false">IF(E571="","",IFERROR(INDEX(02_INDICADORES!$C$2:$C$42,MATCH(E571,02_INDICADORES!$A$2:$A$42,0)),"ID?"))</f>
        <v/>
      </c>
      <c r="H571" s="22" t="str">
        <f aca="false">IF(E571="","",IFERROR(INDEX(02_INDICADORES!$D$2:$D$42,MATCH(E571,02_INDICADORES!$A$2:$A$42,0)),""))</f>
        <v/>
      </c>
      <c r="I571" s="9"/>
      <c r="J571" s="16" t="str">
        <f aca="false">IF(OR(I571="",H571=""),"",I571*H571)</f>
        <v/>
      </c>
      <c r="K571" s="9"/>
      <c r="L571" s="9"/>
      <c r="M571" s="9"/>
    </row>
    <row r="572" customFormat="false" ht="15" hidden="false" customHeight="false" outlineLevel="0" collapsed="false">
      <c r="A572" s="9"/>
      <c r="B572" s="9"/>
      <c r="C572" s="11"/>
      <c r="D572" s="9"/>
      <c r="E572" s="9"/>
      <c r="F572" s="22" t="str">
        <f aca="false">IF(E572="","",IFERROR(INDEX(02_INDICADORES!$B$2:$B$42,MATCH(E572,02_INDICADORES!$A$2:$A$42,0)),"ID?"))</f>
        <v/>
      </c>
      <c r="G572" s="21" t="str">
        <f aca="false">IF(E572="","",IFERROR(INDEX(02_INDICADORES!$C$2:$C$42,MATCH(E572,02_INDICADORES!$A$2:$A$42,0)),"ID?"))</f>
        <v/>
      </c>
      <c r="H572" s="22" t="str">
        <f aca="false">IF(E572="","",IFERROR(INDEX(02_INDICADORES!$D$2:$D$42,MATCH(E572,02_INDICADORES!$A$2:$A$42,0)),""))</f>
        <v/>
      </c>
      <c r="I572" s="9"/>
      <c r="J572" s="16" t="str">
        <f aca="false">IF(OR(I572="",H572=""),"",I572*H572)</f>
        <v/>
      </c>
      <c r="K572" s="9"/>
      <c r="L572" s="9"/>
      <c r="M572" s="9"/>
    </row>
    <row r="573" customFormat="false" ht="15" hidden="false" customHeight="false" outlineLevel="0" collapsed="false">
      <c r="A573" s="9"/>
      <c r="B573" s="9"/>
      <c r="C573" s="11"/>
      <c r="D573" s="9"/>
      <c r="E573" s="9"/>
      <c r="F573" s="22" t="str">
        <f aca="false">IF(E573="","",IFERROR(INDEX(02_INDICADORES!$B$2:$B$42,MATCH(E573,02_INDICADORES!$A$2:$A$42,0)),"ID?"))</f>
        <v/>
      </c>
      <c r="G573" s="21" t="str">
        <f aca="false">IF(E573="","",IFERROR(INDEX(02_INDICADORES!$C$2:$C$42,MATCH(E573,02_INDICADORES!$A$2:$A$42,0)),"ID?"))</f>
        <v/>
      </c>
      <c r="H573" s="22" t="str">
        <f aca="false">IF(E573="","",IFERROR(INDEX(02_INDICADORES!$D$2:$D$42,MATCH(E573,02_INDICADORES!$A$2:$A$42,0)),""))</f>
        <v/>
      </c>
      <c r="I573" s="9"/>
      <c r="J573" s="16" t="str">
        <f aca="false">IF(OR(I573="",H573=""),"",I573*H573)</f>
        <v/>
      </c>
      <c r="K573" s="9"/>
      <c r="L573" s="9"/>
      <c r="M573" s="9"/>
    </row>
    <row r="574" customFormat="false" ht="15" hidden="false" customHeight="false" outlineLevel="0" collapsed="false">
      <c r="A574" s="9"/>
      <c r="B574" s="9"/>
      <c r="C574" s="11"/>
      <c r="D574" s="9"/>
      <c r="E574" s="9"/>
      <c r="F574" s="22" t="str">
        <f aca="false">IF(E574="","",IFERROR(INDEX(02_INDICADORES!$B$2:$B$42,MATCH(E574,02_INDICADORES!$A$2:$A$42,0)),"ID?"))</f>
        <v/>
      </c>
      <c r="G574" s="21" t="str">
        <f aca="false">IF(E574="","",IFERROR(INDEX(02_INDICADORES!$C$2:$C$42,MATCH(E574,02_INDICADORES!$A$2:$A$42,0)),"ID?"))</f>
        <v/>
      </c>
      <c r="H574" s="22" t="str">
        <f aca="false">IF(E574="","",IFERROR(INDEX(02_INDICADORES!$D$2:$D$42,MATCH(E574,02_INDICADORES!$A$2:$A$42,0)),""))</f>
        <v/>
      </c>
      <c r="I574" s="9"/>
      <c r="J574" s="16" t="str">
        <f aca="false">IF(OR(I574="",H574=""),"",I574*H574)</f>
        <v/>
      </c>
      <c r="K574" s="9"/>
      <c r="L574" s="9"/>
      <c r="M574" s="9"/>
    </row>
    <row r="575" customFormat="false" ht="15" hidden="false" customHeight="false" outlineLevel="0" collapsed="false">
      <c r="A575" s="9"/>
      <c r="B575" s="9"/>
      <c r="C575" s="11"/>
      <c r="D575" s="9"/>
      <c r="E575" s="9"/>
      <c r="F575" s="22" t="str">
        <f aca="false">IF(E575="","",IFERROR(INDEX(02_INDICADORES!$B$2:$B$42,MATCH(E575,02_INDICADORES!$A$2:$A$42,0)),"ID?"))</f>
        <v/>
      </c>
      <c r="G575" s="21" t="str">
        <f aca="false">IF(E575="","",IFERROR(INDEX(02_INDICADORES!$C$2:$C$42,MATCH(E575,02_INDICADORES!$A$2:$A$42,0)),"ID?"))</f>
        <v/>
      </c>
      <c r="H575" s="22" t="str">
        <f aca="false">IF(E575="","",IFERROR(INDEX(02_INDICADORES!$D$2:$D$42,MATCH(E575,02_INDICADORES!$A$2:$A$42,0)),""))</f>
        <v/>
      </c>
      <c r="I575" s="9"/>
      <c r="J575" s="16" t="str">
        <f aca="false">IF(OR(I575="",H575=""),"",I575*H575)</f>
        <v/>
      </c>
      <c r="K575" s="9"/>
      <c r="L575" s="9"/>
      <c r="M575" s="9"/>
    </row>
    <row r="576" customFormat="false" ht="15" hidden="false" customHeight="false" outlineLevel="0" collapsed="false">
      <c r="A576" s="9"/>
      <c r="B576" s="9"/>
      <c r="C576" s="11"/>
      <c r="D576" s="9"/>
      <c r="E576" s="9"/>
      <c r="F576" s="22" t="str">
        <f aca="false">IF(E576="","",IFERROR(INDEX(02_INDICADORES!$B$2:$B$42,MATCH(E576,02_INDICADORES!$A$2:$A$42,0)),"ID?"))</f>
        <v/>
      </c>
      <c r="G576" s="21" t="str">
        <f aca="false">IF(E576="","",IFERROR(INDEX(02_INDICADORES!$C$2:$C$42,MATCH(E576,02_INDICADORES!$A$2:$A$42,0)),"ID?"))</f>
        <v/>
      </c>
      <c r="H576" s="22" t="str">
        <f aca="false">IF(E576="","",IFERROR(INDEX(02_INDICADORES!$D$2:$D$42,MATCH(E576,02_INDICADORES!$A$2:$A$42,0)),""))</f>
        <v/>
      </c>
      <c r="I576" s="9"/>
      <c r="J576" s="16" t="str">
        <f aca="false">IF(OR(I576="",H576=""),"",I576*H576)</f>
        <v/>
      </c>
      <c r="K576" s="9"/>
      <c r="L576" s="9"/>
      <c r="M576" s="9"/>
    </row>
    <row r="577" customFormat="false" ht="15" hidden="false" customHeight="false" outlineLevel="0" collapsed="false">
      <c r="A577" s="9"/>
      <c r="B577" s="9"/>
      <c r="C577" s="11"/>
      <c r="D577" s="9"/>
      <c r="E577" s="9"/>
      <c r="F577" s="22" t="str">
        <f aca="false">IF(E577="","",IFERROR(INDEX(02_INDICADORES!$B$2:$B$42,MATCH(E577,02_INDICADORES!$A$2:$A$42,0)),"ID?"))</f>
        <v/>
      </c>
      <c r="G577" s="21" t="str">
        <f aca="false">IF(E577="","",IFERROR(INDEX(02_INDICADORES!$C$2:$C$42,MATCH(E577,02_INDICADORES!$A$2:$A$42,0)),"ID?"))</f>
        <v/>
      </c>
      <c r="H577" s="22" t="str">
        <f aca="false">IF(E577="","",IFERROR(INDEX(02_INDICADORES!$D$2:$D$42,MATCH(E577,02_INDICADORES!$A$2:$A$42,0)),""))</f>
        <v/>
      </c>
      <c r="I577" s="9"/>
      <c r="J577" s="16" t="str">
        <f aca="false">IF(OR(I577="",H577=""),"",I577*H577)</f>
        <v/>
      </c>
      <c r="K577" s="9"/>
      <c r="L577" s="9"/>
      <c r="M577" s="9"/>
    </row>
    <row r="578" customFormat="false" ht="15" hidden="false" customHeight="false" outlineLevel="0" collapsed="false">
      <c r="A578" s="9"/>
      <c r="B578" s="9"/>
      <c r="C578" s="11"/>
      <c r="D578" s="9"/>
      <c r="E578" s="9"/>
      <c r="F578" s="22" t="str">
        <f aca="false">IF(E578="","",IFERROR(INDEX(02_INDICADORES!$B$2:$B$42,MATCH(E578,02_INDICADORES!$A$2:$A$42,0)),"ID?"))</f>
        <v/>
      </c>
      <c r="G578" s="21" t="str">
        <f aca="false">IF(E578="","",IFERROR(INDEX(02_INDICADORES!$C$2:$C$42,MATCH(E578,02_INDICADORES!$A$2:$A$42,0)),"ID?"))</f>
        <v/>
      </c>
      <c r="H578" s="22" t="str">
        <f aca="false">IF(E578="","",IFERROR(INDEX(02_INDICADORES!$D$2:$D$42,MATCH(E578,02_INDICADORES!$A$2:$A$42,0)),""))</f>
        <v/>
      </c>
      <c r="I578" s="9"/>
      <c r="J578" s="16" t="str">
        <f aca="false">IF(OR(I578="",H578=""),"",I578*H578)</f>
        <v/>
      </c>
      <c r="K578" s="9"/>
      <c r="L578" s="9"/>
      <c r="M578" s="9"/>
    </row>
    <row r="579" customFormat="false" ht="15" hidden="false" customHeight="false" outlineLevel="0" collapsed="false">
      <c r="A579" s="9"/>
      <c r="B579" s="9"/>
      <c r="C579" s="11"/>
      <c r="D579" s="9"/>
      <c r="E579" s="9"/>
      <c r="F579" s="22" t="str">
        <f aca="false">IF(E579="","",IFERROR(INDEX(02_INDICADORES!$B$2:$B$42,MATCH(E579,02_INDICADORES!$A$2:$A$42,0)),"ID?"))</f>
        <v/>
      </c>
      <c r="G579" s="21" t="str">
        <f aca="false">IF(E579="","",IFERROR(INDEX(02_INDICADORES!$C$2:$C$42,MATCH(E579,02_INDICADORES!$A$2:$A$42,0)),"ID?"))</f>
        <v/>
      </c>
      <c r="H579" s="22" t="str">
        <f aca="false">IF(E579="","",IFERROR(INDEX(02_INDICADORES!$D$2:$D$42,MATCH(E579,02_INDICADORES!$A$2:$A$42,0)),""))</f>
        <v/>
      </c>
      <c r="I579" s="9"/>
      <c r="J579" s="16" t="str">
        <f aca="false">IF(OR(I579="",H579=""),"",I579*H579)</f>
        <v/>
      </c>
      <c r="K579" s="9"/>
      <c r="L579" s="9"/>
      <c r="M579" s="9"/>
    </row>
    <row r="580" customFormat="false" ht="15" hidden="false" customHeight="false" outlineLevel="0" collapsed="false">
      <c r="A580" s="9"/>
      <c r="B580" s="9"/>
      <c r="C580" s="11"/>
      <c r="D580" s="9"/>
      <c r="E580" s="9"/>
      <c r="F580" s="22" t="str">
        <f aca="false">IF(E580="","",IFERROR(INDEX(02_INDICADORES!$B$2:$B$42,MATCH(E580,02_INDICADORES!$A$2:$A$42,0)),"ID?"))</f>
        <v/>
      </c>
      <c r="G580" s="21" t="str">
        <f aca="false">IF(E580="","",IFERROR(INDEX(02_INDICADORES!$C$2:$C$42,MATCH(E580,02_INDICADORES!$A$2:$A$42,0)),"ID?"))</f>
        <v/>
      </c>
      <c r="H580" s="22" t="str">
        <f aca="false">IF(E580="","",IFERROR(INDEX(02_INDICADORES!$D$2:$D$42,MATCH(E580,02_INDICADORES!$A$2:$A$42,0)),""))</f>
        <v/>
      </c>
      <c r="I580" s="9"/>
      <c r="J580" s="16" t="str">
        <f aca="false">IF(OR(I580="",H580=""),"",I580*H580)</f>
        <v/>
      </c>
      <c r="K580" s="9"/>
      <c r="L580" s="9"/>
      <c r="M580" s="9"/>
    </row>
    <row r="581" customFormat="false" ht="15" hidden="false" customHeight="false" outlineLevel="0" collapsed="false">
      <c r="A581" s="9"/>
      <c r="B581" s="9"/>
      <c r="C581" s="11"/>
      <c r="D581" s="9"/>
      <c r="E581" s="9"/>
      <c r="F581" s="22" t="str">
        <f aca="false">IF(E581="","",IFERROR(INDEX(02_INDICADORES!$B$2:$B$42,MATCH(E581,02_INDICADORES!$A$2:$A$42,0)),"ID?"))</f>
        <v/>
      </c>
      <c r="G581" s="21" t="str">
        <f aca="false">IF(E581="","",IFERROR(INDEX(02_INDICADORES!$C$2:$C$42,MATCH(E581,02_INDICADORES!$A$2:$A$42,0)),"ID?"))</f>
        <v/>
      </c>
      <c r="H581" s="22" t="str">
        <f aca="false">IF(E581="","",IFERROR(INDEX(02_INDICADORES!$D$2:$D$42,MATCH(E581,02_INDICADORES!$A$2:$A$42,0)),""))</f>
        <v/>
      </c>
      <c r="I581" s="9"/>
      <c r="J581" s="16" t="str">
        <f aca="false">IF(OR(I581="",H581=""),"",I581*H581)</f>
        <v/>
      </c>
      <c r="K581" s="9"/>
      <c r="L581" s="9"/>
      <c r="M581" s="9"/>
    </row>
    <row r="582" customFormat="false" ht="15" hidden="false" customHeight="false" outlineLevel="0" collapsed="false">
      <c r="A582" s="9"/>
      <c r="B582" s="9"/>
      <c r="C582" s="11"/>
      <c r="D582" s="9"/>
      <c r="E582" s="9"/>
      <c r="F582" s="22" t="str">
        <f aca="false">IF(E582="","",IFERROR(INDEX(02_INDICADORES!$B$2:$B$42,MATCH(E582,02_INDICADORES!$A$2:$A$42,0)),"ID?"))</f>
        <v/>
      </c>
      <c r="G582" s="21" t="str">
        <f aca="false">IF(E582="","",IFERROR(INDEX(02_INDICADORES!$C$2:$C$42,MATCH(E582,02_INDICADORES!$A$2:$A$42,0)),"ID?"))</f>
        <v/>
      </c>
      <c r="H582" s="22" t="str">
        <f aca="false">IF(E582="","",IFERROR(INDEX(02_INDICADORES!$D$2:$D$42,MATCH(E582,02_INDICADORES!$A$2:$A$42,0)),""))</f>
        <v/>
      </c>
      <c r="I582" s="9"/>
      <c r="J582" s="16" t="str">
        <f aca="false">IF(OR(I582="",H582=""),"",I582*H582)</f>
        <v/>
      </c>
      <c r="K582" s="9"/>
      <c r="L582" s="9"/>
      <c r="M582" s="9"/>
    </row>
    <row r="583" customFormat="false" ht="15" hidden="false" customHeight="false" outlineLevel="0" collapsed="false">
      <c r="A583" s="9"/>
      <c r="B583" s="9"/>
      <c r="C583" s="11"/>
      <c r="D583" s="9"/>
      <c r="E583" s="9"/>
      <c r="F583" s="22" t="str">
        <f aca="false">IF(E583="","",IFERROR(INDEX(02_INDICADORES!$B$2:$B$42,MATCH(E583,02_INDICADORES!$A$2:$A$42,0)),"ID?"))</f>
        <v/>
      </c>
      <c r="G583" s="21" t="str">
        <f aca="false">IF(E583="","",IFERROR(INDEX(02_INDICADORES!$C$2:$C$42,MATCH(E583,02_INDICADORES!$A$2:$A$42,0)),"ID?"))</f>
        <v/>
      </c>
      <c r="H583" s="22" t="str">
        <f aca="false">IF(E583="","",IFERROR(INDEX(02_INDICADORES!$D$2:$D$42,MATCH(E583,02_INDICADORES!$A$2:$A$42,0)),""))</f>
        <v/>
      </c>
      <c r="I583" s="9"/>
      <c r="J583" s="16" t="str">
        <f aca="false">IF(OR(I583="",H583=""),"",I583*H583)</f>
        <v/>
      </c>
      <c r="K583" s="9"/>
      <c r="L583" s="9"/>
      <c r="M583" s="9"/>
    </row>
    <row r="584" customFormat="false" ht="15" hidden="false" customHeight="false" outlineLevel="0" collapsed="false">
      <c r="A584" s="9"/>
      <c r="B584" s="9"/>
      <c r="C584" s="11"/>
      <c r="D584" s="9"/>
      <c r="E584" s="9"/>
      <c r="F584" s="22" t="str">
        <f aca="false">IF(E584="","",IFERROR(INDEX(02_INDICADORES!$B$2:$B$42,MATCH(E584,02_INDICADORES!$A$2:$A$42,0)),"ID?"))</f>
        <v/>
      </c>
      <c r="G584" s="21" t="str">
        <f aca="false">IF(E584="","",IFERROR(INDEX(02_INDICADORES!$C$2:$C$42,MATCH(E584,02_INDICADORES!$A$2:$A$42,0)),"ID?"))</f>
        <v/>
      </c>
      <c r="H584" s="22" t="str">
        <f aca="false">IF(E584="","",IFERROR(INDEX(02_INDICADORES!$D$2:$D$42,MATCH(E584,02_INDICADORES!$A$2:$A$42,0)),""))</f>
        <v/>
      </c>
      <c r="I584" s="9"/>
      <c r="J584" s="16" t="str">
        <f aca="false">IF(OR(I584="",H584=""),"",I584*H584)</f>
        <v/>
      </c>
      <c r="K584" s="9"/>
      <c r="L584" s="9"/>
      <c r="M584" s="9"/>
    </row>
    <row r="585" customFormat="false" ht="15" hidden="false" customHeight="false" outlineLevel="0" collapsed="false">
      <c r="A585" s="9"/>
      <c r="B585" s="9"/>
      <c r="C585" s="11"/>
      <c r="D585" s="9"/>
      <c r="E585" s="9"/>
      <c r="F585" s="22" t="str">
        <f aca="false">IF(E585="","",IFERROR(INDEX(02_INDICADORES!$B$2:$B$42,MATCH(E585,02_INDICADORES!$A$2:$A$42,0)),"ID?"))</f>
        <v/>
      </c>
      <c r="G585" s="21" t="str">
        <f aca="false">IF(E585="","",IFERROR(INDEX(02_INDICADORES!$C$2:$C$42,MATCH(E585,02_INDICADORES!$A$2:$A$42,0)),"ID?"))</f>
        <v/>
      </c>
      <c r="H585" s="22" t="str">
        <f aca="false">IF(E585="","",IFERROR(INDEX(02_INDICADORES!$D$2:$D$42,MATCH(E585,02_INDICADORES!$A$2:$A$42,0)),""))</f>
        <v/>
      </c>
      <c r="I585" s="9"/>
      <c r="J585" s="16" t="str">
        <f aca="false">IF(OR(I585="",H585=""),"",I585*H585)</f>
        <v/>
      </c>
      <c r="K585" s="9"/>
      <c r="L585" s="9"/>
      <c r="M585" s="9"/>
    </row>
    <row r="586" customFormat="false" ht="15" hidden="false" customHeight="false" outlineLevel="0" collapsed="false">
      <c r="A586" s="9"/>
      <c r="B586" s="9"/>
      <c r="C586" s="11"/>
      <c r="D586" s="9"/>
      <c r="E586" s="9"/>
      <c r="F586" s="22" t="str">
        <f aca="false">IF(E586="","",IFERROR(INDEX(02_INDICADORES!$B$2:$B$42,MATCH(E586,02_INDICADORES!$A$2:$A$42,0)),"ID?"))</f>
        <v/>
      </c>
      <c r="G586" s="21" t="str">
        <f aca="false">IF(E586="","",IFERROR(INDEX(02_INDICADORES!$C$2:$C$42,MATCH(E586,02_INDICADORES!$A$2:$A$42,0)),"ID?"))</f>
        <v/>
      </c>
      <c r="H586" s="22" t="str">
        <f aca="false">IF(E586="","",IFERROR(INDEX(02_INDICADORES!$D$2:$D$42,MATCH(E586,02_INDICADORES!$A$2:$A$42,0)),""))</f>
        <v/>
      </c>
      <c r="I586" s="9"/>
      <c r="J586" s="16" t="str">
        <f aca="false">IF(OR(I586="",H586=""),"",I586*H586)</f>
        <v/>
      </c>
      <c r="K586" s="9"/>
      <c r="L586" s="9"/>
      <c r="M586" s="9"/>
    </row>
    <row r="587" customFormat="false" ht="15" hidden="false" customHeight="false" outlineLevel="0" collapsed="false">
      <c r="A587" s="9"/>
      <c r="B587" s="9"/>
      <c r="C587" s="11"/>
      <c r="D587" s="9"/>
      <c r="E587" s="9"/>
      <c r="F587" s="22" t="str">
        <f aca="false">IF(E587="","",IFERROR(INDEX(02_INDICADORES!$B$2:$B$42,MATCH(E587,02_INDICADORES!$A$2:$A$42,0)),"ID?"))</f>
        <v/>
      </c>
      <c r="G587" s="21" t="str">
        <f aca="false">IF(E587="","",IFERROR(INDEX(02_INDICADORES!$C$2:$C$42,MATCH(E587,02_INDICADORES!$A$2:$A$42,0)),"ID?"))</f>
        <v/>
      </c>
      <c r="H587" s="22" t="str">
        <f aca="false">IF(E587="","",IFERROR(INDEX(02_INDICADORES!$D$2:$D$42,MATCH(E587,02_INDICADORES!$A$2:$A$42,0)),""))</f>
        <v/>
      </c>
      <c r="I587" s="9"/>
      <c r="J587" s="16" t="str">
        <f aca="false">IF(OR(I587="",H587=""),"",I587*H587)</f>
        <v/>
      </c>
      <c r="K587" s="9"/>
      <c r="L587" s="9"/>
      <c r="M587" s="9"/>
    </row>
    <row r="588" customFormat="false" ht="15" hidden="false" customHeight="false" outlineLevel="0" collapsed="false">
      <c r="A588" s="9"/>
      <c r="B588" s="9"/>
      <c r="C588" s="11"/>
      <c r="D588" s="9"/>
      <c r="E588" s="9"/>
      <c r="F588" s="22" t="str">
        <f aca="false">IF(E588="","",IFERROR(INDEX(02_INDICADORES!$B$2:$B$42,MATCH(E588,02_INDICADORES!$A$2:$A$42,0)),"ID?"))</f>
        <v/>
      </c>
      <c r="G588" s="21" t="str">
        <f aca="false">IF(E588="","",IFERROR(INDEX(02_INDICADORES!$C$2:$C$42,MATCH(E588,02_INDICADORES!$A$2:$A$42,0)),"ID?"))</f>
        <v/>
      </c>
      <c r="H588" s="22" t="str">
        <f aca="false">IF(E588="","",IFERROR(INDEX(02_INDICADORES!$D$2:$D$42,MATCH(E588,02_INDICADORES!$A$2:$A$42,0)),""))</f>
        <v/>
      </c>
      <c r="I588" s="9"/>
      <c r="J588" s="16" t="str">
        <f aca="false">IF(OR(I588="",H588=""),"",I588*H588)</f>
        <v/>
      </c>
      <c r="K588" s="9"/>
      <c r="L588" s="9"/>
      <c r="M588" s="9"/>
    </row>
    <row r="589" customFormat="false" ht="15" hidden="false" customHeight="false" outlineLevel="0" collapsed="false">
      <c r="A589" s="9"/>
      <c r="B589" s="9"/>
      <c r="C589" s="11"/>
      <c r="D589" s="9"/>
      <c r="E589" s="9"/>
      <c r="F589" s="22" t="str">
        <f aca="false">IF(E589="","",IFERROR(INDEX(02_INDICADORES!$B$2:$B$42,MATCH(E589,02_INDICADORES!$A$2:$A$42,0)),"ID?"))</f>
        <v/>
      </c>
      <c r="G589" s="21" t="str">
        <f aca="false">IF(E589="","",IFERROR(INDEX(02_INDICADORES!$C$2:$C$42,MATCH(E589,02_INDICADORES!$A$2:$A$42,0)),"ID?"))</f>
        <v/>
      </c>
      <c r="H589" s="22" t="str">
        <f aca="false">IF(E589="","",IFERROR(INDEX(02_INDICADORES!$D$2:$D$42,MATCH(E589,02_INDICADORES!$A$2:$A$42,0)),""))</f>
        <v/>
      </c>
      <c r="I589" s="9"/>
      <c r="J589" s="16" t="str">
        <f aca="false">IF(OR(I589="",H589=""),"",I589*H589)</f>
        <v/>
      </c>
      <c r="K589" s="9"/>
      <c r="L589" s="9"/>
      <c r="M589" s="9"/>
    </row>
    <row r="590" customFormat="false" ht="15" hidden="false" customHeight="false" outlineLevel="0" collapsed="false">
      <c r="A590" s="9"/>
      <c r="B590" s="9"/>
      <c r="C590" s="11"/>
      <c r="D590" s="9"/>
      <c r="E590" s="9"/>
      <c r="F590" s="22" t="str">
        <f aca="false">IF(E590="","",IFERROR(INDEX(02_INDICADORES!$B$2:$B$42,MATCH(E590,02_INDICADORES!$A$2:$A$42,0)),"ID?"))</f>
        <v/>
      </c>
      <c r="G590" s="21" t="str">
        <f aca="false">IF(E590="","",IFERROR(INDEX(02_INDICADORES!$C$2:$C$42,MATCH(E590,02_INDICADORES!$A$2:$A$42,0)),"ID?"))</f>
        <v/>
      </c>
      <c r="H590" s="22" t="str">
        <f aca="false">IF(E590="","",IFERROR(INDEX(02_INDICADORES!$D$2:$D$42,MATCH(E590,02_INDICADORES!$A$2:$A$42,0)),""))</f>
        <v/>
      </c>
      <c r="I590" s="9"/>
      <c r="J590" s="16" t="str">
        <f aca="false">IF(OR(I590="",H590=""),"",I590*H590)</f>
        <v/>
      </c>
      <c r="K590" s="9"/>
      <c r="L590" s="9"/>
      <c r="M590" s="9"/>
    </row>
    <row r="591" customFormat="false" ht="15" hidden="false" customHeight="false" outlineLevel="0" collapsed="false">
      <c r="A591" s="9"/>
      <c r="B591" s="9"/>
      <c r="C591" s="11"/>
      <c r="D591" s="9"/>
      <c r="E591" s="9"/>
      <c r="F591" s="22" t="str">
        <f aca="false">IF(E591="","",IFERROR(INDEX(02_INDICADORES!$B$2:$B$42,MATCH(E591,02_INDICADORES!$A$2:$A$42,0)),"ID?"))</f>
        <v/>
      </c>
      <c r="G591" s="21" t="str">
        <f aca="false">IF(E591="","",IFERROR(INDEX(02_INDICADORES!$C$2:$C$42,MATCH(E591,02_INDICADORES!$A$2:$A$42,0)),"ID?"))</f>
        <v/>
      </c>
      <c r="H591" s="22" t="str">
        <f aca="false">IF(E591="","",IFERROR(INDEX(02_INDICADORES!$D$2:$D$42,MATCH(E591,02_INDICADORES!$A$2:$A$42,0)),""))</f>
        <v/>
      </c>
      <c r="I591" s="9"/>
      <c r="J591" s="16" t="str">
        <f aca="false">IF(OR(I591="",H591=""),"",I591*H591)</f>
        <v/>
      </c>
      <c r="K591" s="9"/>
      <c r="L591" s="9"/>
      <c r="M591" s="9"/>
    </row>
    <row r="592" customFormat="false" ht="15" hidden="false" customHeight="false" outlineLevel="0" collapsed="false">
      <c r="A592" s="9"/>
      <c r="B592" s="9"/>
      <c r="C592" s="11"/>
      <c r="D592" s="9"/>
      <c r="E592" s="9"/>
      <c r="F592" s="22" t="str">
        <f aca="false">IF(E592="","",IFERROR(INDEX(02_INDICADORES!$B$2:$B$42,MATCH(E592,02_INDICADORES!$A$2:$A$42,0)),"ID?"))</f>
        <v/>
      </c>
      <c r="G592" s="21" t="str">
        <f aca="false">IF(E592="","",IFERROR(INDEX(02_INDICADORES!$C$2:$C$42,MATCH(E592,02_INDICADORES!$A$2:$A$42,0)),"ID?"))</f>
        <v/>
      </c>
      <c r="H592" s="22" t="str">
        <f aca="false">IF(E592="","",IFERROR(INDEX(02_INDICADORES!$D$2:$D$42,MATCH(E592,02_INDICADORES!$A$2:$A$42,0)),""))</f>
        <v/>
      </c>
      <c r="I592" s="9"/>
      <c r="J592" s="16" t="str">
        <f aca="false">IF(OR(I592="",H592=""),"",I592*H592)</f>
        <v/>
      </c>
      <c r="K592" s="9"/>
      <c r="L592" s="9"/>
      <c r="M592" s="9"/>
    </row>
    <row r="593" customFormat="false" ht="15" hidden="false" customHeight="false" outlineLevel="0" collapsed="false">
      <c r="A593" s="9"/>
      <c r="B593" s="9"/>
      <c r="C593" s="11"/>
      <c r="D593" s="9"/>
      <c r="E593" s="9"/>
      <c r="F593" s="22" t="str">
        <f aca="false">IF(E593="","",IFERROR(INDEX(02_INDICADORES!$B$2:$B$42,MATCH(E593,02_INDICADORES!$A$2:$A$42,0)),"ID?"))</f>
        <v/>
      </c>
      <c r="G593" s="21" t="str">
        <f aca="false">IF(E593="","",IFERROR(INDEX(02_INDICADORES!$C$2:$C$42,MATCH(E593,02_INDICADORES!$A$2:$A$42,0)),"ID?"))</f>
        <v/>
      </c>
      <c r="H593" s="22" t="str">
        <f aca="false">IF(E593="","",IFERROR(INDEX(02_INDICADORES!$D$2:$D$42,MATCH(E593,02_INDICADORES!$A$2:$A$42,0)),""))</f>
        <v/>
      </c>
      <c r="I593" s="9"/>
      <c r="J593" s="16" t="str">
        <f aca="false">IF(OR(I593="",H593=""),"",I593*H593)</f>
        <v/>
      </c>
      <c r="K593" s="9"/>
      <c r="L593" s="9"/>
      <c r="M593" s="9"/>
    </row>
    <row r="594" customFormat="false" ht="15" hidden="false" customHeight="false" outlineLevel="0" collapsed="false">
      <c r="A594" s="9"/>
      <c r="B594" s="9"/>
      <c r="C594" s="11"/>
      <c r="D594" s="9"/>
      <c r="E594" s="9"/>
      <c r="F594" s="22" t="str">
        <f aca="false">IF(E594="","",IFERROR(INDEX(02_INDICADORES!$B$2:$B$42,MATCH(E594,02_INDICADORES!$A$2:$A$42,0)),"ID?"))</f>
        <v/>
      </c>
      <c r="G594" s="21" t="str">
        <f aca="false">IF(E594="","",IFERROR(INDEX(02_INDICADORES!$C$2:$C$42,MATCH(E594,02_INDICADORES!$A$2:$A$42,0)),"ID?"))</f>
        <v/>
      </c>
      <c r="H594" s="22" t="str">
        <f aca="false">IF(E594="","",IFERROR(INDEX(02_INDICADORES!$D$2:$D$42,MATCH(E594,02_INDICADORES!$A$2:$A$42,0)),""))</f>
        <v/>
      </c>
      <c r="I594" s="9"/>
      <c r="J594" s="16" t="str">
        <f aca="false">IF(OR(I594="",H594=""),"",I594*H594)</f>
        <v/>
      </c>
      <c r="K594" s="9"/>
      <c r="L594" s="9"/>
      <c r="M594" s="9"/>
    </row>
    <row r="595" customFormat="false" ht="15" hidden="false" customHeight="false" outlineLevel="0" collapsed="false">
      <c r="A595" s="9"/>
      <c r="B595" s="9"/>
      <c r="C595" s="11"/>
      <c r="D595" s="9"/>
      <c r="E595" s="9"/>
      <c r="F595" s="22" t="str">
        <f aca="false">IF(E595="","",IFERROR(INDEX(02_INDICADORES!$B$2:$B$42,MATCH(E595,02_INDICADORES!$A$2:$A$42,0)),"ID?"))</f>
        <v/>
      </c>
      <c r="G595" s="21" t="str">
        <f aca="false">IF(E595="","",IFERROR(INDEX(02_INDICADORES!$C$2:$C$42,MATCH(E595,02_INDICADORES!$A$2:$A$42,0)),"ID?"))</f>
        <v/>
      </c>
      <c r="H595" s="22" t="str">
        <f aca="false">IF(E595="","",IFERROR(INDEX(02_INDICADORES!$D$2:$D$42,MATCH(E595,02_INDICADORES!$A$2:$A$42,0)),""))</f>
        <v/>
      </c>
      <c r="I595" s="9"/>
      <c r="J595" s="16" t="str">
        <f aca="false">IF(OR(I595="",H595=""),"",I595*H595)</f>
        <v/>
      </c>
      <c r="K595" s="9"/>
      <c r="L595" s="9"/>
      <c r="M595" s="9"/>
    </row>
    <row r="596" customFormat="false" ht="15" hidden="false" customHeight="false" outlineLevel="0" collapsed="false">
      <c r="A596" s="9"/>
      <c r="B596" s="9"/>
      <c r="C596" s="11"/>
      <c r="D596" s="9"/>
      <c r="E596" s="9"/>
      <c r="F596" s="22" t="str">
        <f aca="false">IF(E596="","",IFERROR(INDEX(02_INDICADORES!$B$2:$B$42,MATCH(E596,02_INDICADORES!$A$2:$A$42,0)),"ID?"))</f>
        <v/>
      </c>
      <c r="G596" s="21" t="str">
        <f aca="false">IF(E596="","",IFERROR(INDEX(02_INDICADORES!$C$2:$C$42,MATCH(E596,02_INDICADORES!$A$2:$A$42,0)),"ID?"))</f>
        <v/>
      </c>
      <c r="H596" s="22" t="str">
        <f aca="false">IF(E596="","",IFERROR(INDEX(02_INDICADORES!$D$2:$D$42,MATCH(E596,02_INDICADORES!$A$2:$A$42,0)),""))</f>
        <v/>
      </c>
      <c r="I596" s="9"/>
      <c r="J596" s="16" t="str">
        <f aca="false">IF(OR(I596="",H596=""),"",I596*H596)</f>
        <v/>
      </c>
      <c r="K596" s="9"/>
      <c r="L596" s="9"/>
      <c r="M596" s="9"/>
    </row>
    <row r="597" customFormat="false" ht="15" hidden="false" customHeight="false" outlineLevel="0" collapsed="false">
      <c r="A597" s="9"/>
      <c r="B597" s="9"/>
      <c r="C597" s="11"/>
      <c r="D597" s="9"/>
      <c r="E597" s="9"/>
      <c r="F597" s="22" t="str">
        <f aca="false">IF(E597="","",IFERROR(INDEX(02_INDICADORES!$B$2:$B$42,MATCH(E597,02_INDICADORES!$A$2:$A$42,0)),"ID?"))</f>
        <v/>
      </c>
      <c r="G597" s="21" t="str">
        <f aca="false">IF(E597="","",IFERROR(INDEX(02_INDICADORES!$C$2:$C$42,MATCH(E597,02_INDICADORES!$A$2:$A$42,0)),"ID?"))</f>
        <v/>
      </c>
      <c r="H597" s="22" t="str">
        <f aca="false">IF(E597="","",IFERROR(INDEX(02_INDICADORES!$D$2:$D$42,MATCH(E597,02_INDICADORES!$A$2:$A$42,0)),""))</f>
        <v/>
      </c>
      <c r="I597" s="9"/>
      <c r="J597" s="16" t="str">
        <f aca="false">IF(OR(I597="",H597=""),"",I597*H597)</f>
        <v/>
      </c>
      <c r="K597" s="9"/>
      <c r="L597" s="9"/>
      <c r="M597" s="9"/>
    </row>
    <row r="598" customFormat="false" ht="15" hidden="false" customHeight="false" outlineLevel="0" collapsed="false">
      <c r="A598" s="9"/>
      <c r="B598" s="9"/>
      <c r="C598" s="11"/>
      <c r="D598" s="9"/>
      <c r="E598" s="9"/>
      <c r="F598" s="22" t="str">
        <f aca="false">IF(E598="","",IFERROR(INDEX(02_INDICADORES!$B$2:$B$42,MATCH(E598,02_INDICADORES!$A$2:$A$42,0)),"ID?"))</f>
        <v/>
      </c>
      <c r="G598" s="21" t="str">
        <f aca="false">IF(E598="","",IFERROR(INDEX(02_INDICADORES!$C$2:$C$42,MATCH(E598,02_INDICADORES!$A$2:$A$42,0)),"ID?"))</f>
        <v/>
      </c>
      <c r="H598" s="22" t="str">
        <f aca="false">IF(E598="","",IFERROR(INDEX(02_INDICADORES!$D$2:$D$42,MATCH(E598,02_INDICADORES!$A$2:$A$42,0)),""))</f>
        <v/>
      </c>
      <c r="I598" s="9"/>
      <c r="J598" s="16" t="str">
        <f aca="false">IF(OR(I598="",H598=""),"",I598*H598)</f>
        <v/>
      </c>
      <c r="K598" s="9"/>
      <c r="L598" s="9"/>
      <c r="M598" s="9"/>
    </row>
    <row r="599" customFormat="false" ht="15" hidden="false" customHeight="false" outlineLevel="0" collapsed="false">
      <c r="A599" s="9"/>
      <c r="B599" s="9"/>
      <c r="C599" s="11"/>
      <c r="D599" s="9"/>
      <c r="E599" s="9"/>
      <c r="F599" s="22" t="str">
        <f aca="false">IF(E599="","",IFERROR(INDEX(02_INDICADORES!$B$2:$B$42,MATCH(E599,02_INDICADORES!$A$2:$A$42,0)),"ID?"))</f>
        <v/>
      </c>
      <c r="G599" s="21" t="str">
        <f aca="false">IF(E599="","",IFERROR(INDEX(02_INDICADORES!$C$2:$C$42,MATCH(E599,02_INDICADORES!$A$2:$A$42,0)),"ID?"))</f>
        <v/>
      </c>
      <c r="H599" s="22" t="str">
        <f aca="false">IF(E599="","",IFERROR(INDEX(02_INDICADORES!$D$2:$D$42,MATCH(E599,02_INDICADORES!$A$2:$A$42,0)),""))</f>
        <v/>
      </c>
      <c r="I599" s="9"/>
      <c r="J599" s="16" t="str">
        <f aca="false">IF(OR(I599="",H599=""),"",I599*H599)</f>
        <v/>
      </c>
      <c r="K599" s="9"/>
      <c r="L599" s="9"/>
      <c r="M599" s="9"/>
    </row>
    <row r="600" customFormat="false" ht="15" hidden="false" customHeight="false" outlineLevel="0" collapsed="false">
      <c r="A600" s="9"/>
      <c r="B600" s="9"/>
      <c r="C600" s="11"/>
      <c r="D600" s="9"/>
      <c r="E600" s="9"/>
      <c r="F600" s="22" t="str">
        <f aca="false">IF(E600="","",IFERROR(INDEX(02_INDICADORES!$B$2:$B$42,MATCH(E600,02_INDICADORES!$A$2:$A$42,0)),"ID?"))</f>
        <v/>
      </c>
      <c r="G600" s="21" t="str">
        <f aca="false">IF(E600="","",IFERROR(INDEX(02_INDICADORES!$C$2:$C$42,MATCH(E600,02_INDICADORES!$A$2:$A$42,0)),"ID?"))</f>
        <v/>
      </c>
      <c r="H600" s="22" t="str">
        <f aca="false">IF(E600="","",IFERROR(INDEX(02_INDICADORES!$D$2:$D$42,MATCH(E600,02_INDICADORES!$A$2:$A$42,0)),""))</f>
        <v/>
      </c>
      <c r="I600" s="9"/>
      <c r="J600" s="16" t="str">
        <f aca="false">IF(OR(I600="",H600=""),"",I600*H600)</f>
        <v/>
      </c>
      <c r="K600" s="9"/>
      <c r="L600" s="9"/>
      <c r="M600" s="9"/>
    </row>
    <row r="601" customFormat="false" ht="15" hidden="false" customHeight="false" outlineLevel="0" collapsed="false">
      <c r="A601" s="9"/>
      <c r="B601" s="9"/>
      <c r="C601" s="11"/>
      <c r="D601" s="9"/>
      <c r="E601" s="9"/>
      <c r="F601" s="22" t="str">
        <f aca="false">IF(E601="","",IFERROR(INDEX(02_INDICADORES!$B$2:$B$42,MATCH(E601,02_INDICADORES!$A$2:$A$42,0)),"ID?"))</f>
        <v/>
      </c>
      <c r="G601" s="21" t="str">
        <f aca="false">IF(E601="","",IFERROR(INDEX(02_INDICADORES!$C$2:$C$42,MATCH(E601,02_INDICADORES!$A$2:$A$42,0)),"ID?"))</f>
        <v/>
      </c>
      <c r="H601" s="22" t="str">
        <f aca="false">IF(E601="","",IFERROR(INDEX(02_INDICADORES!$D$2:$D$42,MATCH(E601,02_INDICADORES!$A$2:$A$42,0)),""))</f>
        <v/>
      </c>
      <c r="I601" s="9"/>
      <c r="J601" s="16" t="str">
        <f aca="false">IF(OR(I601="",H601=""),"",I601*H601)</f>
        <v/>
      </c>
      <c r="K601" s="9"/>
      <c r="L601" s="9"/>
      <c r="M601" s="9"/>
    </row>
    <row r="602" customFormat="false" ht="15" hidden="false" customHeight="false" outlineLevel="0" collapsed="false">
      <c r="A602" s="9"/>
      <c r="B602" s="9"/>
      <c r="C602" s="11"/>
      <c r="D602" s="9"/>
      <c r="E602" s="9"/>
      <c r="F602" s="22" t="str">
        <f aca="false">IF(E602="","",IFERROR(INDEX(02_INDICADORES!$B$2:$B$42,MATCH(E602,02_INDICADORES!$A$2:$A$42,0)),"ID?"))</f>
        <v/>
      </c>
      <c r="G602" s="21" t="str">
        <f aca="false">IF(E602="","",IFERROR(INDEX(02_INDICADORES!$C$2:$C$42,MATCH(E602,02_INDICADORES!$A$2:$A$42,0)),"ID?"))</f>
        <v/>
      </c>
      <c r="H602" s="22" t="str">
        <f aca="false">IF(E602="","",IFERROR(INDEX(02_INDICADORES!$D$2:$D$42,MATCH(E602,02_INDICADORES!$A$2:$A$42,0)),""))</f>
        <v/>
      </c>
      <c r="I602" s="9"/>
      <c r="J602" s="16" t="str">
        <f aca="false">IF(OR(I602="",H602=""),"",I602*H602)</f>
        <v/>
      </c>
      <c r="K602" s="9"/>
      <c r="L602" s="9"/>
      <c r="M602" s="9"/>
    </row>
    <row r="603" customFormat="false" ht="15" hidden="false" customHeight="false" outlineLevel="0" collapsed="false">
      <c r="A603" s="9"/>
      <c r="B603" s="9"/>
      <c r="C603" s="11"/>
      <c r="D603" s="9"/>
      <c r="E603" s="9"/>
      <c r="F603" s="22" t="str">
        <f aca="false">IF(E603="","",IFERROR(INDEX(02_INDICADORES!$B$2:$B$42,MATCH(E603,02_INDICADORES!$A$2:$A$42,0)),"ID?"))</f>
        <v/>
      </c>
      <c r="G603" s="21" t="str">
        <f aca="false">IF(E603="","",IFERROR(INDEX(02_INDICADORES!$C$2:$C$42,MATCH(E603,02_INDICADORES!$A$2:$A$42,0)),"ID?"))</f>
        <v/>
      </c>
      <c r="H603" s="22" t="str">
        <f aca="false">IF(E603="","",IFERROR(INDEX(02_INDICADORES!$D$2:$D$42,MATCH(E603,02_INDICADORES!$A$2:$A$42,0)),""))</f>
        <v/>
      </c>
      <c r="I603" s="9"/>
      <c r="J603" s="16" t="str">
        <f aca="false">IF(OR(I603="",H603=""),"",I603*H603)</f>
        <v/>
      </c>
      <c r="K603" s="9"/>
      <c r="L603" s="9"/>
      <c r="M603" s="9"/>
    </row>
    <row r="604" customFormat="false" ht="15" hidden="false" customHeight="false" outlineLevel="0" collapsed="false">
      <c r="A604" s="9"/>
      <c r="B604" s="9"/>
      <c r="C604" s="11"/>
      <c r="D604" s="9"/>
      <c r="E604" s="9"/>
      <c r="F604" s="22" t="str">
        <f aca="false">IF(E604="","",IFERROR(INDEX(02_INDICADORES!$B$2:$B$42,MATCH(E604,02_INDICADORES!$A$2:$A$42,0)),"ID?"))</f>
        <v/>
      </c>
      <c r="G604" s="21" t="str">
        <f aca="false">IF(E604="","",IFERROR(INDEX(02_INDICADORES!$C$2:$C$42,MATCH(E604,02_INDICADORES!$A$2:$A$42,0)),"ID?"))</f>
        <v/>
      </c>
      <c r="H604" s="22" t="str">
        <f aca="false">IF(E604="","",IFERROR(INDEX(02_INDICADORES!$D$2:$D$42,MATCH(E604,02_INDICADORES!$A$2:$A$42,0)),""))</f>
        <v/>
      </c>
      <c r="I604" s="9"/>
      <c r="J604" s="16" t="str">
        <f aca="false">IF(OR(I604="",H604=""),"",I604*H604)</f>
        <v/>
      </c>
      <c r="K604" s="9"/>
      <c r="L604" s="9"/>
      <c r="M604" s="9"/>
    </row>
    <row r="605" customFormat="false" ht="15" hidden="false" customHeight="false" outlineLevel="0" collapsed="false">
      <c r="A605" s="9"/>
      <c r="B605" s="9"/>
      <c r="C605" s="11"/>
      <c r="D605" s="9"/>
      <c r="E605" s="9"/>
      <c r="F605" s="22" t="str">
        <f aca="false">IF(E605="","",IFERROR(INDEX(02_INDICADORES!$B$2:$B$42,MATCH(E605,02_INDICADORES!$A$2:$A$42,0)),"ID?"))</f>
        <v/>
      </c>
      <c r="G605" s="21" t="str">
        <f aca="false">IF(E605="","",IFERROR(INDEX(02_INDICADORES!$C$2:$C$42,MATCH(E605,02_INDICADORES!$A$2:$A$42,0)),"ID?"))</f>
        <v/>
      </c>
      <c r="H605" s="22" t="str">
        <f aca="false">IF(E605="","",IFERROR(INDEX(02_INDICADORES!$D$2:$D$42,MATCH(E605,02_INDICADORES!$A$2:$A$42,0)),""))</f>
        <v/>
      </c>
      <c r="I605" s="9"/>
      <c r="J605" s="16" t="str">
        <f aca="false">IF(OR(I605="",H605=""),"",I605*H605)</f>
        <v/>
      </c>
      <c r="K605" s="9"/>
      <c r="L605" s="9"/>
      <c r="M605" s="9"/>
    </row>
    <row r="606" customFormat="false" ht="15" hidden="false" customHeight="false" outlineLevel="0" collapsed="false">
      <c r="A606" s="9"/>
      <c r="B606" s="9"/>
      <c r="C606" s="11"/>
      <c r="D606" s="9"/>
      <c r="E606" s="9"/>
      <c r="F606" s="22" t="str">
        <f aca="false">IF(E606="","",IFERROR(INDEX(02_INDICADORES!$B$2:$B$42,MATCH(E606,02_INDICADORES!$A$2:$A$42,0)),"ID?"))</f>
        <v/>
      </c>
      <c r="G606" s="21" t="str">
        <f aca="false">IF(E606="","",IFERROR(INDEX(02_INDICADORES!$C$2:$C$42,MATCH(E606,02_INDICADORES!$A$2:$A$42,0)),"ID?"))</f>
        <v/>
      </c>
      <c r="H606" s="22" t="str">
        <f aca="false">IF(E606="","",IFERROR(INDEX(02_INDICADORES!$D$2:$D$42,MATCH(E606,02_INDICADORES!$A$2:$A$42,0)),""))</f>
        <v/>
      </c>
      <c r="I606" s="9"/>
      <c r="J606" s="16" t="str">
        <f aca="false">IF(OR(I606="",H606=""),"",I606*H606)</f>
        <v/>
      </c>
      <c r="K606" s="9"/>
      <c r="L606" s="9"/>
      <c r="M606" s="9"/>
    </row>
    <row r="607" customFormat="false" ht="15" hidden="false" customHeight="false" outlineLevel="0" collapsed="false">
      <c r="A607" s="9"/>
      <c r="B607" s="9"/>
      <c r="C607" s="11"/>
      <c r="D607" s="9"/>
      <c r="E607" s="9"/>
      <c r="F607" s="22" t="str">
        <f aca="false">IF(E607="","",IFERROR(INDEX(02_INDICADORES!$B$2:$B$42,MATCH(E607,02_INDICADORES!$A$2:$A$42,0)),"ID?"))</f>
        <v/>
      </c>
      <c r="G607" s="21" t="str">
        <f aca="false">IF(E607="","",IFERROR(INDEX(02_INDICADORES!$C$2:$C$42,MATCH(E607,02_INDICADORES!$A$2:$A$42,0)),"ID?"))</f>
        <v/>
      </c>
      <c r="H607" s="22" t="str">
        <f aca="false">IF(E607="","",IFERROR(INDEX(02_INDICADORES!$D$2:$D$42,MATCH(E607,02_INDICADORES!$A$2:$A$42,0)),""))</f>
        <v/>
      </c>
      <c r="I607" s="9"/>
      <c r="J607" s="16" t="str">
        <f aca="false">IF(OR(I607="",H607=""),"",I607*H607)</f>
        <v/>
      </c>
      <c r="K607" s="9"/>
      <c r="L607" s="9"/>
      <c r="M607" s="9"/>
    </row>
    <row r="608" customFormat="false" ht="15" hidden="false" customHeight="false" outlineLevel="0" collapsed="false">
      <c r="A608" s="9"/>
      <c r="B608" s="9"/>
      <c r="C608" s="11"/>
      <c r="D608" s="9"/>
      <c r="E608" s="9"/>
      <c r="F608" s="22" t="str">
        <f aca="false">IF(E608="","",IFERROR(INDEX(02_INDICADORES!$B$2:$B$42,MATCH(E608,02_INDICADORES!$A$2:$A$42,0)),"ID?"))</f>
        <v/>
      </c>
      <c r="G608" s="21" t="str">
        <f aca="false">IF(E608="","",IFERROR(INDEX(02_INDICADORES!$C$2:$C$42,MATCH(E608,02_INDICADORES!$A$2:$A$42,0)),"ID?"))</f>
        <v/>
      </c>
      <c r="H608" s="22" t="str">
        <f aca="false">IF(E608="","",IFERROR(INDEX(02_INDICADORES!$D$2:$D$42,MATCH(E608,02_INDICADORES!$A$2:$A$42,0)),""))</f>
        <v/>
      </c>
      <c r="I608" s="9"/>
      <c r="J608" s="16" t="str">
        <f aca="false">IF(OR(I608="",H608=""),"",I608*H608)</f>
        <v/>
      </c>
      <c r="K608" s="9"/>
      <c r="L608" s="9"/>
      <c r="M608" s="9"/>
    </row>
    <row r="609" customFormat="false" ht="15" hidden="false" customHeight="false" outlineLevel="0" collapsed="false">
      <c r="A609" s="9"/>
      <c r="B609" s="9"/>
      <c r="C609" s="11"/>
      <c r="D609" s="9"/>
      <c r="E609" s="9"/>
      <c r="F609" s="22" t="str">
        <f aca="false">IF(E609="","",IFERROR(INDEX(02_INDICADORES!$B$2:$B$42,MATCH(E609,02_INDICADORES!$A$2:$A$42,0)),"ID?"))</f>
        <v/>
      </c>
      <c r="G609" s="21" t="str">
        <f aca="false">IF(E609="","",IFERROR(INDEX(02_INDICADORES!$C$2:$C$42,MATCH(E609,02_INDICADORES!$A$2:$A$42,0)),"ID?"))</f>
        <v/>
      </c>
      <c r="H609" s="22" t="str">
        <f aca="false">IF(E609="","",IFERROR(INDEX(02_INDICADORES!$D$2:$D$42,MATCH(E609,02_INDICADORES!$A$2:$A$42,0)),""))</f>
        <v/>
      </c>
      <c r="I609" s="9"/>
      <c r="J609" s="16" t="str">
        <f aca="false">IF(OR(I609="",H609=""),"",I609*H609)</f>
        <v/>
      </c>
      <c r="K609" s="9"/>
      <c r="L609" s="9"/>
      <c r="M609" s="9"/>
    </row>
    <row r="610" customFormat="false" ht="15" hidden="false" customHeight="false" outlineLevel="0" collapsed="false">
      <c r="A610" s="9"/>
      <c r="B610" s="9"/>
      <c r="C610" s="11"/>
      <c r="D610" s="9"/>
      <c r="E610" s="9"/>
      <c r="F610" s="22" t="str">
        <f aca="false">IF(E610="","",IFERROR(INDEX(02_INDICADORES!$B$2:$B$42,MATCH(E610,02_INDICADORES!$A$2:$A$42,0)),"ID?"))</f>
        <v/>
      </c>
      <c r="G610" s="21" t="str">
        <f aca="false">IF(E610="","",IFERROR(INDEX(02_INDICADORES!$C$2:$C$42,MATCH(E610,02_INDICADORES!$A$2:$A$42,0)),"ID?"))</f>
        <v/>
      </c>
      <c r="H610" s="22" t="str">
        <f aca="false">IF(E610="","",IFERROR(INDEX(02_INDICADORES!$D$2:$D$42,MATCH(E610,02_INDICADORES!$A$2:$A$42,0)),""))</f>
        <v/>
      </c>
      <c r="I610" s="9"/>
      <c r="J610" s="16" t="str">
        <f aca="false">IF(OR(I610="",H610=""),"",I610*H610)</f>
        <v/>
      </c>
      <c r="K610" s="9"/>
      <c r="L610" s="9"/>
      <c r="M610" s="9"/>
    </row>
    <row r="611" customFormat="false" ht="15" hidden="false" customHeight="false" outlineLevel="0" collapsed="false">
      <c r="A611" s="9"/>
      <c r="B611" s="9"/>
      <c r="C611" s="11"/>
      <c r="D611" s="9"/>
      <c r="E611" s="9"/>
      <c r="F611" s="22" t="str">
        <f aca="false">IF(E611="","",IFERROR(INDEX(02_INDICADORES!$B$2:$B$42,MATCH(E611,02_INDICADORES!$A$2:$A$42,0)),"ID?"))</f>
        <v/>
      </c>
      <c r="G611" s="21" t="str">
        <f aca="false">IF(E611="","",IFERROR(INDEX(02_INDICADORES!$C$2:$C$42,MATCH(E611,02_INDICADORES!$A$2:$A$42,0)),"ID?"))</f>
        <v/>
      </c>
      <c r="H611" s="22" t="str">
        <f aca="false">IF(E611="","",IFERROR(INDEX(02_INDICADORES!$D$2:$D$42,MATCH(E611,02_INDICADORES!$A$2:$A$42,0)),""))</f>
        <v/>
      </c>
      <c r="I611" s="9"/>
      <c r="J611" s="16" t="str">
        <f aca="false">IF(OR(I611="",H611=""),"",I611*H611)</f>
        <v/>
      </c>
      <c r="K611" s="9"/>
      <c r="L611" s="9"/>
      <c r="M611" s="9"/>
    </row>
    <row r="612" customFormat="false" ht="15" hidden="false" customHeight="false" outlineLevel="0" collapsed="false">
      <c r="A612" s="9"/>
      <c r="B612" s="9"/>
      <c r="C612" s="11"/>
      <c r="D612" s="9"/>
      <c r="E612" s="9"/>
      <c r="F612" s="22" t="str">
        <f aca="false">IF(E612="","",IFERROR(INDEX(02_INDICADORES!$B$2:$B$42,MATCH(E612,02_INDICADORES!$A$2:$A$42,0)),"ID?"))</f>
        <v/>
      </c>
      <c r="G612" s="21" t="str">
        <f aca="false">IF(E612="","",IFERROR(INDEX(02_INDICADORES!$C$2:$C$42,MATCH(E612,02_INDICADORES!$A$2:$A$42,0)),"ID?"))</f>
        <v/>
      </c>
      <c r="H612" s="22" t="str">
        <f aca="false">IF(E612="","",IFERROR(INDEX(02_INDICADORES!$D$2:$D$42,MATCH(E612,02_INDICADORES!$A$2:$A$42,0)),""))</f>
        <v/>
      </c>
      <c r="I612" s="9"/>
      <c r="J612" s="16" t="str">
        <f aca="false">IF(OR(I612="",H612=""),"",I612*H612)</f>
        <v/>
      </c>
      <c r="K612" s="9"/>
      <c r="L612" s="9"/>
      <c r="M612" s="9"/>
    </row>
    <row r="613" customFormat="false" ht="15" hidden="false" customHeight="false" outlineLevel="0" collapsed="false">
      <c r="A613" s="9"/>
      <c r="B613" s="9"/>
      <c r="C613" s="11"/>
      <c r="D613" s="9"/>
      <c r="E613" s="9"/>
      <c r="F613" s="22" t="str">
        <f aca="false">IF(E613="","",IFERROR(INDEX(02_INDICADORES!$B$2:$B$42,MATCH(E613,02_INDICADORES!$A$2:$A$42,0)),"ID?"))</f>
        <v/>
      </c>
      <c r="G613" s="21" t="str">
        <f aca="false">IF(E613="","",IFERROR(INDEX(02_INDICADORES!$C$2:$C$42,MATCH(E613,02_INDICADORES!$A$2:$A$42,0)),"ID?"))</f>
        <v/>
      </c>
      <c r="H613" s="22" t="str">
        <f aca="false">IF(E613="","",IFERROR(INDEX(02_INDICADORES!$D$2:$D$42,MATCH(E613,02_INDICADORES!$A$2:$A$42,0)),""))</f>
        <v/>
      </c>
      <c r="I613" s="9"/>
      <c r="J613" s="16" t="str">
        <f aca="false">IF(OR(I613="",H613=""),"",I613*H613)</f>
        <v/>
      </c>
      <c r="K613" s="9"/>
      <c r="L613" s="9"/>
      <c r="M613" s="9"/>
    </row>
    <row r="614" customFormat="false" ht="15" hidden="false" customHeight="false" outlineLevel="0" collapsed="false">
      <c r="A614" s="9"/>
      <c r="B614" s="9"/>
      <c r="C614" s="11"/>
      <c r="D614" s="9"/>
      <c r="E614" s="9"/>
      <c r="F614" s="22" t="str">
        <f aca="false">IF(E614="","",IFERROR(INDEX(02_INDICADORES!$B$2:$B$42,MATCH(E614,02_INDICADORES!$A$2:$A$42,0)),"ID?"))</f>
        <v/>
      </c>
      <c r="G614" s="21" t="str">
        <f aca="false">IF(E614="","",IFERROR(INDEX(02_INDICADORES!$C$2:$C$42,MATCH(E614,02_INDICADORES!$A$2:$A$42,0)),"ID?"))</f>
        <v/>
      </c>
      <c r="H614" s="22" t="str">
        <f aca="false">IF(E614="","",IFERROR(INDEX(02_INDICADORES!$D$2:$D$42,MATCH(E614,02_INDICADORES!$A$2:$A$42,0)),""))</f>
        <v/>
      </c>
      <c r="I614" s="9"/>
      <c r="J614" s="16" t="str">
        <f aca="false">IF(OR(I614="",H614=""),"",I614*H614)</f>
        <v/>
      </c>
      <c r="K614" s="9"/>
      <c r="L614" s="9"/>
      <c r="M614" s="9"/>
    </row>
    <row r="615" customFormat="false" ht="15" hidden="false" customHeight="false" outlineLevel="0" collapsed="false">
      <c r="A615" s="9"/>
      <c r="B615" s="9"/>
      <c r="C615" s="11"/>
      <c r="D615" s="9"/>
      <c r="E615" s="9"/>
      <c r="F615" s="22" t="str">
        <f aca="false">IF(E615="","",IFERROR(INDEX(02_INDICADORES!$B$2:$B$42,MATCH(E615,02_INDICADORES!$A$2:$A$42,0)),"ID?"))</f>
        <v/>
      </c>
      <c r="G615" s="21" t="str">
        <f aca="false">IF(E615="","",IFERROR(INDEX(02_INDICADORES!$C$2:$C$42,MATCH(E615,02_INDICADORES!$A$2:$A$42,0)),"ID?"))</f>
        <v/>
      </c>
      <c r="H615" s="22" t="str">
        <f aca="false">IF(E615="","",IFERROR(INDEX(02_INDICADORES!$D$2:$D$42,MATCH(E615,02_INDICADORES!$A$2:$A$42,0)),""))</f>
        <v/>
      </c>
      <c r="I615" s="9"/>
      <c r="J615" s="16" t="str">
        <f aca="false">IF(OR(I615="",H615=""),"",I615*H615)</f>
        <v/>
      </c>
      <c r="K615" s="9"/>
      <c r="L615" s="9"/>
      <c r="M615" s="9"/>
    </row>
    <row r="616" customFormat="false" ht="15" hidden="false" customHeight="false" outlineLevel="0" collapsed="false">
      <c r="A616" s="9"/>
      <c r="B616" s="9"/>
      <c r="C616" s="11"/>
      <c r="D616" s="9"/>
      <c r="E616" s="9"/>
      <c r="F616" s="22" t="str">
        <f aca="false">IF(E616="","",IFERROR(INDEX(02_INDICADORES!$B$2:$B$42,MATCH(E616,02_INDICADORES!$A$2:$A$42,0)),"ID?"))</f>
        <v/>
      </c>
      <c r="G616" s="21" t="str">
        <f aca="false">IF(E616="","",IFERROR(INDEX(02_INDICADORES!$C$2:$C$42,MATCH(E616,02_INDICADORES!$A$2:$A$42,0)),"ID?"))</f>
        <v/>
      </c>
      <c r="H616" s="22" t="str">
        <f aca="false">IF(E616="","",IFERROR(INDEX(02_INDICADORES!$D$2:$D$42,MATCH(E616,02_INDICADORES!$A$2:$A$42,0)),""))</f>
        <v/>
      </c>
      <c r="I616" s="9"/>
      <c r="J616" s="16" t="str">
        <f aca="false">IF(OR(I616="",H616=""),"",I616*H616)</f>
        <v/>
      </c>
      <c r="K616" s="9"/>
      <c r="L616" s="9"/>
      <c r="M616" s="9"/>
    </row>
    <row r="617" customFormat="false" ht="15" hidden="false" customHeight="false" outlineLevel="0" collapsed="false">
      <c r="A617" s="9"/>
      <c r="B617" s="9"/>
      <c r="C617" s="11"/>
      <c r="D617" s="9"/>
      <c r="E617" s="9"/>
      <c r="F617" s="22" t="str">
        <f aca="false">IF(E617="","",IFERROR(INDEX(02_INDICADORES!$B$2:$B$42,MATCH(E617,02_INDICADORES!$A$2:$A$42,0)),"ID?"))</f>
        <v/>
      </c>
      <c r="G617" s="21" t="str">
        <f aca="false">IF(E617="","",IFERROR(INDEX(02_INDICADORES!$C$2:$C$42,MATCH(E617,02_INDICADORES!$A$2:$A$42,0)),"ID?"))</f>
        <v/>
      </c>
      <c r="H617" s="22" t="str">
        <f aca="false">IF(E617="","",IFERROR(INDEX(02_INDICADORES!$D$2:$D$42,MATCH(E617,02_INDICADORES!$A$2:$A$42,0)),""))</f>
        <v/>
      </c>
      <c r="I617" s="9"/>
      <c r="J617" s="16" t="str">
        <f aca="false">IF(OR(I617="",H617=""),"",I617*H617)</f>
        <v/>
      </c>
      <c r="K617" s="9"/>
      <c r="L617" s="9"/>
      <c r="M617" s="9"/>
    </row>
    <row r="618" customFormat="false" ht="15" hidden="false" customHeight="false" outlineLevel="0" collapsed="false">
      <c r="A618" s="9"/>
      <c r="B618" s="9"/>
      <c r="C618" s="11"/>
      <c r="D618" s="9"/>
      <c r="E618" s="9"/>
      <c r="F618" s="22" t="str">
        <f aca="false">IF(E618="","",IFERROR(INDEX(02_INDICADORES!$B$2:$B$42,MATCH(E618,02_INDICADORES!$A$2:$A$42,0)),"ID?"))</f>
        <v/>
      </c>
      <c r="G618" s="21" t="str">
        <f aca="false">IF(E618="","",IFERROR(INDEX(02_INDICADORES!$C$2:$C$42,MATCH(E618,02_INDICADORES!$A$2:$A$42,0)),"ID?"))</f>
        <v/>
      </c>
      <c r="H618" s="22" t="str">
        <f aca="false">IF(E618="","",IFERROR(INDEX(02_INDICADORES!$D$2:$D$42,MATCH(E618,02_INDICADORES!$A$2:$A$42,0)),""))</f>
        <v/>
      </c>
      <c r="I618" s="9"/>
      <c r="J618" s="16" t="str">
        <f aca="false">IF(OR(I618="",H618=""),"",I618*H618)</f>
        <v/>
      </c>
      <c r="K618" s="9"/>
      <c r="L618" s="9"/>
      <c r="M618" s="9"/>
    </row>
    <row r="619" customFormat="false" ht="15" hidden="false" customHeight="false" outlineLevel="0" collapsed="false">
      <c r="A619" s="9"/>
      <c r="B619" s="9"/>
      <c r="C619" s="11"/>
      <c r="D619" s="9"/>
      <c r="E619" s="9"/>
      <c r="F619" s="22" t="str">
        <f aca="false">IF(E619="","",IFERROR(INDEX(02_INDICADORES!$B$2:$B$42,MATCH(E619,02_INDICADORES!$A$2:$A$42,0)),"ID?"))</f>
        <v/>
      </c>
      <c r="G619" s="21" t="str">
        <f aca="false">IF(E619="","",IFERROR(INDEX(02_INDICADORES!$C$2:$C$42,MATCH(E619,02_INDICADORES!$A$2:$A$42,0)),"ID?"))</f>
        <v/>
      </c>
      <c r="H619" s="22" t="str">
        <f aca="false">IF(E619="","",IFERROR(INDEX(02_INDICADORES!$D$2:$D$42,MATCH(E619,02_INDICADORES!$A$2:$A$42,0)),""))</f>
        <v/>
      </c>
      <c r="I619" s="9"/>
      <c r="J619" s="16" t="str">
        <f aca="false">IF(OR(I619="",H619=""),"",I619*H619)</f>
        <v/>
      </c>
      <c r="K619" s="9"/>
      <c r="L619" s="9"/>
      <c r="M619" s="9"/>
    </row>
    <row r="620" customFormat="false" ht="15" hidden="false" customHeight="false" outlineLevel="0" collapsed="false">
      <c r="A620" s="9"/>
      <c r="B620" s="9"/>
      <c r="C620" s="11"/>
      <c r="D620" s="9"/>
      <c r="E620" s="9"/>
      <c r="F620" s="22" t="str">
        <f aca="false">IF(E620="","",IFERROR(INDEX(02_INDICADORES!$B$2:$B$42,MATCH(E620,02_INDICADORES!$A$2:$A$42,0)),"ID?"))</f>
        <v/>
      </c>
      <c r="G620" s="21" t="str">
        <f aca="false">IF(E620="","",IFERROR(INDEX(02_INDICADORES!$C$2:$C$42,MATCH(E620,02_INDICADORES!$A$2:$A$42,0)),"ID?"))</f>
        <v/>
      </c>
      <c r="H620" s="22" t="str">
        <f aca="false">IF(E620="","",IFERROR(INDEX(02_INDICADORES!$D$2:$D$42,MATCH(E620,02_INDICADORES!$A$2:$A$42,0)),""))</f>
        <v/>
      </c>
      <c r="I620" s="9"/>
      <c r="J620" s="16" t="str">
        <f aca="false">IF(OR(I620="",H620=""),"",I620*H620)</f>
        <v/>
      </c>
      <c r="K620" s="9"/>
      <c r="L620" s="9"/>
      <c r="M620" s="9"/>
    </row>
    <row r="621" customFormat="false" ht="15" hidden="false" customHeight="false" outlineLevel="0" collapsed="false">
      <c r="A621" s="9"/>
      <c r="B621" s="9"/>
      <c r="C621" s="11"/>
      <c r="D621" s="9"/>
      <c r="E621" s="9"/>
      <c r="F621" s="22" t="str">
        <f aca="false">IF(E621="","",IFERROR(INDEX(02_INDICADORES!$B$2:$B$42,MATCH(E621,02_INDICADORES!$A$2:$A$42,0)),"ID?"))</f>
        <v/>
      </c>
      <c r="G621" s="21" t="str">
        <f aca="false">IF(E621="","",IFERROR(INDEX(02_INDICADORES!$C$2:$C$42,MATCH(E621,02_INDICADORES!$A$2:$A$42,0)),"ID?"))</f>
        <v/>
      </c>
      <c r="H621" s="22" t="str">
        <f aca="false">IF(E621="","",IFERROR(INDEX(02_INDICADORES!$D$2:$D$42,MATCH(E621,02_INDICADORES!$A$2:$A$42,0)),""))</f>
        <v/>
      </c>
      <c r="I621" s="9"/>
      <c r="J621" s="16" t="str">
        <f aca="false">IF(OR(I621="",H621=""),"",I621*H621)</f>
        <v/>
      </c>
      <c r="K621" s="9"/>
      <c r="L621" s="9"/>
      <c r="M621" s="9"/>
    </row>
    <row r="622" customFormat="false" ht="15" hidden="false" customHeight="false" outlineLevel="0" collapsed="false">
      <c r="A622" s="9"/>
      <c r="B622" s="9"/>
      <c r="C622" s="11"/>
      <c r="D622" s="9"/>
      <c r="E622" s="9"/>
      <c r="F622" s="22" t="str">
        <f aca="false">IF(E622="","",IFERROR(INDEX(02_INDICADORES!$B$2:$B$42,MATCH(E622,02_INDICADORES!$A$2:$A$42,0)),"ID?"))</f>
        <v/>
      </c>
      <c r="G622" s="21" t="str">
        <f aca="false">IF(E622="","",IFERROR(INDEX(02_INDICADORES!$C$2:$C$42,MATCH(E622,02_INDICADORES!$A$2:$A$42,0)),"ID?"))</f>
        <v/>
      </c>
      <c r="H622" s="22" t="str">
        <f aca="false">IF(E622="","",IFERROR(INDEX(02_INDICADORES!$D$2:$D$42,MATCH(E622,02_INDICADORES!$A$2:$A$42,0)),""))</f>
        <v/>
      </c>
      <c r="I622" s="9"/>
      <c r="J622" s="16" t="str">
        <f aca="false">IF(OR(I622="",H622=""),"",I622*H622)</f>
        <v/>
      </c>
      <c r="K622" s="9"/>
      <c r="L622" s="9"/>
      <c r="M622" s="9"/>
    </row>
    <row r="623" customFormat="false" ht="15" hidden="false" customHeight="false" outlineLevel="0" collapsed="false">
      <c r="A623" s="9"/>
      <c r="B623" s="9"/>
      <c r="C623" s="11"/>
      <c r="D623" s="9"/>
      <c r="E623" s="9"/>
      <c r="F623" s="22" t="str">
        <f aca="false">IF(E623="","",IFERROR(INDEX(02_INDICADORES!$B$2:$B$42,MATCH(E623,02_INDICADORES!$A$2:$A$42,0)),"ID?"))</f>
        <v/>
      </c>
      <c r="G623" s="21" t="str">
        <f aca="false">IF(E623="","",IFERROR(INDEX(02_INDICADORES!$C$2:$C$42,MATCH(E623,02_INDICADORES!$A$2:$A$42,0)),"ID?"))</f>
        <v/>
      </c>
      <c r="H623" s="22" t="str">
        <f aca="false">IF(E623="","",IFERROR(INDEX(02_INDICADORES!$D$2:$D$42,MATCH(E623,02_INDICADORES!$A$2:$A$42,0)),""))</f>
        <v/>
      </c>
      <c r="I623" s="9"/>
      <c r="J623" s="16" t="str">
        <f aca="false">IF(OR(I623="",H623=""),"",I623*H623)</f>
        <v/>
      </c>
      <c r="K623" s="9"/>
      <c r="L623" s="9"/>
      <c r="M623" s="9"/>
    </row>
    <row r="624" customFormat="false" ht="15" hidden="false" customHeight="false" outlineLevel="0" collapsed="false">
      <c r="A624" s="9"/>
      <c r="B624" s="9"/>
      <c r="C624" s="11"/>
      <c r="D624" s="9"/>
      <c r="E624" s="9"/>
      <c r="F624" s="22" t="str">
        <f aca="false">IF(E624="","",IFERROR(INDEX(02_INDICADORES!$B$2:$B$42,MATCH(E624,02_INDICADORES!$A$2:$A$42,0)),"ID?"))</f>
        <v/>
      </c>
      <c r="G624" s="21" t="str">
        <f aca="false">IF(E624="","",IFERROR(INDEX(02_INDICADORES!$C$2:$C$42,MATCH(E624,02_INDICADORES!$A$2:$A$42,0)),"ID?"))</f>
        <v/>
      </c>
      <c r="H624" s="22" t="str">
        <f aca="false">IF(E624="","",IFERROR(INDEX(02_INDICADORES!$D$2:$D$42,MATCH(E624,02_INDICADORES!$A$2:$A$42,0)),""))</f>
        <v/>
      </c>
      <c r="I624" s="9"/>
      <c r="J624" s="16" t="str">
        <f aca="false">IF(OR(I624="",H624=""),"",I624*H624)</f>
        <v/>
      </c>
      <c r="K624" s="9"/>
      <c r="L624" s="9"/>
      <c r="M624" s="9"/>
    </row>
    <row r="625" customFormat="false" ht="15" hidden="false" customHeight="false" outlineLevel="0" collapsed="false">
      <c r="A625" s="9"/>
      <c r="B625" s="9"/>
      <c r="C625" s="11"/>
      <c r="D625" s="9"/>
      <c r="E625" s="9"/>
      <c r="F625" s="22" t="str">
        <f aca="false">IF(E625="","",IFERROR(INDEX(02_INDICADORES!$B$2:$B$42,MATCH(E625,02_INDICADORES!$A$2:$A$42,0)),"ID?"))</f>
        <v/>
      </c>
      <c r="G625" s="21" t="str">
        <f aca="false">IF(E625="","",IFERROR(INDEX(02_INDICADORES!$C$2:$C$42,MATCH(E625,02_INDICADORES!$A$2:$A$42,0)),"ID?"))</f>
        <v/>
      </c>
      <c r="H625" s="22" t="str">
        <f aca="false">IF(E625="","",IFERROR(INDEX(02_INDICADORES!$D$2:$D$42,MATCH(E625,02_INDICADORES!$A$2:$A$42,0)),""))</f>
        <v/>
      </c>
      <c r="I625" s="9"/>
      <c r="J625" s="16" t="str">
        <f aca="false">IF(OR(I625="",H625=""),"",I625*H625)</f>
        <v/>
      </c>
      <c r="K625" s="9"/>
      <c r="L625" s="9"/>
      <c r="M625" s="9"/>
    </row>
    <row r="626" customFormat="false" ht="15" hidden="false" customHeight="false" outlineLevel="0" collapsed="false">
      <c r="A626" s="9"/>
      <c r="B626" s="9"/>
      <c r="C626" s="11"/>
      <c r="D626" s="9"/>
      <c r="E626" s="9"/>
      <c r="F626" s="22" t="str">
        <f aca="false">IF(E626="","",IFERROR(INDEX(02_INDICADORES!$B$2:$B$42,MATCH(E626,02_INDICADORES!$A$2:$A$42,0)),"ID?"))</f>
        <v/>
      </c>
      <c r="G626" s="21" t="str">
        <f aca="false">IF(E626="","",IFERROR(INDEX(02_INDICADORES!$C$2:$C$42,MATCH(E626,02_INDICADORES!$A$2:$A$42,0)),"ID?"))</f>
        <v/>
      </c>
      <c r="H626" s="22" t="str">
        <f aca="false">IF(E626="","",IFERROR(INDEX(02_INDICADORES!$D$2:$D$42,MATCH(E626,02_INDICADORES!$A$2:$A$42,0)),""))</f>
        <v/>
      </c>
      <c r="I626" s="9"/>
      <c r="J626" s="16" t="str">
        <f aca="false">IF(OR(I626="",H626=""),"",I626*H626)</f>
        <v/>
      </c>
      <c r="K626" s="9"/>
      <c r="L626" s="9"/>
      <c r="M626" s="9"/>
    </row>
    <row r="627" customFormat="false" ht="15" hidden="false" customHeight="false" outlineLevel="0" collapsed="false">
      <c r="A627" s="9"/>
      <c r="B627" s="9"/>
      <c r="C627" s="11"/>
      <c r="D627" s="9"/>
      <c r="E627" s="9"/>
      <c r="F627" s="22" t="str">
        <f aca="false">IF(E627="","",IFERROR(INDEX(02_INDICADORES!$B$2:$B$42,MATCH(E627,02_INDICADORES!$A$2:$A$42,0)),"ID?"))</f>
        <v/>
      </c>
      <c r="G627" s="21" t="str">
        <f aca="false">IF(E627="","",IFERROR(INDEX(02_INDICADORES!$C$2:$C$42,MATCH(E627,02_INDICADORES!$A$2:$A$42,0)),"ID?"))</f>
        <v/>
      </c>
      <c r="H627" s="22" t="str">
        <f aca="false">IF(E627="","",IFERROR(INDEX(02_INDICADORES!$D$2:$D$42,MATCH(E627,02_INDICADORES!$A$2:$A$42,0)),""))</f>
        <v/>
      </c>
      <c r="I627" s="9"/>
      <c r="J627" s="16" t="str">
        <f aca="false">IF(OR(I627="",H627=""),"",I627*H627)</f>
        <v/>
      </c>
      <c r="K627" s="9"/>
      <c r="L627" s="9"/>
      <c r="M627" s="9"/>
    </row>
    <row r="628" customFormat="false" ht="15" hidden="false" customHeight="false" outlineLevel="0" collapsed="false">
      <c r="A628" s="9"/>
      <c r="B628" s="9"/>
      <c r="C628" s="11"/>
      <c r="D628" s="9"/>
      <c r="E628" s="9"/>
      <c r="F628" s="22" t="str">
        <f aca="false">IF(E628="","",IFERROR(INDEX(02_INDICADORES!$B$2:$B$42,MATCH(E628,02_INDICADORES!$A$2:$A$42,0)),"ID?"))</f>
        <v/>
      </c>
      <c r="G628" s="21" t="str">
        <f aca="false">IF(E628="","",IFERROR(INDEX(02_INDICADORES!$C$2:$C$42,MATCH(E628,02_INDICADORES!$A$2:$A$42,0)),"ID?"))</f>
        <v/>
      </c>
      <c r="H628" s="22" t="str">
        <f aca="false">IF(E628="","",IFERROR(INDEX(02_INDICADORES!$D$2:$D$42,MATCH(E628,02_INDICADORES!$A$2:$A$42,0)),""))</f>
        <v/>
      </c>
      <c r="I628" s="9"/>
      <c r="J628" s="16" t="str">
        <f aca="false">IF(OR(I628="",H628=""),"",I628*H628)</f>
        <v/>
      </c>
      <c r="K628" s="9"/>
      <c r="L628" s="9"/>
      <c r="M628" s="9"/>
    </row>
    <row r="629" customFormat="false" ht="15" hidden="false" customHeight="false" outlineLevel="0" collapsed="false">
      <c r="A629" s="9"/>
      <c r="B629" s="9"/>
      <c r="C629" s="11"/>
      <c r="D629" s="9"/>
      <c r="E629" s="9"/>
      <c r="F629" s="22" t="str">
        <f aca="false">IF(E629="","",IFERROR(INDEX(02_INDICADORES!$B$2:$B$42,MATCH(E629,02_INDICADORES!$A$2:$A$42,0)),"ID?"))</f>
        <v/>
      </c>
      <c r="G629" s="21" t="str">
        <f aca="false">IF(E629="","",IFERROR(INDEX(02_INDICADORES!$C$2:$C$42,MATCH(E629,02_INDICADORES!$A$2:$A$42,0)),"ID?"))</f>
        <v/>
      </c>
      <c r="H629" s="22" t="str">
        <f aca="false">IF(E629="","",IFERROR(INDEX(02_INDICADORES!$D$2:$D$42,MATCH(E629,02_INDICADORES!$A$2:$A$42,0)),""))</f>
        <v/>
      </c>
      <c r="I629" s="9"/>
      <c r="J629" s="16" t="str">
        <f aca="false">IF(OR(I629="",H629=""),"",I629*H629)</f>
        <v/>
      </c>
      <c r="K629" s="9"/>
      <c r="L629" s="9"/>
      <c r="M629" s="9"/>
    </row>
    <row r="630" customFormat="false" ht="15" hidden="false" customHeight="false" outlineLevel="0" collapsed="false">
      <c r="A630" s="9"/>
      <c r="B630" s="9"/>
      <c r="C630" s="11"/>
      <c r="D630" s="9"/>
      <c r="E630" s="9"/>
      <c r="F630" s="22" t="str">
        <f aca="false">IF(E630="","",IFERROR(INDEX(02_INDICADORES!$B$2:$B$42,MATCH(E630,02_INDICADORES!$A$2:$A$42,0)),"ID?"))</f>
        <v/>
      </c>
      <c r="G630" s="21" t="str">
        <f aca="false">IF(E630="","",IFERROR(INDEX(02_INDICADORES!$C$2:$C$42,MATCH(E630,02_INDICADORES!$A$2:$A$42,0)),"ID?"))</f>
        <v/>
      </c>
      <c r="H630" s="22" t="str">
        <f aca="false">IF(E630="","",IFERROR(INDEX(02_INDICADORES!$D$2:$D$42,MATCH(E630,02_INDICADORES!$A$2:$A$42,0)),""))</f>
        <v/>
      </c>
      <c r="I630" s="9"/>
      <c r="J630" s="16" t="str">
        <f aca="false">IF(OR(I630="",H630=""),"",I630*H630)</f>
        <v/>
      </c>
      <c r="K630" s="9"/>
      <c r="L630" s="9"/>
      <c r="M630" s="9"/>
    </row>
    <row r="631" customFormat="false" ht="15" hidden="false" customHeight="false" outlineLevel="0" collapsed="false">
      <c r="A631" s="9"/>
      <c r="B631" s="9"/>
      <c r="C631" s="11"/>
      <c r="D631" s="9"/>
      <c r="E631" s="9"/>
      <c r="F631" s="22" t="str">
        <f aca="false">IF(E631="","",IFERROR(INDEX(02_INDICADORES!$B$2:$B$42,MATCH(E631,02_INDICADORES!$A$2:$A$42,0)),"ID?"))</f>
        <v/>
      </c>
      <c r="G631" s="21" t="str">
        <f aca="false">IF(E631="","",IFERROR(INDEX(02_INDICADORES!$C$2:$C$42,MATCH(E631,02_INDICADORES!$A$2:$A$42,0)),"ID?"))</f>
        <v/>
      </c>
      <c r="H631" s="22" t="str">
        <f aca="false">IF(E631="","",IFERROR(INDEX(02_INDICADORES!$D$2:$D$42,MATCH(E631,02_INDICADORES!$A$2:$A$42,0)),""))</f>
        <v/>
      </c>
      <c r="I631" s="9"/>
      <c r="J631" s="16" t="str">
        <f aca="false">IF(OR(I631="",H631=""),"",I631*H631)</f>
        <v/>
      </c>
      <c r="K631" s="9"/>
      <c r="L631" s="9"/>
      <c r="M631" s="9"/>
    </row>
    <row r="632" customFormat="false" ht="15" hidden="false" customHeight="false" outlineLevel="0" collapsed="false">
      <c r="A632" s="9"/>
      <c r="B632" s="9"/>
      <c r="C632" s="11"/>
      <c r="D632" s="9"/>
      <c r="E632" s="9"/>
      <c r="F632" s="22" t="str">
        <f aca="false">IF(E632="","",IFERROR(INDEX(02_INDICADORES!$B$2:$B$42,MATCH(E632,02_INDICADORES!$A$2:$A$42,0)),"ID?"))</f>
        <v/>
      </c>
      <c r="G632" s="21" t="str">
        <f aca="false">IF(E632="","",IFERROR(INDEX(02_INDICADORES!$C$2:$C$42,MATCH(E632,02_INDICADORES!$A$2:$A$42,0)),"ID?"))</f>
        <v/>
      </c>
      <c r="H632" s="22" t="str">
        <f aca="false">IF(E632="","",IFERROR(INDEX(02_INDICADORES!$D$2:$D$42,MATCH(E632,02_INDICADORES!$A$2:$A$42,0)),""))</f>
        <v/>
      </c>
      <c r="I632" s="9"/>
      <c r="J632" s="16" t="str">
        <f aca="false">IF(OR(I632="",H632=""),"",I632*H632)</f>
        <v/>
      </c>
      <c r="K632" s="9"/>
      <c r="L632" s="9"/>
      <c r="M632" s="9"/>
    </row>
    <row r="633" customFormat="false" ht="15" hidden="false" customHeight="false" outlineLevel="0" collapsed="false">
      <c r="A633" s="9"/>
      <c r="B633" s="9"/>
      <c r="C633" s="11"/>
      <c r="D633" s="9"/>
      <c r="E633" s="9"/>
      <c r="F633" s="22" t="str">
        <f aca="false">IF(E633="","",IFERROR(INDEX(02_INDICADORES!$B$2:$B$42,MATCH(E633,02_INDICADORES!$A$2:$A$42,0)),"ID?"))</f>
        <v/>
      </c>
      <c r="G633" s="21" t="str">
        <f aca="false">IF(E633="","",IFERROR(INDEX(02_INDICADORES!$C$2:$C$42,MATCH(E633,02_INDICADORES!$A$2:$A$42,0)),"ID?"))</f>
        <v/>
      </c>
      <c r="H633" s="22" t="str">
        <f aca="false">IF(E633="","",IFERROR(INDEX(02_INDICADORES!$D$2:$D$42,MATCH(E633,02_INDICADORES!$A$2:$A$42,0)),""))</f>
        <v/>
      </c>
      <c r="I633" s="9"/>
      <c r="J633" s="16" t="str">
        <f aca="false">IF(OR(I633="",H633=""),"",I633*H633)</f>
        <v/>
      </c>
      <c r="K633" s="9"/>
      <c r="L633" s="9"/>
      <c r="M633" s="9"/>
    </row>
    <row r="634" customFormat="false" ht="15" hidden="false" customHeight="false" outlineLevel="0" collapsed="false">
      <c r="A634" s="9"/>
      <c r="B634" s="9"/>
      <c r="C634" s="11"/>
      <c r="D634" s="9"/>
      <c r="E634" s="9"/>
      <c r="F634" s="22" t="str">
        <f aca="false">IF(E634="","",IFERROR(INDEX(02_INDICADORES!$B$2:$B$42,MATCH(E634,02_INDICADORES!$A$2:$A$42,0)),"ID?"))</f>
        <v/>
      </c>
      <c r="G634" s="21" t="str">
        <f aca="false">IF(E634="","",IFERROR(INDEX(02_INDICADORES!$C$2:$C$42,MATCH(E634,02_INDICADORES!$A$2:$A$42,0)),"ID?"))</f>
        <v/>
      </c>
      <c r="H634" s="22" t="str">
        <f aca="false">IF(E634="","",IFERROR(INDEX(02_INDICADORES!$D$2:$D$42,MATCH(E634,02_INDICADORES!$A$2:$A$42,0)),""))</f>
        <v/>
      </c>
      <c r="I634" s="9"/>
      <c r="J634" s="16" t="str">
        <f aca="false">IF(OR(I634="",H634=""),"",I634*H634)</f>
        <v/>
      </c>
      <c r="K634" s="9"/>
      <c r="L634" s="9"/>
      <c r="M634" s="9"/>
    </row>
    <row r="635" customFormat="false" ht="15" hidden="false" customHeight="false" outlineLevel="0" collapsed="false">
      <c r="A635" s="9"/>
      <c r="B635" s="9"/>
      <c r="C635" s="11"/>
      <c r="D635" s="9"/>
      <c r="E635" s="9"/>
      <c r="F635" s="22" t="str">
        <f aca="false">IF(E635="","",IFERROR(INDEX(02_INDICADORES!$B$2:$B$42,MATCH(E635,02_INDICADORES!$A$2:$A$42,0)),"ID?"))</f>
        <v/>
      </c>
      <c r="G635" s="21" t="str">
        <f aca="false">IF(E635="","",IFERROR(INDEX(02_INDICADORES!$C$2:$C$42,MATCH(E635,02_INDICADORES!$A$2:$A$42,0)),"ID?"))</f>
        <v/>
      </c>
      <c r="H635" s="22" t="str">
        <f aca="false">IF(E635="","",IFERROR(INDEX(02_INDICADORES!$D$2:$D$42,MATCH(E635,02_INDICADORES!$A$2:$A$42,0)),""))</f>
        <v/>
      </c>
      <c r="I635" s="9"/>
      <c r="J635" s="16" t="str">
        <f aca="false">IF(OR(I635="",H635=""),"",I635*H635)</f>
        <v/>
      </c>
      <c r="K635" s="9"/>
      <c r="L635" s="9"/>
      <c r="M635" s="9"/>
    </row>
    <row r="636" customFormat="false" ht="15" hidden="false" customHeight="false" outlineLevel="0" collapsed="false">
      <c r="A636" s="9"/>
      <c r="B636" s="9"/>
      <c r="C636" s="11"/>
      <c r="D636" s="9"/>
      <c r="E636" s="9"/>
      <c r="F636" s="22" t="str">
        <f aca="false">IF(E636="","",IFERROR(INDEX(02_INDICADORES!$B$2:$B$42,MATCH(E636,02_INDICADORES!$A$2:$A$42,0)),"ID?"))</f>
        <v/>
      </c>
      <c r="G636" s="21" t="str">
        <f aca="false">IF(E636="","",IFERROR(INDEX(02_INDICADORES!$C$2:$C$42,MATCH(E636,02_INDICADORES!$A$2:$A$42,0)),"ID?"))</f>
        <v/>
      </c>
      <c r="H636" s="22" t="str">
        <f aca="false">IF(E636="","",IFERROR(INDEX(02_INDICADORES!$D$2:$D$42,MATCH(E636,02_INDICADORES!$A$2:$A$42,0)),""))</f>
        <v/>
      </c>
      <c r="I636" s="9"/>
      <c r="J636" s="16" t="str">
        <f aca="false">IF(OR(I636="",H636=""),"",I636*H636)</f>
        <v/>
      </c>
      <c r="K636" s="9"/>
      <c r="L636" s="9"/>
      <c r="M636" s="9"/>
    </row>
    <row r="637" customFormat="false" ht="15" hidden="false" customHeight="false" outlineLevel="0" collapsed="false">
      <c r="A637" s="9"/>
      <c r="B637" s="9"/>
      <c r="C637" s="11"/>
      <c r="D637" s="9"/>
      <c r="E637" s="9"/>
      <c r="F637" s="22" t="str">
        <f aca="false">IF(E637="","",IFERROR(INDEX(02_INDICADORES!$B$2:$B$42,MATCH(E637,02_INDICADORES!$A$2:$A$42,0)),"ID?"))</f>
        <v/>
      </c>
      <c r="G637" s="21" t="str">
        <f aca="false">IF(E637="","",IFERROR(INDEX(02_INDICADORES!$C$2:$C$42,MATCH(E637,02_INDICADORES!$A$2:$A$42,0)),"ID?"))</f>
        <v/>
      </c>
      <c r="H637" s="22" t="str">
        <f aca="false">IF(E637="","",IFERROR(INDEX(02_INDICADORES!$D$2:$D$42,MATCH(E637,02_INDICADORES!$A$2:$A$42,0)),""))</f>
        <v/>
      </c>
      <c r="I637" s="9"/>
      <c r="J637" s="16" t="str">
        <f aca="false">IF(OR(I637="",H637=""),"",I637*H637)</f>
        <v/>
      </c>
      <c r="K637" s="9"/>
      <c r="L637" s="9"/>
      <c r="M637" s="9"/>
    </row>
    <row r="638" customFormat="false" ht="15" hidden="false" customHeight="false" outlineLevel="0" collapsed="false">
      <c r="A638" s="9"/>
      <c r="B638" s="9"/>
      <c r="C638" s="11"/>
      <c r="D638" s="9"/>
      <c r="E638" s="9"/>
      <c r="F638" s="22" t="str">
        <f aca="false">IF(E638="","",IFERROR(INDEX(02_INDICADORES!$B$2:$B$42,MATCH(E638,02_INDICADORES!$A$2:$A$42,0)),"ID?"))</f>
        <v/>
      </c>
      <c r="G638" s="21" t="str">
        <f aca="false">IF(E638="","",IFERROR(INDEX(02_INDICADORES!$C$2:$C$42,MATCH(E638,02_INDICADORES!$A$2:$A$42,0)),"ID?"))</f>
        <v/>
      </c>
      <c r="H638" s="22" t="str">
        <f aca="false">IF(E638="","",IFERROR(INDEX(02_INDICADORES!$D$2:$D$42,MATCH(E638,02_INDICADORES!$A$2:$A$42,0)),""))</f>
        <v/>
      </c>
      <c r="I638" s="9"/>
      <c r="J638" s="16" t="str">
        <f aca="false">IF(OR(I638="",H638=""),"",I638*H638)</f>
        <v/>
      </c>
      <c r="K638" s="9"/>
      <c r="L638" s="9"/>
      <c r="M638" s="9"/>
    </row>
    <row r="639" customFormat="false" ht="15" hidden="false" customHeight="false" outlineLevel="0" collapsed="false">
      <c r="A639" s="9"/>
      <c r="B639" s="9"/>
      <c r="C639" s="11"/>
      <c r="D639" s="9"/>
      <c r="E639" s="9"/>
      <c r="F639" s="22" t="str">
        <f aca="false">IF(E639="","",IFERROR(INDEX(02_INDICADORES!$B$2:$B$42,MATCH(E639,02_INDICADORES!$A$2:$A$42,0)),"ID?"))</f>
        <v/>
      </c>
      <c r="G639" s="21" t="str">
        <f aca="false">IF(E639="","",IFERROR(INDEX(02_INDICADORES!$C$2:$C$42,MATCH(E639,02_INDICADORES!$A$2:$A$42,0)),"ID?"))</f>
        <v/>
      </c>
      <c r="H639" s="22" t="str">
        <f aca="false">IF(E639="","",IFERROR(INDEX(02_INDICADORES!$D$2:$D$42,MATCH(E639,02_INDICADORES!$A$2:$A$42,0)),""))</f>
        <v/>
      </c>
      <c r="I639" s="9"/>
      <c r="J639" s="16" t="str">
        <f aca="false">IF(OR(I639="",H639=""),"",I639*H639)</f>
        <v/>
      </c>
      <c r="K639" s="9"/>
      <c r="L639" s="9"/>
      <c r="M639" s="9"/>
    </row>
    <row r="640" customFormat="false" ht="15" hidden="false" customHeight="false" outlineLevel="0" collapsed="false">
      <c r="A640" s="9"/>
      <c r="B640" s="9"/>
      <c r="C640" s="11"/>
      <c r="D640" s="9"/>
      <c r="E640" s="9"/>
      <c r="F640" s="22" t="str">
        <f aca="false">IF(E640="","",IFERROR(INDEX(02_INDICADORES!$B$2:$B$42,MATCH(E640,02_INDICADORES!$A$2:$A$42,0)),"ID?"))</f>
        <v/>
      </c>
      <c r="G640" s="21" t="str">
        <f aca="false">IF(E640="","",IFERROR(INDEX(02_INDICADORES!$C$2:$C$42,MATCH(E640,02_INDICADORES!$A$2:$A$42,0)),"ID?"))</f>
        <v/>
      </c>
      <c r="H640" s="22" t="str">
        <f aca="false">IF(E640="","",IFERROR(INDEX(02_INDICADORES!$D$2:$D$42,MATCH(E640,02_INDICADORES!$A$2:$A$42,0)),""))</f>
        <v/>
      </c>
      <c r="I640" s="9"/>
      <c r="J640" s="16" t="str">
        <f aca="false">IF(OR(I640="",H640=""),"",I640*H640)</f>
        <v/>
      </c>
      <c r="K640" s="9"/>
      <c r="L640" s="9"/>
      <c r="M640" s="9"/>
    </row>
    <row r="641" customFormat="false" ht="15" hidden="false" customHeight="false" outlineLevel="0" collapsed="false">
      <c r="A641" s="9"/>
      <c r="B641" s="9"/>
      <c r="C641" s="11"/>
      <c r="D641" s="9"/>
      <c r="E641" s="9"/>
      <c r="F641" s="22" t="str">
        <f aca="false">IF(E641="","",IFERROR(INDEX(02_INDICADORES!$B$2:$B$42,MATCH(E641,02_INDICADORES!$A$2:$A$42,0)),"ID?"))</f>
        <v/>
      </c>
      <c r="G641" s="21" t="str">
        <f aca="false">IF(E641="","",IFERROR(INDEX(02_INDICADORES!$C$2:$C$42,MATCH(E641,02_INDICADORES!$A$2:$A$42,0)),"ID?"))</f>
        <v/>
      </c>
      <c r="H641" s="22" t="str">
        <f aca="false">IF(E641="","",IFERROR(INDEX(02_INDICADORES!$D$2:$D$42,MATCH(E641,02_INDICADORES!$A$2:$A$42,0)),""))</f>
        <v/>
      </c>
      <c r="I641" s="9"/>
      <c r="J641" s="16" t="str">
        <f aca="false">IF(OR(I641="",H641=""),"",I641*H641)</f>
        <v/>
      </c>
      <c r="K641" s="9"/>
      <c r="L641" s="9"/>
      <c r="M641" s="9"/>
    </row>
    <row r="642" customFormat="false" ht="15" hidden="false" customHeight="false" outlineLevel="0" collapsed="false">
      <c r="A642" s="9"/>
      <c r="B642" s="9"/>
      <c r="C642" s="11"/>
      <c r="D642" s="9"/>
      <c r="E642" s="9"/>
      <c r="F642" s="22" t="str">
        <f aca="false">IF(E642="","",IFERROR(INDEX(02_INDICADORES!$B$2:$B$42,MATCH(E642,02_INDICADORES!$A$2:$A$42,0)),"ID?"))</f>
        <v/>
      </c>
      <c r="G642" s="21" t="str">
        <f aca="false">IF(E642="","",IFERROR(INDEX(02_INDICADORES!$C$2:$C$42,MATCH(E642,02_INDICADORES!$A$2:$A$42,0)),"ID?"))</f>
        <v/>
      </c>
      <c r="H642" s="22" t="str">
        <f aca="false">IF(E642="","",IFERROR(INDEX(02_INDICADORES!$D$2:$D$42,MATCH(E642,02_INDICADORES!$A$2:$A$42,0)),""))</f>
        <v/>
      </c>
      <c r="I642" s="9"/>
      <c r="J642" s="16" t="str">
        <f aca="false">IF(OR(I642="",H642=""),"",I642*H642)</f>
        <v/>
      </c>
      <c r="K642" s="9"/>
      <c r="L642" s="9"/>
      <c r="M642" s="9"/>
    </row>
    <row r="643" customFormat="false" ht="15" hidden="false" customHeight="false" outlineLevel="0" collapsed="false">
      <c r="A643" s="9"/>
      <c r="B643" s="9"/>
      <c r="C643" s="11"/>
      <c r="D643" s="9"/>
      <c r="E643" s="9"/>
      <c r="F643" s="22" t="str">
        <f aca="false">IF(E643="","",IFERROR(INDEX(02_INDICADORES!$B$2:$B$42,MATCH(E643,02_INDICADORES!$A$2:$A$42,0)),"ID?"))</f>
        <v/>
      </c>
      <c r="G643" s="21" t="str">
        <f aca="false">IF(E643="","",IFERROR(INDEX(02_INDICADORES!$C$2:$C$42,MATCH(E643,02_INDICADORES!$A$2:$A$42,0)),"ID?"))</f>
        <v/>
      </c>
      <c r="H643" s="22" t="str">
        <f aca="false">IF(E643="","",IFERROR(INDEX(02_INDICADORES!$D$2:$D$42,MATCH(E643,02_INDICADORES!$A$2:$A$42,0)),""))</f>
        <v/>
      </c>
      <c r="I643" s="9"/>
      <c r="J643" s="16" t="str">
        <f aca="false">IF(OR(I643="",H643=""),"",I643*H643)</f>
        <v/>
      </c>
      <c r="K643" s="9"/>
      <c r="L643" s="9"/>
      <c r="M643" s="9"/>
    </row>
    <row r="644" customFormat="false" ht="15" hidden="false" customHeight="false" outlineLevel="0" collapsed="false">
      <c r="A644" s="9"/>
      <c r="B644" s="9"/>
      <c r="C644" s="11"/>
      <c r="D644" s="9"/>
      <c r="E644" s="9"/>
      <c r="F644" s="22" t="str">
        <f aca="false">IF(E644="","",IFERROR(INDEX(02_INDICADORES!$B$2:$B$42,MATCH(E644,02_INDICADORES!$A$2:$A$42,0)),"ID?"))</f>
        <v/>
      </c>
      <c r="G644" s="21" t="str">
        <f aca="false">IF(E644="","",IFERROR(INDEX(02_INDICADORES!$C$2:$C$42,MATCH(E644,02_INDICADORES!$A$2:$A$42,0)),"ID?"))</f>
        <v/>
      </c>
      <c r="H644" s="22" t="str">
        <f aca="false">IF(E644="","",IFERROR(INDEX(02_INDICADORES!$D$2:$D$42,MATCH(E644,02_INDICADORES!$A$2:$A$42,0)),""))</f>
        <v/>
      </c>
      <c r="I644" s="9"/>
      <c r="J644" s="16" t="str">
        <f aca="false">IF(OR(I644="",H644=""),"",I644*H644)</f>
        <v/>
      </c>
      <c r="K644" s="9"/>
      <c r="L644" s="9"/>
      <c r="M644" s="9"/>
    </row>
    <row r="645" customFormat="false" ht="15" hidden="false" customHeight="false" outlineLevel="0" collapsed="false">
      <c r="A645" s="9"/>
      <c r="B645" s="9"/>
      <c r="C645" s="11"/>
      <c r="D645" s="9"/>
      <c r="E645" s="9"/>
      <c r="F645" s="22" t="str">
        <f aca="false">IF(E645="","",IFERROR(INDEX(02_INDICADORES!$B$2:$B$42,MATCH(E645,02_INDICADORES!$A$2:$A$42,0)),"ID?"))</f>
        <v/>
      </c>
      <c r="G645" s="21" t="str">
        <f aca="false">IF(E645="","",IFERROR(INDEX(02_INDICADORES!$C$2:$C$42,MATCH(E645,02_INDICADORES!$A$2:$A$42,0)),"ID?"))</f>
        <v/>
      </c>
      <c r="H645" s="22" t="str">
        <f aca="false">IF(E645="","",IFERROR(INDEX(02_INDICADORES!$D$2:$D$42,MATCH(E645,02_INDICADORES!$A$2:$A$42,0)),""))</f>
        <v/>
      </c>
      <c r="I645" s="9"/>
      <c r="J645" s="16" t="str">
        <f aca="false">IF(OR(I645="",H645=""),"",I645*H645)</f>
        <v/>
      </c>
      <c r="K645" s="9"/>
      <c r="L645" s="9"/>
      <c r="M645" s="9"/>
    </row>
    <row r="646" customFormat="false" ht="15" hidden="false" customHeight="false" outlineLevel="0" collapsed="false">
      <c r="A646" s="9"/>
      <c r="B646" s="9"/>
      <c r="C646" s="11"/>
      <c r="D646" s="9"/>
      <c r="E646" s="9"/>
      <c r="F646" s="22" t="str">
        <f aca="false">IF(E646="","",IFERROR(INDEX(02_INDICADORES!$B$2:$B$42,MATCH(E646,02_INDICADORES!$A$2:$A$42,0)),"ID?"))</f>
        <v/>
      </c>
      <c r="G646" s="21" t="str">
        <f aca="false">IF(E646="","",IFERROR(INDEX(02_INDICADORES!$C$2:$C$42,MATCH(E646,02_INDICADORES!$A$2:$A$42,0)),"ID?"))</f>
        <v/>
      </c>
      <c r="H646" s="22" t="str">
        <f aca="false">IF(E646="","",IFERROR(INDEX(02_INDICADORES!$D$2:$D$42,MATCH(E646,02_INDICADORES!$A$2:$A$42,0)),""))</f>
        <v/>
      </c>
      <c r="I646" s="9"/>
      <c r="J646" s="16" t="str">
        <f aca="false">IF(OR(I646="",H646=""),"",I646*H646)</f>
        <v/>
      </c>
      <c r="K646" s="9"/>
      <c r="L646" s="9"/>
      <c r="M646" s="9"/>
    </row>
    <row r="647" customFormat="false" ht="15" hidden="false" customHeight="false" outlineLevel="0" collapsed="false">
      <c r="A647" s="9"/>
      <c r="B647" s="9"/>
      <c r="C647" s="11"/>
      <c r="D647" s="9"/>
      <c r="E647" s="9"/>
      <c r="F647" s="22" t="str">
        <f aca="false">IF(E647="","",IFERROR(INDEX(02_INDICADORES!$B$2:$B$42,MATCH(E647,02_INDICADORES!$A$2:$A$42,0)),"ID?"))</f>
        <v/>
      </c>
      <c r="G647" s="21" t="str">
        <f aca="false">IF(E647="","",IFERROR(INDEX(02_INDICADORES!$C$2:$C$42,MATCH(E647,02_INDICADORES!$A$2:$A$42,0)),"ID?"))</f>
        <v/>
      </c>
      <c r="H647" s="22" t="str">
        <f aca="false">IF(E647="","",IFERROR(INDEX(02_INDICADORES!$D$2:$D$42,MATCH(E647,02_INDICADORES!$A$2:$A$42,0)),""))</f>
        <v/>
      </c>
      <c r="I647" s="9"/>
      <c r="J647" s="16" t="str">
        <f aca="false">IF(OR(I647="",H647=""),"",I647*H647)</f>
        <v/>
      </c>
      <c r="K647" s="9"/>
      <c r="L647" s="9"/>
      <c r="M647" s="9"/>
    </row>
    <row r="648" customFormat="false" ht="15" hidden="false" customHeight="false" outlineLevel="0" collapsed="false">
      <c r="A648" s="9"/>
      <c r="B648" s="9"/>
      <c r="C648" s="11"/>
      <c r="D648" s="9"/>
      <c r="E648" s="9"/>
      <c r="F648" s="22" t="str">
        <f aca="false">IF(E648="","",IFERROR(INDEX(02_INDICADORES!$B$2:$B$42,MATCH(E648,02_INDICADORES!$A$2:$A$42,0)),"ID?"))</f>
        <v/>
      </c>
      <c r="G648" s="21" t="str">
        <f aca="false">IF(E648="","",IFERROR(INDEX(02_INDICADORES!$C$2:$C$42,MATCH(E648,02_INDICADORES!$A$2:$A$42,0)),"ID?"))</f>
        <v/>
      </c>
      <c r="H648" s="22" t="str">
        <f aca="false">IF(E648="","",IFERROR(INDEX(02_INDICADORES!$D$2:$D$42,MATCH(E648,02_INDICADORES!$A$2:$A$42,0)),""))</f>
        <v/>
      </c>
      <c r="I648" s="9"/>
      <c r="J648" s="16" t="str">
        <f aca="false">IF(OR(I648="",H648=""),"",I648*H648)</f>
        <v/>
      </c>
      <c r="K648" s="9"/>
      <c r="L648" s="9"/>
      <c r="M648" s="9"/>
    </row>
    <row r="649" customFormat="false" ht="15" hidden="false" customHeight="false" outlineLevel="0" collapsed="false">
      <c r="A649" s="9"/>
      <c r="B649" s="9"/>
      <c r="C649" s="11"/>
      <c r="D649" s="9"/>
      <c r="E649" s="9"/>
      <c r="F649" s="22" t="str">
        <f aca="false">IF(E649="","",IFERROR(INDEX(02_INDICADORES!$B$2:$B$42,MATCH(E649,02_INDICADORES!$A$2:$A$42,0)),"ID?"))</f>
        <v/>
      </c>
      <c r="G649" s="21" t="str">
        <f aca="false">IF(E649="","",IFERROR(INDEX(02_INDICADORES!$C$2:$C$42,MATCH(E649,02_INDICADORES!$A$2:$A$42,0)),"ID?"))</f>
        <v/>
      </c>
      <c r="H649" s="22" t="str">
        <f aca="false">IF(E649="","",IFERROR(INDEX(02_INDICADORES!$D$2:$D$42,MATCH(E649,02_INDICADORES!$A$2:$A$42,0)),""))</f>
        <v/>
      </c>
      <c r="I649" s="9"/>
      <c r="J649" s="16" t="str">
        <f aca="false">IF(OR(I649="",H649=""),"",I649*H649)</f>
        <v/>
      </c>
      <c r="K649" s="9"/>
      <c r="L649" s="9"/>
      <c r="M649" s="9"/>
    </row>
    <row r="650" customFormat="false" ht="15" hidden="false" customHeight="false" outlineLevel="0" collapsed="false">
      <c r="A650" s="9"/>
      <c r="B650" s="9"/>
      <c r="C650" s="11"/>
      <c r="D650" s="9"/>
      <c r="E650" s="9"/>
      <c r="F650" s="22" t="str">
        <f aca="false">IF(E650="","",IFERROR(INDEX(02_INDICADORES!$B$2:$B$42,MATCH(E650,02_INDICADORES!$A$2:$A$42,0)),"ID?"))</f>
        <v/>
      </c>
      <c r="G650" s="21" t="str">
        <f aca="false">IF(E650="","",IFERROR(INDEX(02_INDICADORES!$C$2:$C$42,MATCH(E650,02_INDICADORES!$A$2:$A$42,0)),"ID?"))</f>
        <v/>
      </c>
      <c r="H650" s="22" t="str">
        <f aca="false">IF(E650="","",IFERROR(INDEX(02_INDICADORES!$D$2:$D$42,MATCH(E650,02_INDICADORES!$A$2:$A$42,0)),""))</f>
        <v/>
      </c>
      <c r="I650" s="9"/>
      <c r="J650" s="16" t="str">
        <f aca="false">IF(OR(I650="",H650=""),"",I650*H650)</f>
        <v/>
      </c>
      <c r="K650" s="9"/>
      <c r="L650" s="9"/>
      <c r="M650" s="9"/>
    </row>
    <row r="651" customFormat="false" ht="15" hidden="false" customHeight="false" outlineLevel="0" collapsed="false">
      <c r="A651" s="9"/>
      <c r="B651" s="9"/>
      <c r="C651" s="11"/>
      <c r="D651" s="9"/>
      <c r="E651" s="9"/>
      <c r="F651" s="22" t="str">
        <f aca="false">IF(E651="","",IFERROR(INDEX(02_INDICADORES!$B$2:$B$42,MATCH(E651,02_INDICADORES!$A$2:$A$42,0)),"ID?"))</f>
        <v/>
      </c>
      <c r="G651" s="21" t="str">
        <f aca="false">IF(E651="","",IFERROR(INDEX(02_INDICADORES!$C$2:$C$42,MATCH(E651,02_INDICADORES!$A$2:$A$42,0)),"ID?"))</f>
        <v/>
      </c>
      <c r="H651" s="22" t="str">
        <f aca="false">IF(E651="","",IFERROR(INDEX(02_INDICADORES!$D$2:$D$42,MATCH(E651,02_INDICADORES!$A$2:$A$42,0)),""))</f>
        <v/>
      </c>
      <c r="I651" s="9"/>
      <c r="J651" s="16" t="str">
        <f aca="false">IF(OR(I651="",H651=""),"",I651*H651)</f>
        <v/>
      </c>
      <c r="K651" s="9"/>
      <c r="L651" s="9"/>
      <c r="M651" s="9"/>
    </row>
    <row r="652" customFormat="false" ht="15" hidden="false" customHeight="false" outlineLevel="0" collapsed="false">
      <c r="A652" s="9"/>
      <c r="B652" s="9"/>
      <c r="C652" s="11"/>
      <c r="D652" s="9"/>
      <c r="E652" s="9"/>
      <c r="F652" s="22" t="str">
        <f aca="false">IF(E652="","",IFERROR(INDEX(02_INDICADORES!$B$2:$B$42,MATCH(E652,02_INDICADORES!$A$2:$A$42,0)),"ID?"))</f>
        <v/>
      </c>
      <c r="G652" s="21" t="str">
        <f aca="false">IF(E652="","",IFERROR(INDEX(02_INDICADORES!$C$2:$C$42,MATCH(E652,02_INDICADORES!$A$2:$A$42,0)),"ID?"))</f>
        <v/>
      </c>
      <c r="H652" s="22" t="str">
        <f aca="false">IF(E652="","",IFERROR(INDEX(02_INDICADORES!$D$2:$D$42,MATCH(E652,02_INDICADORES!$A$2:$A$42,0)),""))</f>
        <v/>
      </c>
      <c r="I652" s="9"/>
      <c r="J652" s="16" t="str">
        <f aca="false">IF(OR(I652="",H652=""),"",I652*H652)</f>
        <v/>
      </c>
      <c r="K652" s="9"/>
      <c r="L652" s="9"/>
      <c r="M652" s="9"/>
    </row>
    <row r="653" customFormat="false" ht="15" hidden="false" customHeight="false" outlineLevel="0" collapsed="false">
      <c r="A653" s="9"/>
      <c r="B653" s="9"/>
      <c r="C653" s="11"/>
      <c r="D653" s="9"/>
      <c r="E653" s="9"/>
      <c r="F653" s="22" t="str">
        <f aca="false">IF(E653="","",IFERROR(INDEX(02_INDICADORES!$B$2:$B$42,MATCH(E653,02_INDICADORES!$A$2:$A$42,0)),"ID?"))</f>
        <v/>
      </c>
      <c r="G653" s="21" t="str">
        <f aca="false">IF(E653="","",IFERROR(INDEX(02_INDICADORES!$C$2:$C$42,MATCH(E653,02_INDICADORES!$A$2:$A$42,0)),"ID?"))</f>
        <v/>
      </c>
      <c r="H653" s="22" t="str">
        <f aca="false">IF(E653="","",IFERROR(INDEX(02_INDICADORES!$D$2:$D$42,MATCH(E653,02_INDICADORES!$A$2:$A$42,0)),""))</f>
        <v/>
      </c>
      <c r="I653" s="9"/>
      <c r="J653" s="16" t="str">
        <f aca="false">IF(OR(I653="",H653=""),"",I653*H653)</f>
        <v/>
      </c>
      <c r="K653" s="9"/>
      <c r="L653" s="9"/>
      <c r="M653" s="9"/>
    </row>
    <row r="654" customFormat="false" ht="15" hidden="false" customHeight="false" outlineLevel="0" collapsed="false">
      <c r="A654" s="9"/>
      <c r="B654" s="9"/>
      <c r="C654" s="11"/>
      <c r="D654" s="9"/>
      <c r="E654" s="9"/>
      <c r="F654" s="22" t="str">
        <f aca="false">IF(E654="","",IFERROR(INDEX(02_INDICADORES!$B$2:$B$42,MATCH(E654,02_INDICADORES!$A$2:$A$42,0)),"ID?"))</f>
        <v/>
      </c>
      <c r="G654" s="21" t="str">
        <f aca="false">IF(E654="","",IFERROR(INDEX(02_INDICADORES!$C$2:$C$42,MATCH(E654,02_INDICADORES!$A$2:$A$42,0)),"ID?"))</f>
        <v/>
      </c>
      <c r="H654" s="22" t="str">
        <f aca="false">IF(E654="","",IFERROR(INDEX(02_INDICADORES!$D$2:$D$42,MATCH(E654,02_INDICADORES!$A$2:$A$42,0)),""))</f>
        <v/>
      </c>
      <c r="I654" s="9"/>
      <c r="J654" s="16" t="str">
        <f aca="false">IF(OR(I654="",H654=""),"",I654*H654)</f>
        <v/>
      </c>
      <c r="K654" s="9"/>
      <c r="L654" s="9"/>
      <c r="M654" s="9"/>
    </row>
    <row r="655" customFormat="false" ht="15" hidden="false" customHeight="false" outlineLevel="0" collapsed="false">
      <c r="A655" s="9"/>
      <c r="B655" s="9"/>
      <c r="C655" s="11"/>
      <c r="D655" s="9"/>
      <c r="E655" s="9"/>
      <c r="F655" s="22" t="str">
        <f aca="false">IF(E655="","",IFERROR(INDEX(02_INDICADORES!$B$2:$B$42,MATCH(E655,02_INDICADORES!$A$2:$A$42,0)),"ID?"))</f>
        <v/>
      </c>
      <c r="G655" s="21" t="str">
        <f aca="false">IF(E655="","",IFERROR(INDEX(02_INDICADORES!$C$2:$C$42,MATCH(E655,02_INDICADORES!$A$2:$A$42,0)),"ID?"))</f>
        <v/>
      </c>
      <c r="H655" s="22" t="str">
        <f aca="false">IF(E655="","",IFERROR(INDEX(02_INDICADORES!$D$2:$D$42,MATCH(E655,02_INDICADORES!$A$2:$A$42,0)),""))</f>
        <v/>
      </c>
      <c r="I655" s="9"/>
      <c r="J655" s="16" t="str">
        <f aca="false">IF(OR(I655="",H655=""),"",I655*H655)</f>
        <v/>
      </c>
      <c r="K655" s="9"/>
      <c r="L655" s="9"/>
      <c r="M655" s="9"/>
    </row>
    <row r="656" customFormat="false" ht="15" hidden="false" customHeight="false" outlineLevel="0" collapsed="false">
      <c r="A656" s="9"/>
      <c r="B656" s="9"/>
      <c r="C656" s="11"/>
      <c r="D656" s="9"/>
      <c r="E656" s="9"/>
      <c r="F656" s="22" t="str">
        <f aca="false">IF(E656="","",IFERROR(INDEX(02_INDICADORES!$B$2:$B$42,MATCH(E656,02_INDICADORES!$A$2:$A$42,0)),"ID?"))</f>
        <v/>
      </c>
      <c r="G656" s="21" t="str">
        <f aca="false">IF(E656="","",IFERROR(INDEX(02_INDICADORES!$C$2:$C$42,MATCH(E656,02_INDICADORES!$A$2:$A$42,0)),"ID?"))</f>
        <v/>
      </c>
      <c r="H656" s="22" t="str">
        <f aca="false">IF(E656="","",IFERROR(INDEX(02_INDICADORES!$D$2:$D$42,MATCH(E656,02_INDICADORES!$A$2:$A$42,0)),""))</f>
        <v/>
      </c>
      <c r="I656" s="9"/>
      <c r="J656" s="16" t="str">
        <f aca="false">IF(OR(I656="",H656=""),"",I656*H656)</f>
        <v/>
      </c>
      <c r="K656" s="9"/>
      <c r="L656" s="9"/>
      <c r="M656" s="9"/>
    </row>
    <row r="657" customFormat="false" ht="15" hidden="false" customHeight="false" outlineLevel="0" collapsed="false">
      <c r="A657" s="9"/>
      <c r="B657" s="9"/>
      <c r="C657" s="11"/>
      <c r="D657" s="9"/>
      <c r="E657" s="9"/>
      <c r="F657" s="22" t="str">
        <f aca="false">IF(E657="","",IFERROR(INDEX(02_INDICADORES!$B$2:$B$42,MATCH(E657,02_INDICADORES!$A$2:$A$42,0)),"ID?"))</f>
        <v/>
      </c>
      <c r="G657" s="21" t="str">
        <f aca="false">IF(E657="","",IFERROR(INDEX(02_INDICADORES!$C$2:$C$42,MATCH(E657,02_INDICADORES!$A$2:$A$42,0)),"ID?"))</f>
        <v/>
      </c>
      <c r="H657" s="22" t="str">
        <f aca="false">IF(E657="","",IFERROR(INDEX(02_INDICADORES!$D$2:$D$42,MATCH(E657,02_INDICADORES!$A$2:$A$42,0)),""))</f>
        <v/>
      </c>
      <c r="I657" s="9"/>
      <c r="J657" s="16" t="str">
        <f aca="false">IF(OR(I657="",H657=""),"",I657*H657)</f>
        <v/>
      </c>
      <c r="K657" s="9"/>
      <c r="L657" s="9"/>
      <c r="M657" s="9"/>
    </row>
    <row r="658" customFormat="false" ht="15" hidden="false" customHeight="false" outlineLevel="0" collapsed="false">
      <c r="A658" s="9"/>
      <c r="B658" s="9"/>
      <c r="C658" s="11"/>
      <c r="D658" s="9"/>
      <c r="E658" s="9"/>
      <c r="F658" s="22" t="str">
        <f aca="false">IF(E658="","",IFERROR(INDEX(02_INDICADORES!$B$2:$B$42,MATCH(E658,02_INDICADORES!$A$2:$A$42,0)),"ID?"))</f>
        <v/>
      </c>
      <c r="G658" s="21" t="str">
        <f aca="false">IF(E658="","",IFERROR(INDEX(02_INDICADORES!$C$2:$C$42,MATCH(E658,02_INDICADORES!$A$2:$A$42,0)),"ID?"))</f>
        <v/>
      </c>
      <c r="H658" s="22" t="str">
        <f aca="false">IF(E658="","",IFERROR(INDEX(02_INDICADORES!$D$2:$D$42,MATCH(E658,02_INDICADORES!$A$2:$A$42,0)),""))</f>
        <v/>
      </c>
      <c r="I658" s="9"/>
      <c r="J658" s="16" t="str">
        <f aca="false">IF(OR(I658="",H658=""),"",I658*H658)</f>
        <v/>
      </c>
      <c r="K658" s="9"/>
      <c r="L658" s="9"/>
      <c r="M658" s="9"/>
    </row>
    <row r="659" customFormat="false" ht="15" hidden="false" customHeight="false" outlineLevel="0" collapsed="false">
      <c r="A659" s="9"/>
      <c r="B659" s="9"/>
      <c r="C659" s="11"/>
      <c r="D659" s="9"/>
      <c r="E659" s="9"/>
      <c r="F659" s="22" t="str">
        <f aca="false">IF(E659="","",IFERROR(INDEX(02_INDICADORES!$B$2:$B$42,MATCH(E659,02_INDICADORES!$A$2:$A$42,0)),"ID?"))</f>
        <v/>
      </c>
      <c r="G659" s="21" t="str">
        <f aca="false">IF(E659="","",IFERROR(INDEX(02_INDICADORES!$C$2:$C$42,MATCH(E659,02_INDICADORES!$A$2:$A$42,0)),"ID?"))</f>
        <v/>
      </c>
      <c r="H659" s="22" t="str">
        <f aca="false">IF(E659="","",IFERROR(INDEX(02_INDICADORES!$D$2:$D$42,MATCH(E659,02_INDICADORES!$A$2:$A$42,0)),""))</f>
        <v/>
      </c>
      <c r="I659" s="9"/>
      <c r="J659" s="16" t="str">
        <f aca="false">IF(OR(I659="",H659=""),"",I659*H659)</f>
        <v/>
      </c>
      <c r="K659" s="9"/>
      <c r="L659" s="9"/>
      <c r="M659" s="9"/>
    </row>
    <row r="660" customFormat="false" ht="15" hidden="false" customHeight="false" outlineLevel="0" collapsed="false">
      <c r="A660" s="9"/>
      <c r="B660" s="9"/>
      <c r="C660" s="11"/>
      <c r="D660" s="9"/>
      <c r="E660" s="9"/>
      <c r="F660" s="22" t="str">
        <f aca="false">IF(E660="","",IFERROR(INDEX(02_INDICADORES!$B$2:$B$42,MATCH(E660,02_INDICADORES!$A$2:$A$42,0)),"ID?"))</f>
        <v/>
      </c>
      <c r="G660" s="21" t="str">
        <f aca="false">IF(E660="","",IFERROR(INDEX(02_INDICADORES!$C$2:$C$42,MATCH(E660,02_INDICADORES!$A$2:$A$42,0)),"ID?"))</f>
        <v/>
      </c>
      <c r="H660" s="22" t="str">
        <f aca="false">IF(E660="","",IFERROR(INDEX(02_INDICADORES!$D$2:$D$42,MATCH(E660,02_INDICADORES!$A$2:$A$42,0)),""))</f>
        <v/>
      </c>
      <c r="I660" s="9"/>
      <c r="J660" s="16" t="str">
        <f aca="false">IF(OR(I660="",H660=""),"",I660*H660)</f>
        <v/>
      </c>
      <c r="K660" s="9"/>
      <c r="L660" s="9"/>
      <c r="M660" s="9"/>
    </row>
    <row r="661" customFormat="false" ht="15" hidden="false" customHeight="false" outlineLevel="0" collapsed="false">
      <c r="A661" s="9"/>
      <c r="B661" s="9"/>
      <c r="C661" s="11"/>
      <c r="D661" s="9"/>
      <c r="E661" s="9"/>
      <c r="F661" s="22" t="str">
        <f aca="false">IF(E661="","",IFERROR(INDEX(02_INDICADORES!$B$2:$B$42,MATCH(E661,02_INDICADORES!$A$2:$A$42,0)),"ID?"))</f>
        <v/>
      </c>
      <c r="G661" s="21" t="str">
        <f aca="false">IF(E661="","",IFERROR(INDEX(02_INDICADORES!$C$2:$C$42,MATCH(E661,02_INDICADORES!$A$2:$A$42,0)),"ID?"))</f>
        <v/>
      </c>
      <c r="H661" s="22" t="str">
        <f aca="false">IF(E661="","",IFERROR(INDEX(02_INDICADORES!$D$2:$D$42,MATCH(E661,02_INDICADORES!$A$2:$A$42,0)),""))</f>
        <v/>
      </c>
      <c r="I661" s="9"/>
      <c r="J661" s="16" t="str">
        <f aca="false">IF(OR(I661="",H661=""),"",I661*H661)</f>
        <v/>
      </c>
      <c r="K661" s="9"/>
      <c r="L661" s="9"/>
      <c r="M661" s="9"/>
    </row>
    <row r="662" customFormat="false" ht="15" hidden="false" customHeight="false" outlineLevel="0" collapsed="false">
      <c r="A662" s="9"/>
      <c r="B662" s="9"/>
      <c r="C662" s="11"/>
      <c r="D662" s="9"/>
      <c r="E662" s="9"/>
      <c r="F662" s="22" t="str">
        <f aca="false">IF(E662="","",IFERROR(INDEX(02_INDICADORES!$B$2:$B$42,MATCH(E662,02_INDICADORES!$A$2:$A$42,0)),"ID?"))</f>
        <v/>
      </c>
      <c r="G662" s="21" t="str">
        <f aca="false">IF(E662="","",IFERROR(INDEX(02_INDICADORES!$C$2:$C$42,MATCH(E662,02_INDICADORES!$A$2:$A$42,0)),"ID?"))</f>
        <v/>
      </c>
      <c r="H662" s="22" t="str">
        <f aca="false">IF(E662="","",IFERROR(INDEX(02_INDICADORES!$D$2:$D$42,MATCH(E662,02_INDICADORES!$A$2:$A$42,0)),""))</f>
        <v/>
      </c>
      <c r="I662" s="9"/>
      <c r="J662" s="16" t="str">
        <f aca="false">IF(OR(I662="",H662=""),"",I662*H662)</f>
        <v/>
      </c>
      <c r="K662" s="9"/>
      <c r="L662" s="9"/>
      <c r="M662" s="9"/>
    </row>
    <row r="663" customFormat="false" ht="15" hidden="false" customHeight="false" outlineLevel="0" collapsed="false">
      <c r="A663" s="9"/>
      <c r="B663" s="9"/>
      <c r="C663" s="11"/>
      <c r="D663" s="9"/>
      <c r="E663" s="9"/>
      <c r="F663" s="22" t="str">
        <f aca="false">IF(E663="","",IFERROR(INDEX(02_INDICADORES!$B$2:$B$42,MATCH(E663,02_INDICADORES!$A$2:$A$42,0)),"ID?"))</f>
        <v/>
      </c>
      <c r="G663" s="21" t="str">
        <f aca="false">IF(E663="","",IFERROR(INDEX(02_INDICADORES!$C$2:$C$42,MATCH(E663,02_INDICADORES!$A$2:$A$42,0)),"ID?"))</f>
        <v/>
      </c>
      <c r="H663" s="22" t="str">
        <f aca="false">IF(E663="","",IFERROR(INDEX(02_INDICADORES!$D$2:$D$42,MATCH(E663,02_INDICADORES!$A$2:$A$42,0)),""))</f>
        <v/>
      </c>
      <c r="I663" s="9"/>
      <c r="J663" s="16" t="str">
        <f aca="false">IF(OR(I663="",H663=""),"",I663*H663)</f>
        <v/>
      </c>
      <c r="K663" s="9"/>
      <c r="L663" s="9"/>
      <c r="M663" s="9"/>
    </row>
    <row r="664" customFormat="false" ht="15" hidden="false" customHeight="false" outlineLevel="0" collapsed="false">
      <c r="A664" s="9"/>
      <c r="B664" s="9"/>
      <c r="C664" s="11"/>
      <c r="D664" s="9"/>
      <c r="E664" s="9"/>
      <c r="F664" s="22" t="str">
        <f aca="false">IF(E664="","",IFERROR(INDEX(02_INDICADORES!$B$2:$B$42,MATCH(E664,02_INDICADORES!$A$2:$A$42,0)),"ID?"))</f>
        <v/>
      </c>
      <c r="G664" s="21" t="str">
        <f aca="false">IF(E664="","",IFERROR(INDEX(02_INDICADORES!$C$2:$C$42,MATCH(E664,02_INDICADORES!$A$2:$A$42,0)),"ID?"))</f>
        <v/>
      </c>
      <c r="H664" s="22" t="str">
        <f aca="false">IF(E664="","",IFERROR(INDEX(02_INDICADORES!$D$2:$D$42,MATCH(E664,02_INDICADORES!$A$2:$A$42,0)),""))</f>
        <v/>
      </c>
      <c r="I664" s="9"/>
      <c r="J664" s="16" t="str">
        <f aca="false">IF(OR(I664="",H664=""),"",I664*H664)</f>
        <v/>
      </c>
      <c r="K664" s="9"/>
      <c r="L664" s="9"/>
      <c r="M664" s="9"/>
    </row>
    <row r="665" customFormat="false" ht="15" hidden="false" customHeight="false" outlineLevel="0" collapsed="false">
      <c r="A665" s="9"/>
      <c r="B665" s="9"/>
      <c r="C665" s="11"/>
      <c r="D665" s="9"/>
      <c r="E665" s="9"/>
      <c r="F665" s="22" t="str">
        <f aca="false">IF(E665="","",IFERROR(INDEX(02_INDICADORES!$B$2:$B$42,MATCH(E665,02_INDICADORES!$A$2:$A$42,0)),"ID?"))</f>
        <v/>
      </c>
      <c r="G665" s="21" t="str">
        <f aca="false">IF(E665="","",IFERROR(INDEX(02_INDICADORES!$C$2:$C$42,MATCH(E665,02_INDICADORES!$A$2:$A$42,0)),"ID?"))</f>
        <v/>
      </c>
      <c r="H665" s="22" t="str">
        <f aca="false">IF(E665="","",IFERROR(INDEX(02_INDICADORES!$D$2:$D$42,MATCH(E665,02_INDICADORES!$A$2:$A$42,0)),""))</f>
        <v/>
      </c>
      <c r="I665" s="9"/>
      <c r="J665" s="16" t="str">
        <f aca="false">IF(OR(I665="",H665=""),"",I665*H665)</f>
        <v/>
      </c>
      <c r="K665" s="9"/>
      <c r="L665" s="9"/>
      <c r="M665" s="9"/>
    </row>
    <row r="666" customFormat="false" ht="15" hidden="false" customHeight="false" outlineLevel="0" collapsed="false">
      <c r="A666" s="9"/>
      <c r="B666" s="9"/>
      <c r="C666" s="11"/>
      <c r="D666" s="9"/>
      <c r="E666" s="9"/>
      <c r="F666" s="22" t="str">
        <f aca="false">IF(E666="","",IFERROR(INDEX(02_INDICADORES!$B$2:$B$42,MATCH(E666,02_INDICADORES!$A$2:$A$42,0)),"ID?"))</f>
        <v/>
      </c>
      <c r="G666" s="21" t="str">
        <f aca="false">IF(E666="","",IFERROR(INDEX(02_INDICADORES!$C$2:$C$42,MATCH(E666,02_INDICADORES!$A$2:$A$42,0)),"ID?"))</f>
        <v/>
      </c>
      <c r="H666" s="22" t="str">
        <f aca="false">IF(E666="","",IFERROR(INDEX(02_INDICADORES!$D$2:$D$42,MATCH(E666,02_INDICADORES!$A$2:$A$42,0)),""))</f>
        <v/>
      </c>
      <c r="I666" s="9"/>
      <c r="J666" s="16" t="str">
        <f aca="false">IF(OR(I666="",H666=""),"",I666*H666)</f>
        <v/>
      </c>
      <c r="K666" s="9"/>
      <c r="L666" s="9"/>
      <c r="M666" s="9"/>
    </row>
    <row r="667" customFormat="false" ht="15" hidden="false" customHeight="false" outlineLevel="0" collapsed="false">
      <c r="A667" s="9"/>
      <c r="B667" s="9"/>
      <c r="C667" s="11"/>
      <c r="D667" s="9"/>
      <c r="E667" s="9"/>
      <c r="F667" s="22" t="str">
        <f aca="false">IF(E667="","",IFERROR(INDEX(02_INDICADORES!$B$2:$B$42,MATCH(E667,02_INDICADORES!$A$2:$A$42,0)),"ID?"))</f>
        <v/>
      </c>
      <c r="G667" s="21" t="str">
        <f aca="false">IF(E667="","",IFERROR(INDEX(02_INDICADORES!$C$2:$C$42,MATCH(E667,02_INDICADORES!$A$2:$A$42,0)),"ID?"))</f>
        <v/>
      </c>
      <c r="H667" s="22" t="str">
        <f aca="false">IF(E667="","",IFERROR(INDEX(02_INDICADORES!$D$2:$D$42,MATCH(E667,02_INDICADORES!$A$2:$A$42,0)),""))</f>
        <v/>
      </c>
      <c r="I667" s="9"/>
      <c r="J667" s="16" t="str">
        <f aca="false">IF(OR(I667="",H667=""),"",I667*H667)</f>
        <v/>
      </c>
      <c r="K667" s="9"/>
      <c r="L667" s="9"/>
      <c r="M667" s="9"/>
    </row>
    <row r="668" customFormat="false" ht="15" hidden="false" customHeight="false" outlineLevel="0" collapsed="false">
      <c r="A668" s="9"/>
      <c r="B668" s="9"/>
      <c r="C668" s="11"/>
      <c r="D668" s="9"/>
      <c r="E668" s="9"/>
      <c r="F668" s="22" t="str">
        <f aca="false">IF(E668="","",IFERROR(INDEX(02_INDICADORES!$B$2:$B$42,MATCH(E668,02_INDICADORES!$A$2:$A$42,0)),"ID?"))</f>
        <v/>
      </c>
      <c r="G668" s="21" t="str">
        <f aca="false">IF(E668="","",IFERROR(INDEX(02_INDICADORES!$C$2:$C$42,MATCH(E668,02_INDICADORES!$A$2:$A$42,0)),"ID?"))</f>
        <v/>
      </c>
      <c r="H668" s="22" t="str">
        <f aca="false">IF(E668="","",IFERROR(INDEX(02_INDICADORES!$D$2:$D$42,MATCH(E668,02_INDICADORES!$A$2:$A$42,0)),""))</f>
        <v/>
      </c>
      <c r="I668" s="9"/>
      <c r="J668" s="16" t="str">
        <f aca="false">IF(OR(I668="",H668=""),"",I668*H668)</f>
        <v/>
      </c>
      <c r="K668" s="9"/>
      <c r="L668" s="9"/>
      <c r="M668" s="9"/>
    </row>
    <row r="669" customFormat="false" ht="15" hidden="false" customHeight="false" outlineLevel="0" collapsed="false">
      <c r="A669" s="9"/>
      <c r="B669" s="9"/>
      <c r="C669" s="11"/>
      <c r="D669" s="9"/>
      <c r="E669" s="9"/>
      <c r="F669" s="22" t="str">
        <f aca="false">IF(E669="","",IFERROR(INDEX(02_INDICADORES!$B$2:$B$42,MATCH(E669,02_INDICADORES!$A$2:$A$42,0)),"ID?"))</f>
        <v/>
      </c>
      <c r="G669" s="21" t="str">
        <f aca="false">IF(E669="","",IFERROR(INDEX(02_INDICADORES!$C$2:$C$42,MATCH(E669,02_INDICADORES!$A$2:$A$42,0)),"ID?"))</f>
        <v/>
      </c>
      <c r="H669" s="22" t="str">
        <f aca="false">IF(E669="","",IFERROR(INDEX(02_INDICADORES!$D$2:$D$42,MATCH(E669,02_INDICADORES!$A$2:$A$42,0)),""))</f>
        <v/>
      </c>
      <c r="I669" s="9"/>
      <c r="J669" s="16" t="str">
        <f aca="false">IF(OR(I669="",H669=""),"",I669*H669)</f>
        <v/>
      </c>
      <c r="K669" s="9"/>
      <c r="L669" s="9"/>
      <c r="M669" s="9"/>
    </row>
    <row r="670" customFormat="false" ht="15" hidden="false" customHeight="false" outlineLevel="0" collapsed="false">
      <c r="A670" s="9"/>
      <c r="B670" s="9"/>
      <c r="C670" s="11"/>
      <c r="D670" s="9"/>
      <c r="E670" s="9"/>
      <c r="F670" s="22" t="str">
        <f aca="false">IF(E670="","",IFERROR(INDEX(02_INDICADORES!$B$2:$B$42,MATCH(E670,02_INDICADORES!$A$2:$A$42,0)),"ID?"))</f>
        <v/>
      </c>
      <c r="G670" s="21" t="str">
        <f aca="false">IF(E670="","",IFERROR(INDEX(02_INDICADORES!$C$2:$C$42,MATCH(E670,02_INDICADORES!$A$2:$A$42,0)),"ID?"))</f>
        <v/>
      </c>
      <c r="H670" s="22" t="str">
        <f aca="false">IF(E670="","",IFERROR(INDEX(02_INDICADORES!$D$2:$D$42,MATCH(E670,02_INDICADORES!$A$2:$A$42,0)),""))</f>
        <v/>
      </c>
      <c r="I670" s="9"/>
      <c r="J670" s="16" t="str">
        <f aca="false">IF(OR(I670="",H670=""),"",I670*H670)</f>
        <v/>
      </c>
      <c r="K670" s="9"/>
      <c r="L670" s="9"/>
      <c r="M670" s="9"/>
    </row>
    <row r="671" customFormat="false" ht="15" hidden="false" customHeight="false" outlineLevel="0" collapsed="false">
      <c r="A671" s="9"/>
      <c r="B671" s="9"/>
      <c r="C671" s="11"/>
      <c r="D671" s="9"/>
      <c r="E671" s="9"/>
      <c r="F671" s="22" t="str">
        <f aca="false">IF(E671="","",IFERROR(INDEX(02_INDICADORES!$B$2:$B$42,MATCH(E671,02_INDICADORES!$A$2:$A$42,0)),"ID?"))</f>
        <v/>
      </c>
      <c r="G671" s="21" t="str">
        <f aca="false">IF(E671="","",IFERROR(INDEX(02_INDICADORES!$C$2:$C$42,MATCH(E671,02_INDICADORES!$A$2:$A$42,0)),"ID?"))</f>
        <v/>
      </c>
      <c r="H671" s="22" t="str">
        <f aca="false">IF(E671="","",IFERROR(INDEX(02_INDICADORES!$D$2:$D$42,MATCH(E671,02_INDICADORES!$A$2:$A$42,0)),""))</f>
        <v/>
      </c>
      <c r="I671" s="9"/>
      <c r="J671" s="16" t="str">
        <f aca="false">IF(OR(I671="",H671=""),"",I671*H671)</f>
        <v/>
      </c>
      <c r="K671" s="9"/>
      <c r="L671" s="9"/>
      <c r="M671" s="9"/>
    </row>
    <row r="672" customFormat="false" ht="15" hidden="false" customHeight="false" outlineLevel="0" collapsed="false">
      <c r="A672" s="9"/>
      <c r="B672" s="9"/>
      <c r="C672" s="11"/>
      <c r="D672" s="9"/>
      <c r="E672" s="9"/>
      <c r="F672" s="22" t="str">
        <f aca="false">IF(E672="","",IFERROR(INDEX(02_INDICADORES!$B$2:$B$42,MATCH(E672,02_INDICADORES!$A$2:$A$42,0)),"ID?"))</f>
        <v/>
      </c>
      <c r="G672" s="21" t="str">
        <f aca="false">IF(E672="","",IFERROR(INDEX(02_INDICADORES!$C$2:$C$42,MATCH(E672,02_INDICADORES!$A$2:$A$42,0)),"ID?"))</f>
        <v/>
      </c>
      <c r="H672" s="22" t="str">
        <f aca="false">IF(E672="","",IFERROR(INDEX(02_INDICADORES!$D$2:$D$42,MATCH(E672,02_INDICADORES!$A$2:$A$42,0)),""))</f>
        <v/>
      </c>
      <c r="I672" s="9"/>
      <c r="J672" s="16" t="str">
        <f aca="false">IF(OR(I672="",H672=""),"",I672*H672)</f>
        <v/>
      </c>
      <c r="K672" s="9"/>
      <c r="L672" s="9"/>
      <c r="M672" s="9"/>
    </row>
    <row r="673" customFormat="false" ht="15" hidden="false" customHeight="false" outlineLevel="0" collapsed="false">
      <c r="A673" s="9"/>
      <c r="B673" s="9"/>
      <c r="C673" s="11"/>
      <c r="D673" s="9"/>
      <c r="E673" s="9"/>
      <c r="F673" s="22" t="str">
        <f aca="false">IF(E673="","",IFERROR(INDEX(02_INDICADORES!$B$2:$B$42,MATCH(E673,02_INDICADORES!$A$2:$A$42,0)),"ID?"))</f>
        <v/>
      </c>
      <c r="G673" s="21" t="str">
        <f aca="false">IF(E673="","",IFERROR(INDEX(02_INDICADORES!$C$2:$C$42,MATCH(E673,02_INDICADORES!$A$2:$A$42,0)),"ID?"))</f>
        <v/>
      </c>
      <c r="H673" s="22" t="str">
        <f aca="false">IF(E673="","",IFERROR(INDEX(02_INDICADORES!$D$2:$D$42,MATCH(E673,02_INDICADORES!$A$2:$A$42,0)),""))</f>
        <v/>
      </c>
      <c r="I673" s="9"/>
      <c r="J673" s="16" t="str">
        <f aca="false">IF(OR(I673="",H673=""),"",I673*H673)</f>
        <v/>
      </c>
      <c r="K673" s="9"/>
      <c r="L673" s="9"/>
      <c r="M673" s="9"/>
    </row>
    <row r="674" customFormat="false" ht="15" hidden="false" customHeight="false" outlineLevel="0" collapsed="false">
      <c r="A674" s="9"/>
      <c r="B674" s="9"/>
      <c r="C674" s="11"/>
      <c r="D674" s="9"/>
      <c r="E674" s="9"/>
      <c r="F674" s="22" t="str">
        <f aca="false">IF(E674="","",IFERROR(INDEX(02_INDICADORES!$B$2:$B$42,MATCH(E674,02_INDICADORES!$A$2:$A$42,0)),"ID?"))</f>
        <v/>
      </c>
      <c r="G674" s="21" t="str">
        <f aca="false">IF(E674="","",IFERROR(INDEX(02_INDICADORES!$C$2:$C$42,MATCH(E674,02_INDICADORES!$A$2:$A$42,0)),"ID?"))</f>
        <v/>
      </c>
      <c r="H674" s="22" t="str">
        <f aca="false">IF(E674="","",IFERROR(INDEX(02_INDICADORES!$D$2:$D$42,MATCH(E674,02_INDICADORES!$A$2:$A$42,0)),""))</f>
        <v/>
      </c>
      <c r="I674" s="9"/>
      <c r="J674" s="16" t="str">
        <f aca="false">IF(OR(I674="",H674=""),"",I674*H674)</f>
        <v/>
      </c>
      <c r="K674" s="9"/>
      <c r="L674" s="9"/>
      <c r="M674" s="9"/>
    </row>
    <row r="675" customFormat="false" ht="15" hidden="false" customHeight="false" outlineLevel="0" collapsed="false">
      <c r="A675" s="9"/>
      <c r="B675" s="9"/>
      <c r="C675" s="11"/>
      <c r="D675" s="9"/>
      <c r="E675" s="9"/>
      <c r="F675" s="22" t="str">
        <f aca="false">IF(E675="","",IFERROR(INDEX(02_INDICADORES!$B$2:$B$42,MATCH(E675,02_INDICADORES!$A$2:$A$42,0)),"ID?"))</f>
        <v/>
      </c>
      <c r="G675" s="21" t="str">
        <f aca="false">IF(E675="","",IFERROR(INDEX(02_INDICADORES!$C$2:$C$42,MATCH(E675,02_INDICADORES!$A$2:$A$42,0)),"ID?"))</f>
        <v/>
      </c>
      <c r="H675" s="22" t="str">
        <f aca="false">IF(E675="","",IFERROR(INDEX(02_INDICADORES!$D$2:$D$42,MATCH(E675,02_INDICADORES!$A$2:$A$42,0)),""))</f>
        <v/>
      </c>
      <c r="I675" s="9"/>
      <c r="J675" s="16" t="str">
        <f aca="false">IF(OR(I675="",H675=""),"",I675*H675)</f>
        <v/>
      </c>
      <c r="K675" s="9"/>
      <c r="L675" s="9"/>
      <c r="M675" s="9"/>
    </row>
    <row r="676" customFormat="false" ht="15" hidden="false" customHeight="false" outlineLevel="0" collapsed="false">
      <c r="A676" s="9"/>
      <c r="B676" s="9"/>
      <c r="C676" s="11"/>
      <c r="D676" s="9"/>
      <c r="E676" s="9"/>
      <c r="F676" s="22" t="str">
        <f aca="false">IF(E676="","",IFERROR(INDEX(02_INDICADORES!$B$2:$B$42,MATCH(E676,02_INDICADORES!$A$2:$A$42,0)),"ID?"))</f>
        <v/>
      </c>
      <c r="G676" s="21" t="str">
        <f aca="false">IF(E676="","",IFERROR(INDEX(02_INDICADORES!$C$2:$C$42,MATCH(E676,02_INDICADORES!$A$2:$A$42,0)),"ID?"))</f>
        <v/>
      </c>
      <c r="H676" s="22" t="str">
        <f aca="false">IF(E676="","",IFERROR(INDEX(02_INDICADORES!$D$2:$D$42,MATCH(E676,02_INDICADORES!$A$2:$A$42,0)),""))</f>
        <v/>
      </c>
      <c r="I676" s="9"/>
      <c r="J676" s="16" t="str">
        <f aca="false">IF(OR(I676="",H676=""),"",I676*H676)</f>
        <v/>
      </c>
      <c r="K676" s="9"/>
      <c r="L676" s="9"/>
      <c r="M676" s="9"/>
    </row>
    <row r="677" customFormat="false" ht="15" hidden="false" customHeight="false" outlineLevel="0" collapsed="false">
      <c r="A677" s="9"/>
      <c r="B677" s="9"/>
      <c r="C677" s="11"/>
      <c r="D677" s="9"/>
      <c r="E677" s="9"/>
      <c r="F677" s="22" t="str">
        <f aca="false">IF(E677="","",IFERROR(INDEX(02_INDICADORES!$B$2:$B$42,MATCH(E677,02_INDICADORES!$A$2:$A$42,0)),"ID?"))</f>
        <v/>
      </c>
      <c r="G677" s="21" t="str">
        <f aca="false">IF(E677="","",IFERROR(INDEX(02_INDICADORES!$C$2:$C$42,MATCH(E677,02_INDICADORES!$A$2:$A$42,0)),"ID?"))</f>
        <v/>
      </c>
      <c r="H677" s="22" t="str">
        <f aca="false">IF(E677="","",IFERROR(INDEX(02_INDICADORES!$D$2:$D$42,MATCH(E677,02_INDICADORES!$A$2:$A$42,0)),""))</f>
        <v/>
      </c>
      <c r="I677" s="9"/>
      <c r="J677" s="16" t="str">
        <f aca="false">IF(OR(I677="",H677=""),"",I677*H677)</f>
        <v/>
      </c>
      <c r="K677" s="9"/>
      <c r="L677" s="9"/>
      <c r="M677" s="9"/>
    </row>
    <row r="678" customFormat="false" ht="15" hidden="false" customHeight="false" outlineLevel="0" collapsed="false">
      <c r="A678" s="9"/>
      <c r="B678" s="9"/>
      <c r="C678" s="11"/>
      <c r="D678" s="9"/>
      <c r="E678" s="9"/>
      <c r="F678" s="22" t="str">
        <f aca="false">IF(E678="","",IFERROR(INDEX(02_INDICADORES!$B$2:$B$42,MATCH(E678,02_INDICADORES!$A$2:$A$42,0)),"ID?"))</f>
        <v/>
      </c>
      <c r="G678" s="21" t="str">
        <f aca="false">IF(E678="","",IFERROR(INDEX(02_INDICADORES!$C$2:$C$42,MATCH(E678,02_INDICADORES!$A$2:$A$42,0)),"ID?"))</f>
        <v/>
      </c>
      <c r="H678" s="22" t="str">
        <f aca="false">IF(E678="","",IFERROR(INDEX(02_INDICADORES!$D$2:$D$42,MATCH(E678,02_INDICADORES!$A$2:$A$42,0)),""))</f>
        <v/>
      </c>
      <c r="I678" s="9"/>
      <c r="J678" s="16" t="str">
        <f aca="false">IF(OR(I678="",H678=""),"",I678*H678)</f>
        <v/>
      </c>
      <c r="K678" s="9"/>
      <c r="L678" s="9"/>
      <c r="M678" s="9"/>
    </row>
    <row r="679" customFormat="false" ht="15" hidden="false" customHeight="false" outlineLevel="0" collapsed="false">
      <c r="A679" s="9"/>
      <c r="B679" s="9"/>
      <c r="C679" s="11"/>
      <c r="D679" s="9"/>
      <c r="E679" s="9"/>
      <c r="F679" s="22" t="str">
        <f aca="false">IF(E679="","",IFERROR(INDEX(02_INDICADORES!$B$2:$B$42,MATCH(E679,02_INDICADORES!$A$2:$A$42,0)),"ID?"))</f>
        <v/>
      </c>
      <c r="G679" s="21" t="str">
        <f aca="false">IF(E679="","",IFERROR(INDEX(02_INDICADORES!$C$2:$C$42,MATCH(E679,02_INDICADORES!$A$2:$A$42,0)),"ID?"))</f>
        <v/>
      </c>
      <c r="H679" s="22" t="str">
        <f aca="false">IF(E679="","",IFERROR(INDEX(02_INDICADORES!$D$2:$D$42,MATCH(E679,02_INDICADORES!$A$2:$A$42,0)),""))</f>
        <v/>
      </c>
      <c r="I679" s="9"/>
      <c r="J679" s="16" t="str">
        <f aca="false">IF(OR(I679="",H679=""),"",I679*H679)</f>
        <v/>
      </c>
      <c r="K679" s="9"/>
      <c r="L679" s="9"/>
      <c r="M679" s="9"/>
    </row>
    <row r="680" customFormat="false" ht="15" hidden="false" customHeight="false" outlineLevel="0" collapsed="false">
      <c r="A680" s="9"/>
      <c r="B680" s="9"/>
      <c r="C680" s="11"/>
      <c r="D680" s="9"/>
      <c r="E680" s="9"/>
      <c r="F680" s="22" t="str">
        <f aca="false">IF(E680="","",IFERROR(INDEX(02_INDICADORES!$B$2:$B$42,MATCH(E680,02_INDICADORES!$A$2:$A$42,0)),"ID?"))</f>
        <v/>
      </c>
      <c r="G680" s="21" t="str">
        <f aca="false">IF(E680="","",IFERROR(INDEX(02_INDICADORES!$C$2:$C$42,MATCH(E680,02_INDICADORES!$A$2:$A$42,0)),"ID?"))</f>
        <v/>
      </c>
      <c r="H680" s="22" t="str">
        <f aca="false">IF(E680="","",IFERROR(INDEX(02_INDICADORES!$D$2:$D$42,MATCH(E680,02_INDICADORES!$A$2:$A$42,0)),""))</f>
        <v/>
      </c>
      <c r="I680" s="9"/>
      <c r="J680" s="16" t="str">
        <f aca="false">IF(OR(I680="",H680=""),"",I680*H680)</f>
        <v/>
      </c>
      <c r="K680" s="9"/>
      <c r="L680" s="9"/>
      <c r="M680" s="9"/>
    </row>
    <row r="681" customFormat="false" ht="15" hidden="false" customHeight="false" outlineLevel="0" collapsed="false">
      <c r="A681" s="9"/>
      <c r="B681" s="9"/>
      <c r="C681" s="11"/>
      <c r="D681" s="9"/>
      <c r="E681" s="9"/>
      <c r="F681" s="22" t="str">
        <f aca="false">IF(E681="","",IFERROR(INDEX(02_INDICADORES!$B$2:$B$42,MATCH(E681,02_INDICADORES!$A$2:$A$42,0)),"ID?"))</f>
        <v/>
      </c>
      <c r="G681" s="21" t="str">
        <f aca="false">IF(E681="","",IFERROR(INDEX(02_INDICADORES!$C$2:$C$42,MATCH(E681,02_INDICADORES!$A$2:$A$42,0)),"ID?"))</f>
        <v/>
      </c>
      <c r="H681" s="22" t="str">
        <f aca="false">IF(E681="","",IFERROR(INDEX(02_INDICADORES!$D$2:$D$42,MATCH(E681,02_INDICADORES!$A$2:$A$42,0)),""))</f>
        <v/>
      </c>
      <c r="I681" s="9"/>
      <c r="J681" s="16" t="str">
        <f aca="false">IF(OR(I681="",H681=""),"",I681*H681)</f>
        <v/>
      </c>
      <c r="K681" s="9"/>
      <c r="L681" s="9"/>
      <c r="M681" s="9"/>
    </row>
    <row r="682" customFormat="false" ht="15" hidden="false" customHeight="false" outlineLevel="0" collapsed="false">
      <c r="A682" s="9"/>
      <c r="B682" s="9"/>
      <c r="C682" s="11"/>
      <c r="D682" s="9"/>
      <c r="E682" s="9"/>
      <c r="F682" s="22" t="str">
        <f aca="false">IF(E682="","",IFERROR(INDEX(02_INDICADORES!$B$2:$B$42,MATCH(E682,02_INDICADORES!$A$2:$A$42,0)),"ID?"))</f>
        <v/>
      </c>
      <c r="G682" s="21" t="str">
        <f aca="false">IF(E682="","",IFERROR(INDEX(02_INDICADORES!$C$2:$C$42,MATCH(E682,02_INDICADORES!$A$2:$A$42,0)),"ID?"))</f>
        <v/>
      </c>
      <c r="H682" s="22" t="str">
        <f aca="false">IF(E682="","",IFERROR(INDEX(02_INDICADORES!$D$2:$D$42,MATCH(E682,02_INDICADORES!$A$2:$A$42,0)),""))</f>
        <v/>
      </c>
      <c r="I682" s="9"/>
      <c r="J682" s="16" t="str">
        <f aca="false">IF(OR(I682="",H682=""),"",I682*H682)</f>
        <v/>
      </c>
      <c r="K682" s="9"/>
      <c r="L682" s="9"/>
      <c r="M682" s="9"/>
    </row>
    <row r="683" customFormat="false" ht="15" hidden="false" customHeight="false" outlineLevel="0" collapsed="false">
      <c r="A683" s="9"/>
      <c r="B683" s="9"/>
      <c r="C683" s="11"/>
      <c r="D683" s="9"/>
      <c r="E683" s="9"/>
      <c r="F683" s="22" t="str">
        <f aca="false">IF(E683="","",IFERROR(INDEX(02_INDICADORES!$B$2:$B$42,MATCH(E683,02_INDICADORES!$A$2:$A$42,0)),"ID?"))</f>
        <v/>
      </c>
      <c r="G683" s="21" t="str">
        <f aca="false">IF(E683="","",IFERROR(INDEX(02_INDICADORES!$C$2:$C$42,MATCH(E683,02_INDICADORES!$A$2:$A$42,0)),"ID?"))</f>
        <v/>
      </c>
      <c r="H683" s="22" t="str">
        <f aca="false">IF(E683="","",IFERROR(INDEX(02_INDICADORES!$D$2:$D$42,MATCH(E683,02_INDICADORES!$A$2:$A$42,0)),""))</f>
        <v/>
      </c>
      <c r="I683" s="9"/>
      <c r="J683" s="16" t="str">
        <f aca="false">IF(OR(I683="",H683=""),"",I683*H683)</f>
        <v/>
      </c>
      <c r="K683" s="9"/>
      <c r="L683" s="9"/>
      <c r="M683" s="9"/>
    </row>
    <row r="684" customFormat="false" ht="15" hidden="false" customHeight="false" outlineLevel="0" collapsed="false">
      <c r="A684" s="9"/>
      <c r="B684" s="9"/>
      <c r="C684" s="11"/>
      <c r="D684" s="9"/>
      <c r="E684" s="9"/>
      <c r="F684" s="22" t="str">
        <f aca="false">IF(E684="","",IFERROR(INDEX(02_INDICADORES!$B$2:$B$42,MATCH(E684,02_INDICADORES!$A$2:$A$42,0)),"ID?"))</f>
        <v/>
      </c>
      <c r="G684" s="21" t="str">
        <f aca="false">IF(E684="","",IFERROR(INDEX(02_INDICADORES!$C$2:$C$42,MATCH(E684,02_INDICADORES!$A$2:$A$42,0)),"ID?"))</f>
        <v/>
      </c>
      <c r="H684" s="22" t="str">
        <f aca="false">IF(E684="","",IFERROR(INDEX(02_INDICADORES!$D$2:$D$42,MATCH(E684,02_INDICADORES!$A$2:$A$42,0)),""))</f>
        <v/>
      </c>
      <c r="I684" s="9"/>
      <c r="J684" s="16" t="str">
        <f aca="false">IF(OR(I684="",H684=""),"",I684*H684)</f>
        <v/>
      </c>
      <c r="K684" s="9"/>
      <c r="L684" s="9"/>
      <c r="M684" s="9"/>
    </row>
    <row r="685" customFormat="false" ht="15" hidden="false" customHeight="false" outlineLevel="0" collapsed="false">
      <c r="A685" s="9"/>
      <c r="B685" s="9"/>
      <c r="C685" s="11"/>
      <c r="D685" s="9"/>
      <c r="E685" s="9"/>
      <c r="F685" s="22" t="str">
        <f aca="false">IF(E685="","",IFERROR(INDEX(02_INDICADORES!$B$2:$B$42,MATCH(E685,02_INDICADORES!$A$2:$A$42,0)),"ID?"))</f>
        <v/>
      </c>
      <c r="G685" s="21" t="str">
        <f aca="false">IF(E685="","",IFERROR(INDEX(02_INDICADORES!$C$2:$C$42,MATCH(E685,02_INDICADORES!$A$2:$A$42,0)),"ID?"))</f>
        <v/>
      </c>
      <c r="H685" s="22" t="str">
        <f aca="false">IF(E685="","",IFERROR(INDEX(02_INDICADORES!$D$2:$D$42,MATCH(E685,02_INDICADORES!$A$2:$A$42,0)),""))</f>
        <v/>
      </c>
      <c r="I685" s="9"/>
      <c r="J685" s="16" t="str">
        <f aca="false">IF(OR(I685="",H685=""),"",I685*H685)</f>
        <v/>
      </c>
      <c r="K685" s="9"/>
      <c r="L685" s="9"/>
      <c r="M685" s="9"/>
    </row>
    <row r="686" customFormat="false" ht="15" hidden="false" customHeight="false" outlineLevel="0" collapsed="false">
      <c r="A686" s="9"/>
      <c r="B686" s="9"/>
      <c r="C686" s="11"/>
      <c r="D686" s="9"/>
      <c r="E686" s="9"/>
      <c r="F686" s="22" t="str">
        <f aca="false">IF(E686="","",IFERROR(INDEX(02_INDICADORES!$B$2:$B$42,MATCH(E686,02_INDICADORES!$A$2:$A$42,0)),"ID?"))</f>
        <v/>
      </c>
      <c r="G686" s="21" t="str">
        <f aca="false">IF(E686="","",IFERROR(INDEX(02_INDICADORES!$C$2:$C$42,MATCH(E686,02_INDICADORES!$A$2:$A$42,0)),"ID?"))</f>
        <v/>
      </c>
      <c r="H686" s="22" t="str">
        <f aca="false">IF(E686="","",IFERROR(INDEX(02_INDICADORES!$D$2:$D$42,MATCH(E686,02_INDICADORES!$A$2:$A$42,0)),""))</f>
        <v/>
      </c>
      <c r="I686" s="9"/>
      <c r="J686" s="16" t="str">
        <f aca="false">IF(OR(I686="",H686=""),"",I686*H686)</f>
        <v/>
      </c>
      <c r="K686" s="9"/>
      <c r="L686" s="9"/>
      <c r="M686" s="9"/>
    </row>
    <row r="687" customFormat="false" ht="15" hidden="false" customHeight="false" outlineLevel="0" collapsed="false">
      <c r="A687" s="9"/>
      <c r="B687" s="9"/>
      <c r="C687" s="11"/>
      <c r="D687" s="9"/>
      <c r="E687" s="9"/>
      <c r="F687" s="22" t="str">
        <f aca="false">IF(E687="","",IFERROR(INDEX(02_INDICADORES!$B$2:$B$42,MATCH(E687,02_INDICADORES!$A$2:$A$42,0)),"ID?"))</f>
        <v/>
      </c>
      <c r="G687" s="21" t="str">
        <f aca="false">IF(E687="","",IFERROR(INDEX(02_INDICADORES!$C$2:$C$42,MATCH(E687,02_INDICADORES!$A$2:$A$42,0)),"ID?"))</f>
        <v/>
      </c>
      <c r="H687" s="22" t="str">
        <f aca="false">IF(E687="","",IFERROR(INDEX(02_INDICADORES!$D$2:$D$42,MATCH(E687,02_INDICADORES!$A$2:$A$42,0)),""))</f>
        <v/>
      </c>
      <c r="I687" s="9"/>
      <c r="J687" s="16" t="str">
        <f aca="false">IF(OR(I687="",H687=""),"",I687*H687)</f>
        <v/>
      </c>
      <c r="K687" s="9"/>
      <c r="L687" s="9"/>
      <c r="M687" s="9"/>
    </row>
    <row r="688" customFormat="false" ht="15" hidden="false" customHeight="false" outlineLevel="0" collapsed="false">
      <c r="A688" s="9"/>
      <c r="B688" s="9"/>
      <c r="C688" s="11"/>
      <c r="D688" s="9"/>
      <c r="E688" s="9"/>
      <c r="F688" s="22" t="str">
        <f aca="false">IF(E688="","",IFERROR(INDEX(02_INDICADORES!$B$2:$B$42,MATCH(E688,02_INDICADORES!$A$2:$A$42,0)),"ID?"))</f>
        <v/>
      </c>
      <c r="G688" s="21" t="str">
        <f aca="false">IF(E688="","",IFERROR(INDEX(02_INDICADORES!$C$2:$C$42,MATCH(E688,02_INDICADORES!$A$2:$A$42,0)),"ID?"))</f>
        <v/>
      </c>
      <c r="H688" s="22" t="str">
        <f aca="false">IF(E688="","",IFERROR(INDEX(02_INDICADORES!$D$2:$D$42,MATCH(E688,02_INDICADORES!$A$2:$A$42,0)),""))</f>
        <v/>
      </c>
      <c r="I688" s="9"/>
      <c r="J688" s="16" t="str">
        <f aca="false">IF(OR(I688="",H688=""),"",I688*H688)</f>
        <v/>
      </c>
      <c r="K688" s="9"/>
      <c r="L688" s="9"/>
      <c r="M688" s="9"/>
    </row>
    <row r="689" customFormat="false" ht="15" hidden="false" customHeight="false" outlineLevel="0" collapsed="false">
      <c r="A689" s="9"/>
      <c r="B689" s="9"/>
      <c r="C689" s="11"/>
      <c r="D689" s="9"/>
      <c r="E689" s="9"/>
      <c r="F689" s="22" t="str">
        <f aca="false">IF(E689="","",IFERROR(INDEX(02_INDICADORES!$B$2:$B$42,MATCH(E689,02_INDICADORES!$A$2:$A$42,0)),"ID?"))</f>
        <v/>
      </c>
      <c r="G689" s="21" t="str">
        <f aca="false">IF(E689="","",IFERROR(INDEX(02_INDICADORES!$C$2:$C$42,MATCH(E689,02_INDICADORES!$A$2:$A$42,0)),"ID?"))</f>
        <v/>
      </c>
      <c r="H689" s="22" t="str">
        <f aca="false">IF(E689="","",IFERROR(INDEX(02_INDICADORES!$D$2:$D$42,MATCH(E689,02_INDICADORES!$A$2:$A$42,0)),""))</f>
        <v/>
      </c>
      <c r="I689" s="9"/>
      <c r="J689" s="16" t="str">
        <f aca="false">IF(OR(I689="",H689=""),"",I689*H689)</f>
        <v/>
      </c>
      <c r="K689" s="9"/>
      <c r="L689" s="9"/>
      <c r="M689" s="9"/>
    </row>
    <row r="690" customFormat="false" ht="15" hidden="false" customHeight="false" outlineLevel="0" collapsed="false">
      <c r="A690" s="9"/>
      <c r="B690" s="9"/>
      <c r="C690" s="11"/>
      <c r="D690" s="9"/>
      <c r="E690" s="9"/>
      <c r="F690" s="22" t="str">
        <f aca="false">IF(E690="","",IFERROR(INDEX(02_INDICADORES!$B$2:$B$42,MATCH(E690,02_INDICADORES!$A$2:$A$42,0)),"ID?"))</f>
        <v/>
      </c>
      <c r="G690" s="21" t="str">
        <f aca="false">IF(E690="","",IFERROR(INDEX(02_INDICADORES!$C$2:$C$42,MATCH(E690,02_INDICADORES!$A$2:$A$42,0)),"ID?"))</f>
        <v/>
      </c>
      <c r="H690" s="22" t="str">
        <f aca="false">IF(E690="","",IFERROR(INDEX(02_INDICADORES!$D$2:$D$42,MATCH(E690,02_INDICADORES!$A$2:$A$42,0)),""))</f>
        <v/>
      </c>
      <c r="I690" s="9"/>
      <c r="J690" s="16" t="str">
        <f aca="false">IF(OR(I690="",H690=""),"",I690*H690)</f>
        <v/>
      </c>
      <c r="K690" s="9"/>
      <c r="L690" s="9"/>
      <c r="M690" s="9"/>
    </row>
    <row r="691" customFormat="false" ht="15" hidden="false" customHeight="false" outlineLevel="0" collapsed="false">
      <c r="A691" s="9"/>
      <c r="B691" s="9"/>
      <c r="C691" s="11"/>
      <c r="D691" s="9"/>
      <c r="E691" s="9"/>
      <c r="F691" s="22" t="str">
        <f aca="false">IF(E691="","",IFERROR(INDEX(02_INDICADORES!$B$2:$B$42,MATCH(E691,02_INDICADORES!$A$2:$A$42,0)),"ID?"))</f>
        <v/>
      </c>
      <c r="G691" s="21" t="str">
        <f aca="false">IF(E691="","",IFERROR(INDEX(02_INDICADORES!$C$2:$C$42,MATCH(E691,02_INDICADORES!$A$2:$A$42,0)),"ID?"))</f>
        <v/>
      </c>
      <c r="H691" s="22" t="str">
        <f aca="false">IF(E691="","",IFERROR(INDEX(02_INDICADORES!$D$2:$D$42,MATCH(E691,02_INDICADORES!$A$2:$A$42,0)),""))</f>
        <v/>
      </c>
      <c r="I691" s="9"/>
      <c r="J691" s="16" t="str">
        <f aca="false">IF(OR(I691="",H691=""),"",I691*H691)</f>
        <v/>
      </c>
      <c r="K691" s="9"/>
      <c r="L691" s="9"/>
      <c r="M691" s="9"/>
    </row>
    <row r="692" customFormat="false" ht="15" hidden="false" customHeight="false" outlineLevel="0" collapsed="false">
      <c r="A692" s="9"/>
      <c r="B692" s="9"/>
      <c r="C692" s="11"/>
      <c r="D692" s="9"/>
      <c r="E692" s="9"/>
      <c r="F692" s="22" t="str">
        <f aca="false">IF(E692="","",IFERROR(INDEX(02_INDICADORES!$B$2:$B$42,MATCH(E692,02_INDICADORES!$A$2:$A$42,0)),"ID?"))</f>
        <v/>
      </c>
      <c r="G692" s="21" t="str">
        <f aca="false">IF(E692="","",IFERROR(INDEX(02_INDICADORES!$C$2:$C$42,MATCH(E692,02_INDICADORES!$A$2:$A$42,0)),"ID?"))</f>
        <v/>
      </c>
      <c r="H692" s="22" t="str">
        <f aca="false">IF(E692="","",IFERROR(INDEX(02_INDICADORES!$D$2:$D$42,MATCH(E692,02_INDICADORES!$A$2:$A$42,0)),""))</f>
        <v/>
      </c>
      <c r="I692" s="9"/>
      <c r="J692" s="16" t="str">
        <f aca="false">IF(OR(I692="",H692=""),"",I692*H692)</f>
        <v/>
      </c>
      <c r="K692" s="9"/>
      <c r="L692" s="9"/>
      <c r="M692" s="9"/>
    </row>
    <row r="693" customFormat="false" ht="15" hidden="false" customHeight="false" outlineLevel="0" collapsed="false">
      <c r="A693" s="9"/>
      <c r="B693" s="9"/>
      <c r="C693" s="11"/>
      <c r="D693" s="9"/>
      <c r="E693" s="9"/>
      <c r="F693" s="22" t="str">
        <f aca="false">IF(E693="","",IFERROR(INDEX(02_INDICADORES!$B$2:$B$42,MATCH(E693,02_INDICADORES!$A$2:$A$42,0)),"ID?"))</f>
        <v/>
      </c>
      <c r="G693" s="21" t="str">
        <f aca="false">IF(E693="","",IFERROR(INDEX(02_INDICADORES!$C$2:$C$42,MATCH(E693,02_INDICADORES!$A$2:$A$42,0)),"ID?"))</f>
        <v/>
      </c>
      <c r="H693" s="22" t="str">
        <f aca="false">IF(E693="","",IFERROR(INDEX(02_INDICADORES!$D$2:$D$42,MATCH(E693,02_INDICADORES!$A$2:$A$42,0)),""))</f>
        <v/>
      </c>
      <c r="I693" s="9"/>
      <c r="J693" s="16" t="str">
        <f aca="false">IF(OR(I693="",H693=""),"",I693*H693)</f>
        <v/>
      </c>
      <c r="K693" s="9"/>
      <c r="L693" s="9"/>
      <c r="M693" s="9"/>
    </row>
    <row r="694" customFormat="false" ht="15" hidden="false" customHeight="false" outlineLevel="0" collapsed="false">
      <c r="A694" s="9"/>
      <c r="B694" s="9"/>
      <c r="C694" s="11"/>
      <c r="D694" s="9"/>
      <c r="E694" s="9"/>
      <c r="F694" s="22" t="str">
        <f aca="false">IF(E694="","",IFERROR(INDEX(02_INDICADORES!$B$2:$B$42,MATCH(E694,02_INDICADORES!$A$2:$A$42,0)),"ID?"))</f>
        <v/>
      </c>
      <c r="G694" s="21" t="str">
        <f aca="false">IF(E694="","",IFERROR(INDEX(02_INDICADORES!$C$2:$C$42,MATCH(E694,02_INDICADORES!$A$2:$A$42,0)),"ID?"))</f>
        <v/>
      </c>
      <c r="H694" s="22" t="str">
        <f aca="false">IF(E694="","",IFERROR(INDEX(02_INDICADORES!$D$2:$D$42,MATCH(E694,02_INDICADORES!$A$2:$A$42,0)),""))</f>
        <v/>
      </c>
      <c r="I694" s="9"/>
      <c r="J694" s="16" t="str">
        <f aca="false">IF(OR(I694="",H694=""),"",I694*H694)</f>
        <v/>
      </c>
      <c r="K694" s="9"/>
      <c r="L694" s="9"/>
      <c r="M694" s="9"/>
    </row>
    <row r="695" customFormat="false" ht="15" hidden="false" customHeight="false" outlineLevel="0" collapsed="false">
      <c r="A695" s="9"/>
      <c r="B695" s="9"/>
      <c r="C695" s="11"/>
      <c r="D695" s="9"/>
      <c r="E695" s="9"/>
      <c r="F695" s="22" t="str">
        <f aca="false">IF(E695="","",IFERROR(INDEX(02_INDICADORES!$B$2:$B$42,MATCH(E695,02_INDICADORES!$A$2:$A$42,0)),"ID?"))</f>
        <v/>
      </c>
      <c r="G695" s="21" t="str">
        <f aca="false">IF(E695="","",IFERROR(INDEX(02_INDICADORES!$C$2:$C$42,MATCH(E695,02_INDICADORES!$A$2:$A$42,0)),"ID?"))</f>
        <v/>
      </c>
      <c r="H695" s="22" t="str">
        <f aca="false">IF(E695="","",IFERROR(INDEX(02_INDICADORES!$D$2:$D$42,MATCH(E695,02_INDICADORES!$A$2:$A$42,0)),""))</f>
        <v/>
      </c>
      <c r="I695" s="9"/>
      <c r="J695" s="16" t="str">
        <f aca="false">IF(OR(I695="",H695=""),"",I695*H695)</f>
        <v/>
      </c>
      <c r="K695" s="9"/>
      <c r="L695" s="9"/>
      <c r="M695" s="9"/>
    </row>
    <row r="696" customFormat="false" ht="15" hidden="false" customHeight="false" outlineLevel="0" collapsed="false">
      <c r="A696" s="9"/>
      <c r="B696" s="9"/>
      <c r="C696" s="11"/>
      <c r="D696" s="9"/>
      <c r="E696" s="9"/>
      <c r="F696" s="22" t="str">
        <f aca="false">IF(E696="","",IFERROR(INDEX(02_INDICADORES!$B$2:$B$42,MATCH(E696,02_INDICADORES!$A$2:$A$42,0)),"ID?"))</f>
        <v/>
      </c>
      <c r="G696" s="21" t="str">
        <f aca="false">IF(E696="","",IFERROR(INDEX(02_INDICADORES!$C$2:$C$42,MATCH(E696,02_INDICADORES!$A$2:$A$42,0)),"ID?"))</f>
        <v/>
      </c>
      <c r="H696" s="22" t="str">
        <f aca="false">IF(E696="","",IFERROR(INDEX(02_INDICADORES!$D$2:$D$42,MATCH(E696,02_INDICADORES!$A$2:$A$42,0)),""))</f>
        <v/>
      </c>
      <c r="I696" s="9"/>
      <c r="J696" s="16" t="str">
        <f aca="false">IF(OR(I696="",H696=""),"",I696*H696)</f>
        <v/>
      </c>
      <c r="K696" s="9"/>
      <c r="L696" s="9"/>
      <c r="M696" s="9"/>
    </row>
    <row r="697" customFormat="false" ht="15" hidden="false" customHeight="false" outlineLevel="0" collapsed="false">
      <c r="A697" s="9"/>
      <c r="B697" s="9"/>
      <c r="C697" s="11"/>
      <c r="D697" s="9"/>
      <c r="E697" s="9"/>
      <c r="F697" s="22" t="str">
        <f aca="false">IF(E697="","",IFERROR(INDEX(02_INDICADORES!$B$2:$B$42,MATCH(E697,02_INDICADORES!$A$2:$A$42,0)),"ID?"))</f>
        <v/>
      </c>
      <c r="G697" s="21" t="str">
        <f aca="false">IF(E697="","",IFERROR(INDEX(02_INDICADORES!$C$2:$C$42,MATCH(E697,02_INDICADORES!$A$2:$A$42,0)),"ID?"))</f>
        <v/>
      </c>
      <c r="H697" s="22" t="str">
        <f aca="false">IF(E697="","",IFERROR(INDEX(02_INDICADORES!$D$2:$D$42,MATCH(E697,02_INDICADORES!$A$2:$A$42,0)),""))</f>
        <v/>
      </c>
      <c r="I697" s="9"/>
      <c r="J697" s="16" t="str">
        <f aca="false">IF(OR(I697="",H697=""),"",I697*H697)</f>
        <v/>
      </c>
      <c r="K697" s="9"/>
      <c r="L697" s="9"/>
      <c r="M697" s="9"/>
    </row>
    <row r="698" customFormat="false" ht="15" hidden="false" customHeight="false" outlineLevel="0" collapsed="false">
      <c r="A698" s="9"/>
      <c r="B698" s="9"/>
      <c r="C698" s="11"/>
      <c r="D698" s="9"/>
      <c r="E698" s="9"/>
      <c r="F698" s="22" t="str">
        <f aca="false">IF(E698="","",IFERROR(INDEX(02_INDICADORES!$B$2:$B$42,MATCH(E698,02_INDICADORES!$A$2:$A$42,0)),"ID?"))</f>
        <v/>
      </c>
      <c r="G698" s="21" t="str">
        <f aca="false">IF(E698="","",IFERROR(INDEX(02_INDICADORES!$C$2:$C$42,MATCH(E698,02_INDICADORES!$A$2:$A$42,0)),"ID?"))</f>
        <v/>
      </c>
      <c r="H698" s="22" t="str">
        <f aca="false">IF(E698="","",IFERROR(INDEX(02_INDICADORES!$D$2:$D$42,MATCH(E698,02_INDICADORES!$A$2:$A$42,0)),""))</f>
        <v/>
      </c>
      <c r="I698" s="9"/>
      <c r="J698" s="16" t="str">
        <f aca="false">IF(OR(I698="",H698=""),"",I698*H698)</f>
        <v/>
      </c>
      <c r="K698" s="9"/>
      <c r="L698" s="9"/>
      <c r="M698" s="9"/>
    </row>
    <row r="699" customFormat="false" ht="15" hidden="false" customHeight="false" outlineLevel="0" collapsed="false">
      <c r="A699" s="9"/>
      <c r="B699" s="9"/>
      <c r="C699" s="11"/>
      <c r="D699" s="9"/>
      <c r="E699" s="9"/>
      <c r="F699" s="22" t="str">
        <f aca="false">IF(E699="","",IFERROR(INDEX(02_INDICADORES!$B$2:$B$42,MATCH(E699,02_INDICADORES!$A$2:$A$42,0)),"ID?"))</f>
        <v/>
      </c>
      <c r="G699" s="21" t="str">
        <f aca="false">IF(E699="","",IFERROR(INDEX(02_INDICADORES!$C$2:$C$42,MATCH(E699,02_INDICADORES!$A$2:$A$42,0)),"ID?"))</f>
        <v/>
      </c>
      <c r="H699" s="22" t="str">
        <f aca="false">IF(E699="","",IFERROR(INDEX(02_INDICADORES!$D$2:$D$42,MATCH(E699,02_INDICADORES!$A$2:$A$42,0)),""))</f>
        <v/>
      </c>
      <c r="I699" s="9"/>
      <c r="J699" s="16" t="str">
        <f aca="false">IF(OR(I699="",H699=""),"",I699*H699)</f>
        <v/>
      </c>
      <c r="K699" s="9"/>
      <c r="L699" s="9"/>
      <c r="M699" s="9"/>
    </row>
    <row r="700" customFormat="false" ht="15" hidden="false" customHeight="false" outlineLevel="0" collapsed="false">
      <c r="A700" s="9"/>
      <c r="B700" s="9"/>
      <c r="C700" s="11"/>
      <c r="D700" s="9"/>
      <c r="E700" s="9"/>
      <c r="F700" s="22" t="str">
        <f aca="false">IF(E700="","",IFERROR(INDEX(02_INDICADORES!$B$2:$B$42,MATCH(E700,02_INDICADORES!$A$2:$A$42,0)),"ID?"))</f>
        <v/>
      </c>
      <c r="G700" s="21" t="str">
        <f aca="false">IF(E700="","",IFERROR(INDEX(02_INDICADORES!$C$2:$C$42,MATCH(E700,02_INDICADORES!$A$2:$A$42,0)),"ID?"))</f>
        <v/>
      </c>
      <c r="H700" s="22" t="str">
        <f aca="false">IF(E700="","",IFERROR(INDEX(02_INDICADORES!$D$2:$D$42,MATCH(E700,02_INDICADORES!$A$2:$A$42,0)),""))</f>
        <v/>
      </c>
      <c r="I700" s="9"/>
      <c r="J700" s="16" t="str">
        <f aca="false">IF(OR(I700="",H700=""),"",I700*H700)</f>
        <v/>
      </c>
      <c r="K700" s="9"/>
      <c r="L700" s="9"/>
      <c r="M700" s="9"/>
    </row>
    <row r="701" customFormat="false" ht="15" hidden="false" customHeight="false" outlineLevel="0" collapsed="false">
      <c r="A701" s="9"/>
      <c r="B701" s="9"/>
      <c r="C701" s="11"/>
      <c r="D701" s="9"/>
      <c r="E701" s="9"/>
      <c r="F701" s="22" t="str">
        <f aca="false">IF(E701="","",IFERROR(INDEX(02_INDICADORES!$B$2:$B$42,MATCH(E701,02_INDICADORES!$A$2:$A$42,0)),"ID?"))</f>
        <v/>
      </c>
      <c r="G701" s="21" t="str">
        <f aca="false">IF(E701="","",IFERROR(INDEX(02_INDICADORES!$C$2:$C$42,MATCH(E701,02_INDICADORES!$A$2:$A$42,0)),"ID?"))</f>
        <v/>
      </c>
      <c r="H701" s="22" t="str">
        <f aca="false">IF(E701="","",IFERROR(INDEX(02_INDICADORES!$D$2:$D$42,MATCH(E701,02_INDICADORES!$A$2:$A$42,0)),""))</f>
        <v/>
      </c>
      <c r="I701" s="9"/>
      <c r="J701" s="16" t="str">
        <f aca="false">IF(OR(I701="",H701=""),"",I701*H701)</f>
        <v/>
      </c>
      <c r="K701" s="9"/>
      <c r="L701" s="9"/>
      <c r="M701" s="9"/>
    </row>
    <row r="702" customFormat="false" ht="15" hidden="false" customHeight="false" outlineLevel="0" collapsed="false">
      <c r="A702" s="9"/>
      <c r="B702" s="9"/>
      <c r="C702" s="11"/>
      <c r="D702" s="9"/>
      <c r="E702" s="9"/>
      <c r="F702" s="22" t="str">
        <f aca="false">IF(E702="","",IFERROR(INDEX(02_INDICADORES!$B$2:$B$42,MATCH(E702,02_INDICADORES!$A$2:$A$42,0)),"ID?"))</f>
        <v/>
      </c>
      <c r="G702" s="21" t="str">
        <f aca="false">IF(E702="","",IFERROR(INDEX(02_INDICADORES!$C$2:$C$42,MATCH(E702,02_INDICADORES!$A$2:$A$42,0)),"ID?"))</f>
        <v/>
      </c>
      <c r="H702" s="22" t="str">
        <f aca="false">IF(E702="","",IFERROR(INDEX(02_INDICADORES!$D$2:$D$42,MATCH(E702,02_INDICADORES!$A$2:$A$42,0)),""))</f>
        <v/>
      </c>
      <c r="I702" s="9"/>
      <c r="J702" s="16" t="str">
        <f aca="false">IF(OR(I702="",H702=""),"",I702*H702)</f>
        <v/>
      </c>
      <c r="K702" s="9"/>
      <c r="L702" s="9"/>
      <c r="M702" s="9"/>
    </row>
    <row r="703" customFormat="false" ht="15" hidden="false" customHeight="false" outlineLevel="0" collapsed="false">
      <c r="A703" s="9"/>
      <c r="B703" s="9"/>
      <c r="C703" s="11"/>
      <c r="D703" s="9"/>
      <c r="E703" s="9"/>
      <c r="F703" s="22" t="str">
        <f aca="false">IF(E703="","",IFERROR(INDEX(02_INDICADORES!$B$2:$B$42,MATCH(E703,02_INDICADORES!$A$2:$A$42,0)),"ID?"))</f>
        <v/>
      </c>
      <c r="G703" s="21" t="str">
        <f aca="false">IF(E703="","",IFERROR(INDEX(02_INDICADORES!$C$2:$C$42,MATCH(E703,02_INDICADORES!$A$2:$A$42,0)),"ID?"))</f>
        <v/>
      </c>
      <c r="H703" s="22" t="str">
        <f aca="false">IF(E703="","",IFERROR(INDEX(02_INDICADORES!$D$2:$D$42,MATCH(E703,02_INDICADORES!$A$2:$A$42,0)),""))</f>
        <v/>
      </c>
      <c r="I703" s="9"/>
      <c r="J703" s="16" t="str">
        <f aca="false">IF(OR(I703="",H703=""),"",I703*H703)</f>
        <v/>
      </c>
      <c r="K703" s="9"/>
      <c r="L703" s="9"/>
      <c r="M703" s="9"/>
    </row>
    <row r="704" customFormat="false" ht="15" hidden="false" customHeight="false" outlineLevel="0" collapsed="false">
      <c r="A704" s="9"/>
      <c r="B704" s="9"/>
      <c r="C704" s="11"/>
      <c r="D704" s="9"/>
      <c r="E704" s="9"/>
      <c r="F704" s="22" t="str">
        <f aca="false">IF(E704="","",IFERROR(INDEX(02_INDICADORES!$B$2:$B$42,MATCH(E704,02_INDICADORES!$A$2:$A$42,0)),"ID?"))</f>
        <v/>
      </c>
      <c r="G704" s="21" t="str">
        <f aca="false">IF(E704="","",IFERROR(INDEX(02_INDICADORES!$C$2:$C$42,MATCH(E704,02_INDICADORES!$A$2:$A$42,0)),"ID?"))</f>
        <v/>
      </c>
      <c r="H704" s="22" t="str">
        <f aca="false">IF(E704="","",IFERROR(INDEX(02_INDICADORES!$D$2:$D$42,MATCH(E704,02_INDICADORES!$A$2:$A$42,0)),""))</f>
        <v/>
      </c>
      <c r="I704" s="9"/>
      <c r="J704" s="16" t="str">
        <f aca="false">IF(OR(I704="",H704=""),"",I704*H704)</f>
        <v/>
      </c>
      <c r="K704" s="9"/>
      <c r="L704" s="9"/>
      <c r="M704" s="9"/>
    </row>
    <row r="705" customFormat="false" ht="15" hidden="false" customHeight="false" outlineLevel="0" collapsed="false">
      <c r="A705" s="9"/>
      <c r="B705" s="9"/>
      <c r="C705" s="11"/>
      <c r="D705" s="9"/>
      <c r="E705" s="9"/>
      <c r="F705" s="22" t="str">
        <f aca="false">IF(E705="","",IFERROR(INDEX(02_INDICADORES!$B$2:$B$42,MATCH(E705,02_INDICADORES!$A$2:$A$42,0)),"ID?"))</f>
        <v/>
      </c>
      <c r="G705" s="21" t="str">
        <f aca="false">IF(E705="","",IFERROR(INDEX(02_INDICADORES!$C$2:$C$42,MATCH(E705,02_INDICADORES!$A$2:$A$42,0)),"ID?"))</f>
        <v/>
      </c>
      <c r="H705" s="22" t="str">
        <f aca="false">IF(E705="","",IFERROR(INDEX(02_INDICADORES!$D$2:$D$42,MATCH(E705,02_INDICADORES!$A$2:$A$42,0)),""))</f>
        <v/>
      </c>
      <c r="I705" s="9"/>
      <c r="J705" s="16" t="str">
        <f aca="false">IF(OR(I705="",H705=""),"",I705*H705)</f>
        <v/>
      </c>
      <c r="K705" s="9"/>
      <c r="L705" s="9"/>
      <c r="M705" s="9"/>
    </row>
    <row r="706" customFormat="false" ht="15" hidden="false" customHeight="false" outlineLevel="0" collapsed="false">
      <c r="A706" s="9"/>
      <c r="B706" s="9"/>
      <c r="C706" s="11"/>
      <c r="D706" s="9"/>
      <c r="E706" s="9"/>
      <c r="F706" s="22" t="str">
        <f aca="false">IF(E706="","",IFERROR(INDEX(02_INDICADORES!$B$2:$B$42,MATCH(E706,02_INDICADORES!$A$2:$A$42,0)),"ID?"))</f>
        <v/>
      </c>
      <c r="G706" s="21" t="str">
        <f aca="false">IF(E706="","",IFERROR(INDEX(02_INDICADORES!$C$2:$C$42,MATCH(E706,02_INDICADORES!$A$2:$A$42,0)),"ID?"))</f>
        <v/>
      </c>
      <c r="H706" s="22" t="str">
        <f aca="false">IF(E706="","",IFERROR(INDEX(02_INDICADORES!$D$2:$D$42,MATCH(E706,02_INDICADORES!$A$2:$A$42,0)),""))</f>
        <v/>
      </c>
      <c r="I706" s="9"/>
      <c r="J706" s="16" t="str">
        <f aca="false">IF(OR(I706="",H706=""),"",I706*H706)</f>
        <v/>
      </c>
      <c r="K706" s="9"/>
      <c r="L706" s="9"/>
      <c r="M706" s="9"/>
    </row>
    <row r="707" customFormat="false" ht="15" hidden="false" customHeight="false" outlineLevel="0" collapsed="false">
      <c r="A707" s="9"/>
      <c r="B707" s="9"/>
      <c r="C707" s="11"/>
      <c r="D707" s="9"/>
      <c r="E707" s="9"/>
      <c r="F707" s="22" t="str">
        <f aca="false">IF(E707="","",IFERROR(INDEX(02_INDICADORES!$B$2:$B$42,MATCH(E707,02_INDICADORES!$A$2:$A$42,0)),"ID?"))</f>
        <v/>
      </c>
      <c r="G707" s="21" t="str">
        <f aca="false">IF(E707="","",IFERROR(INDEX(02_INDICADORES!$C$2:$C$42,MATCH(E707,02_INDICADORES!$A$2:$A$42,0)),"ID?"))</f>
        <v/>
      </c>
      <c r="H707" s="22" t="str">
        <f aca="false">IF(E707="","",IFERROR(INDEX(02_INDICADORES!$D$2:$D$42,MATCH(E707,02_INDICADORES!$A$2:$A$42,0)),""))</f>
        <v/>
      </c>
      <c r="I707" s="9"/>
      <c r="J707" s="16" t="str">
        <f aca="false">IF(OR(I707="",H707=""),"",I707*H707)</f>
        <v/>
      </c>
      <c r="K707" s="9"/>
      <c r="L707" s="9"/>
      <c r="M707" s="9"/>
    </row>
    <row r="708" customFormat="false" ht="15" hidden="false" customHeight="false" outlineLevel="0" collapsed="false">
      <c r="A708" s="9"/>
      <c r="B708" s="9"/>
      <c r="C708" s="11"/>
      <c r="D708" s="9"/>
      <c r="E708" s="9"/>
      <c r="F708" s="22" t="str">
        <f aca="false">IF(E708="","",IFERROR(INDEX(02_INDICADORES!$B$2:$B$42,MATCH(E708,02_INDICADORES!$A$2:$A$42,0)),"ID?"))</f>
        <v/>
      </c>
      <c r="G708" s="21" t="str">
        <f aca="false">IF(E708="","",IFERROR(INDEX(02_INDICADORES!$C$2:$C$42,MATCH(E708,02_INDICADORES!$A$2:$A$42,0)),"ID?"))</f>
        <v/>
      </c>
      <c r="H708" s="22" t="str">
        <f aca="false">IF(E708="","",IFERROR(INDEX(02_INDICADORES!$D$2:$D$42,MATCH(E708,02_INDICADORES!$A$2:$A$42,0)),""))</f>
        <v/>
      </c>
      <c r="I708" s="9"/>
      <c r="J708" s="16" t="str">
        <f aca="false">IF(OR(I708="",H708=""),"",I708*H708)</f>
        <v/>
      </c>
      <c r="K708" s="9"/>
      <c r="L708" s="9"/>
      <c r="M708" s="9"/>
    </row>
    <row r="709" customFormat="false" ht="15" hidden="false" customHeight="false" outlineLevel="0" collapsed="false">
      <c r="A709" s="9"/>
      <c r="B709" s="9"/>
      <c r="C709" s="11"/>
      <c r="D709" s="9"/>
      <c r="E709" s="9"/>
      <c r="F709" s="22" t="str">
        <f aca="false">IF(E709="","",IFERROR(INDEX(02_INDICADORES!$B$2:$B$42,MATCH(E709,02_INDICADORES!$A$2:$A$42,0)),"ID?"))</f>
        <v/>
      </c>
      <c r="G709" s="21" t="str">
        <f aca="false">IF(E709="","",IFERROR(INDEX(02_INDICADORES!$C$2:$C$42,MATCH(E709,02_INDICADORES!$A$2:$A$42,0)),"ID?"))</f>
        <v/>
      </c>
      <c r="H709" s="22" t="str">
        <f aca="false">IF(E709="","",IFERROR(INDEX(02_INDICADORES!$D$2:$D$42,MATCH(E709,02_INDICADORES!$A$2:$A$42,0)),""))</f>
        <v/>
      </c>
      <c r="I709" s="9"/>
      <c r="J709" s="16" t="str">
        <f aca="false">IF(OR(I709="",H709=""),"",I709*H709)</f>
        <v/>
      </c>
      <c r="K709" s="9"/>
      <c r="L709" s="9"/>
      <c r="M709" s="9"/>
    </row>
    <row r="710" customFormat="false" ht="15" hidden="false" customHeight="false" outlineLevel="0" collapsed="false">
      <c r="A710" s="9"/>
      <c r="B710" s="9"/>
      <c r="C710" s="11"/>
      <c r="D710" s="9"/>
      <c r="E710" s="9"/>
      <c r="F710" s="22" t="str">
        <f aca="false">IF(E710="","",IFERROR(INDEX(02_INDICADORES!$B$2:$B$42,MATCH(E710,02_INDICADORES!$A$2:$A$42,0)),"ID?"))</f>
        <v/>
      </c>
      <c r="G710" s="21" t="str">
        <f aca="false">IF(E710="","",IFERROR(INDEX(02_INDICADORES!$C$2:$C$42,MATCH(E710,02_INDICADORES!$A$2:$A$42,0)),"ID?"))</f>
        <v/>
      </c>
      <c r="H710" s="22" t="str">
        <f aca="false">IF(E710="","",IFERROR(INDEX(02_INDICADORES!$D$2:$D$42,MATCH(E710,02_INDICADORES!$A$2:$A$42,0)),""))</f>
        <v/>
      </c>
      <c r="I710" s="9"/>
      <c r="J710" s="16" t="str">
        <f aca="false">IF(OR(I710="",H710=""),"",I710*H710)</f>
        <v/>
      </c>
      <c r="K710" s="9"/>
      <c r="L710" s="9"/>
      <c r="M710" s="9"/>
    </row>
    <row r="711" customFormat="false" ht="15" hidden="false" customHeight="false" outlineLevel="0" collapsed="false">
      <c r="A711" s="9"/>
      <c r="B711" s="9"/>
      <c r="C711" s="11"/>
      <c r="D711" s="9"/>
      <c r="E711" s="9"/>
      <c r="F711" s="22" t="str">
        <f aca="false">IF(E711="","",IFERROR(INDEX(02_INDICADORES!$B$2:$B$42,MATCH(E711,02_INDICADORES!$A$2:$A$42,0)),"ID?"))</f>
        <v/>
      </c>
      <c r="G711" s="21" t="str">
        <f aca="false">IF(E711="","",IFERROR(INDEX(02_INDICADORES!$C$2:$C$42,MATCH(E711,02_INDICADORES!$A$2:$A$42,0)),"ID?"))</f>
        <v/>
      </c>
      <c r="H711" s="22" t="str">
        <f aca="false">IF(E711="","",IFERROR(INDEX(02_INDICADORES!$D$2:$D$42,MATCH(E711,02_INDICADORES!$A$2:$A$42,0)),""))</f>
        <v/>
      </c>
      <c r="I711" s="9"/>
      <c r="J711" s="16" t="str">
        <f aca="false">IF(OR(I711="",H711=""),"",I711*H711)</f>
        <v/>
      </c>
      <c r="K711" s="9"/>
      <c r="L711" s="9"/>
      <c r="M711" s="9"/>
    </row>
    <row r="712" customFormat="false" ht="15" hidden="false" customHeight="false" outlineLevel="0" collapsed="false">
      <c r="A712" s="9"/>
      <c r="B712" s="9"/>
      <c r="C712" s="11"/>
      <c r="D712" s="9"/>
      <c r="E712" s="9"/>
      <c r="F712" s="22" t="str">
        <f aca="false">IF(E712="","",IFERROR(INDEX(02_INDICADORES!$B$2:$B$42,MATCH(E712,02_INDICADORES!$A$2:$A$42,0)),"ID?"))</f>
        <v/>
      </c>
      <c r="G712" s="21" t="str">
        <f aca="false">IF(E712="","",IFERROR(INDEX(02_INDICADORES!$C$2:$C$42,MATCH(E712,02_INDICADORES!$A$2:$A$42,0)),"ID?"))</f>
        <v/>
      </c>
      <c r="H712" s="22" t="str">
        <f aca="false">IF(E712="","",IFERROR(INDEX(02_INDICADORES!$D$2:$D$42,MATCH(E712,02_INDICADORES!$A$2:$A$42,0)),""))</f>
        <v/>
      </c>
      <c r="I712" s="9"/>
      <c r="J712" s="16" t="str">
        <f aca="false">IF(OR(I712="",H712=""),"",I712*H712)</f>
        <v/>
      </c>
      <c r="K712" s="9"/>
      <c r="L712" s="9"/>
      <c r="M712" s="9"/>
    </row>
    <row r="713" customFormat="false" ht="15" hidden="false" customHeight="false" outlineLevel="0" collapsed="false">
      <c r="A713" s="9"/>
      <c r="B713" s="9"/>
      <c r="C713" s="11"/>
      <c r="D713" s="9"/>
      <c r="E713" s="9"/>
      <c r="F713" s="22" t="str">
        <f aca="false">IF(E713="","",IFERROR(INDEX(02_INDICADORES!$B$2:$B$42,MATCH(E713,02_INDICADORES!$A$2:$A$42,0)),"ID?"))</f>
        <v/>
      </c>
      <c r="G713" s="21" t="str">
        <f aca="false">IF(E713="","",IFERROR(INDEX(02_INDICADORES!$C$2:$C$42,MATCH(E713,02_INDICADORES!$A$2:$A$42,0)),"ID?"))</f>
        <v/>
      </c>
      <c r="H713" s="22" t="str">
        <f aca="false">IF(E713="","",IFERROR(INDEX(02_INDICADORES!$D$2:$D$42,MATCH(E713,02_INDICADORES!$A$2:$A$42,0)),""))</f>
        <v/>
      </c>
      <c r="I713" s="9"/>
      <c r="J713" s="16" t="str">
        <f aca="false">IF(OR(I713="",H713=""),"",I713*H713)</f>
        <v/>
      </c>
      <c r="K713" s="9"/>
      <c r="L713" s="9"/>
      <c r="M713" s="9"/>
    </row>
    <row r="714" customFormat="false" ht="15" hidden="false" customHeight="false" outlineLevel="0" collapsed="false">
      <c r="A714" s="9"/>
      <c r="B714" s="9"/>
      <c r="C714" s="11"/>
      <c r="D714" s="9"/>
      <c r="E714" s="9"/>
      <c r="F714" s="22" t="str">
        <f aca="false">IF(E714="","",IFERROR(INDEX(02_INDICADORES!$B$2:$B$42,MATCH(E714,02_INDICADORES!$A$2:$A$42,0)),"ID?"))</f>
        <v/>
      </c>
      <c r="G714" s="21" t="str">
        <f aca="false">IF(E714="","",IFERROR(INDEX(02_INDICADORES!$C$2:$C$42,MATCH(E714,02_INDICADORES!$A$2:$A$42,0)),"ID?"))</f>
        <v/>
      </c>
      <c r="H714" s="22" t="str">
        <f aca="false">IF(E714="","",IFERROR(INDEX(02_INDICADORES!$D$2:$D$42,MATCH(E714,02_INDICADORES!$A$2:$A$42,0)),""))</f>
        <v/>
      </c>
      <c r="I714" s="9"/>
      <c r="J714" s="16" t="str">
        <f aca="false">IF(OR(I714="",H714=""),"",I714*H714)</f>
        <v/>
      </c>
      <c r="K714" s="9"/>
      <c r="L714" s="9"/>
      <c r="M714" s="9"/>
    </row>
    <row r="715" customFormat="false" ht="15" hidden="false" customHeight="false" outlineLevel="0" collapsed="false">
      <c r="A715" s="9"/>
      <c r="B715" s="9"/>
      <c r="C715" s="11"/>
      <c r="D715" s="9"/>
      <c r="E715" s="9"/>
      <c r="F715" s="22" t="str">
        <f aca="false">IF(E715="","",IFERROR(INDEX(02_INDICADORES!$B$2:$B$42,MATCH(E715,02_INDICADORES!$A$2:$A$42,0)),"ID?"))</f>
        <v/>
      </c>
      <c r="G715" s="21" t="str">
        <f aca="false">IF(E715="","",IFERROR(INDEX(02_INDICADORES!$C$2:$C$42,MATCH(E715,02_INDICADORES!$A$2:$A$42,0)),"ID?"))</f>
        <v/>
      </c>
      <c r="H715" s="22" t="str">
        <f aca="false">IF(E715="","",IFERROR(INDEX(02_INDICADORES!$D$2:$D$42,MATCH(E715,02_INDICADORES!$A$2:$A$42,0)),""))</f>
        <v/>
      </c>
      <c r="I715" s="9"/>
      <c r="J715" s="16" t="str">
        <f aca="false">IF(OR(I715="",H715=""),"",I715*H715)</f>
        <v/>
      </c>
      <c r="K715" s="9"/>
      <c r="L715" s="9"/>
      <c r="M715" s="9"/>
    </row>
    <row r="716" customFormat="false" ht="15" hidden="false" customHeight="false" outlineLevel="0" collapsed="false">
      <c r="A716" s="9"/>
      <c r="B716" s="9"/>
      <c r="C716" s="11"/>
      <c r="D716" s="9"/>
      <c r="E716" s="9"/>
      <c r="F716" s="22" t="str">
        <f aca="false">IF(E716="","",IFERROR(INDEX(02_INDICADORES!$B$2:$B$42,MATCH(E716,02_INDICADORES!$A$2:$A$42,0)),"ID?"))</f>
        <v/>
      </c>
      <c r="G716" s="21" t="str">
        <f aca="false">IF(E716="","",IFERROR(INDEX(02_INDICADORES!$C$2:$C$42,MATCH(E716,02_INDICADORES!$A$2:$A$42,0)),"ID?"))</f>
        <v/>
      </c>
      <c r="H716" s="22" t="str">
        <f aca="false">IF(E716="","",IFERROR(INDEX(02_INDICADORES!$D$2:$D$42,MATCH(E716,02_INDICADORES!$A$2:$A$42,0)),""))</f>
        <v/>
      </c>
      <c r="I716" s="9"/>
      <c r="J716" s="16" t="str">
        <f aca="false">IF(OR(I716="",H716=""),"",I716*H716)</f>
        <v/>
      </c>
      <c r="K716" s="9"/>
      <c r="L716" s="9"/>
      <c r="M716" s="9"/>
    </row>
    <row r="717" customFormat="false" ht="15" hidden="false" customHeight="false" outlineLevel="0" collapsed="false">
      <c r="A717" s="9"/>
      <c r="B717" s="9"/>
      <c r="C717" s="11"/>
      <c r="D717" s="9"/>
      <c r="E717" s="9"/>
      <c r="F717" s="22" t="str">
        <f aca="false">IF(E717="","",IFERROR(INDEX(02_INDICADORES!$B$2:$B$42,MATCH(E717,02_INDICADORES!$A$2:$A$42,0)),"ID?"))</f>
        <v/>
      </c>
      <c r="G717" s="21" t="str">
        <f aca="false">IF(E717="","",IFERROR(INDEX(02_INDICADORES!$C$2:$C$42,MATCH(E717,02_INDICADORES!$A$2:$A$42,0)),"ID?"))</f>
        <v/>
      </c>
      <c r="H717" s="22" t="str">
        <f aca="false">IF(E717="","",IFERROR(INDEX(02_INDICADORES!$D$2:$D$42,MATCH(E717,02_INDICADORES!$A$2:$A$42,0)),""))</f>
        <v/>
      </c>
      <c r="I717" s="9"/>
      <c r="J717" s="16" t="str">
        <f aca="false">IF(OR(I717="",H717=""),"",I717*H717)</f>
        <v/>
      </c>
      <c r="K717" s="9"/>
      <c r="L717" s="9"/>
      <c r="M717" s="9"/>
    </row>
    <row r="718" customFormat="false" ht="15" hidden="false" customHeight="false" outlineLevel="0" collapsed="false">
      <c r="A718" s="9"/>
      <c r="B718" s="9"/>
      <c r="C718" s="11"/>
      <c r="D718" s="9"/>
      <c r="E718" s="9"/>
      <c r="F718" s="22" t="str">
        <f aca="false">IF(E718="","",IFERROR(INDEX(02_INDICADORES!$B$2:$B$42,MATCH(E718,02_INDICADORES!$A$2:$A$42,0)),"ID?"))</f>
        <v/>
      </c>
      <c r="G718" s="21" t="str">
        <f aca="false">IF(E718="","",IFERROR(INDEX(02_INDICADORES!$C$2:$C$42,MATCH(E718,02_INDICADORES!$A$2:$A$42,0)),"ID?"))</f>
        <v/>
      </c>
      <c r="H718" s="22" t="str">
        <f aca="false">IF(E718="","",IFERROR(INDEX(02_INDICADORES!$D$2:$D$42,MATCH(E718,02_INDICADORES!$A$2:$A$42,0)),""))</f>
        <v/>
      </c>
      <c r="I718" s="9"/>
      <c r="J718" s="16" t="str">
        <f aca="false">IF(OR(I718="",H718=""),"",I718*H718)</f>
        <v/>
      </c>
      <c r="K718" s="9"/>
      <c r="L718" s="9"/>
      <c r="M718" s="9"/>
    </row>
    <row r="719" customFormat="false" ht="15" hidden="false" customHeight="false" outlineLevel="0" collapsed="false">
      <c r="A719" s="9"/>
      <c r="B719" s="9"/>
      <c r="C719" s="11"/>
      <c r="D719" s="9"/>
      <c r="E719" s="9"/>
      <c r="F719" s="22" t="str">
        <f aca="false">IF(E719="","",IFERROR(INDEX(02_INDICADORES!$B$2:$B$42,MATCH(E719,02_INDICADORES!$A$2:$A$42,0)),"ID?"))</f>
        <v/>
      </c>
      <c r="G719" s="21" t="str">
        <f aca="false">IF(E719="","",IFERROR(INDEX(02_INDICADORES!$C$2:$C$42,MATCH(E719,02_INDICADORES!$A$2:$A$42,0)),"ID?"))</f>
        <v/>
      </c>
      <c r="H719" s="22" t="str">
        <f aca="false">IF(E719="","",IFERROR(INDEX(02_INDICADORES!$D$2:$D$42,MATCH(E719,02_INDICADORES!$A$2:$A$42,0)),""))</f>
        <v/>
      </c>
      <c r="I719" s="9"/>
      <c r="J719" s="16" t="str">
        <f aca="false">IF(OR(I719="",H719=""),"",I719*H719)</f>
        <v/>
      </c>
      <c r="K719" s="9"/>
      <c r="L719" s="9"/>
      <c r="M719" s="9"/>
    </row>
    <row r="720" customFormat="false" ht="15" hidden="false" customHeight="false" outlineLevel="0" collapsed="false">
      <c r="A720" s="9"/>
      <c r="B720" s="9"/>
      <c r="C720" s="11"/>
      <c r="D720" s="9"/>
      <c r="E720" s="9"/>
      <c r="F720" s="22" t="str">
        <f aca="false">IF(E720="","",IFERROR(INDEX(02_INDICADORES!$B$2:$B$42,MATCH(E720,02_INDICADORES!$A$2:$A$42,0)),"ID?"))</f>
        <v/>
      </c>
      <c r="G720" s="21" t="str">
        <f aca="false">IF(E720="","",IFERROR(INDEX(02_INDICADORES!$C$2:$C$42,MATCH(E720,02_INDICADORES!$A$2:$A$42,0)),"ID?"))</f>
        <v/>
      </c>
      <c r="H720" s="22" t="str">
        <f aca="false">IF(E720="","",IFERROR(INDEX(02_INDICADORES!$D$2:$D$42,MATCH(E720,02_INDICADORES!$A$2:$A$42,0)),""))</f>
        <v/>
      </c>
      <c r="I720" s="9"/>
      <c r="J720" s="16" t="str">
        <f aca="false">IF(OR(I720="",H720=""),"",I720*H720)</f>
        <v/>
      </c>
      <c r="K720" s="9"/>
      <c r="L720" s="9"/>
      <c r="M720" s="9"/>
    </row>
    <row r="721" customFormat="false" ht="15" hidden="false" customHeight="false" outlineLevel="0" collapsed="false">
      <c r="A721" s="9"/>
      <c r="B721" s="9"/>
      <c r="C721" s="11"/>
      <c r="D721" s="9"/>
      <c r="E721" s="9"/>
      <c r="F721" s="22" t="str">
        <f aca="false">IF(E721="","",IFERROR(INDEX(02_INDICADORES!$B$2:$B$42,MATCH(E721,02_INDICADORES!$A$2:$A$42,0)),"ID?"))</f>
        <v/>
      </c>
      <c r="G721" s="21" t="str">
        <f aca="false">IF(E721="","",IFERROR(INDEX(02_INDICADORES!$C$2:$C$42,MATCH(E721,02_INDICADORES!$A$2:$A$42,0)),"ID?"))</f>
        <v/>
      </c>
      <c r="H721" s="22" t="str">
        <f aca="false">IF(E721="","",IFERROR(INDEX(02_INDICADORES!$D$2:$D$42,MATCH(E721,02_INDICADORES!$A$2:$A$42,0)),""))</f>
        <v/>
      </c>
      <c r="I721" s="9"/>
      <c r="J721" s="16" t="str">
        <f aca="false">IF(OR(I721="",H721=""),"",I721*H721)</f>
        <v/>
      </c>
      <c r="K721" s="9"/>
      <c r="L721" s="9"/>
      <c r="M721" s="9"/>
    </row>
    <row r="722" customFormat="false" ht="15" hidden="false" customHeight="false" outlineLevel="0" collapsed="false">
      <c r="A722" s="9"/>
      <c r="B722" s="9"/>
      <c r="C722" s="11"/>
      <c r="D722" s="9"/>
      <c r="E722" s="9"/>
      <c r="F722" s="22" t="str">
        <f aca="false">IF(E722="","",IFERROR(INDEX(02_INDICADORES!$B$2:$B$42,MATCH(E722,02_INDICADORES!$A$2:$A$42,0)),"ID?"))</f>
        <v/>
      </c>
      <c r="G722" s="21" t="str">
        <f aca="false">IF(E722="","",IFERROR(INDEX(02_INDICADORES!$C$2:$C$42,MATCH(E722,02_INDICADORES!$A$2:$A$42,0)),"ID?"))</f>
        <v/>
      </c>
      <c r="H722" s="22" t="str">
        <f aca="false">IF(E722="","",IFERROR(INDEX(02_INDICADORES!$D$2:$D$42,MATCH(E722,02_INDICADORES!$A$2:$A$42,0)),""))</f>
        <v/>
      </c>
      <c r="I722" s="9"/>
      <c r="J722" s="16" t="str">
        <f aca="false">IF(OR(I722="",H722=""),"",I722*H722)</f>
        <v/>
      </c>
      <c r="K722" s="9"/>
      <c r="L722" s="9"/>
      <c r="M722" s="9"/>
    </row>
    <row r="723" customFormat="false" ht="15" hidden="false" customHeight="false" outlineLevel="0" collapsed="false">
      <c r="A723" s="9"/>
      <c r="B723" s="9"/>
      <c r="C723" s="11"/>
      <c r="D723" s="9"/>
      <c r="E723" s="9"/>
      <c r="F723" s="22" t="str">
        <f aca="false">IF(E723="","",IFERROR(INDEX(02_INDICADORES!$B$2:$B$42,MATCH(E723,02_INDICADORES!$A$2:$A$42,0)),"ID?"))</f>
        <v/>
      </c>
      <c r="G723" s="21" t="str">
        <f aca="false">IF(E723="","",IFERROR(INDEX(02_INDICADORES!$C$2:$C$42,MATCH(E723,02_INDICADORES!$A$2:$A$42,0)),"ID?"))</f>
        <v/>
      </c>
      <c r="H723" s="22" t="str">
        <f aca="false">IF(E723="","",IFERROR(INDEX(02_INDICADORES!$D$2:$D$42,MATCH(E723,02_INDICADORES!$A$2:$A$42,0)),""))</f>
        <v/>
      </c>
      <c r="I723" s="9"/>
      <c r="J723" s="16" t="str">
        <f aca="false">IF(OR(I723="",H723=""),"",I723*H723)</f>
        <v/>
      </c>
      <c r="K723" s="9"/>
      <c r="L723" s="9"/>
      <c r="M723" s="9"/>
    </row>
    <row r="724" customFormat="false" ht="15" hidden="false" customHeight="false" outlineLevel="0" collapsed="false">
      <c r="A724" s="9"/>
      <c r="B724" s="9"/>
      <c r="C724" s="11"/>
      <c r="D724" s="9"/>
      <c r="E724" s="9"/>
      <c r="F724" s="22" t="str">
        <f aca="false">IF(E724="","",IFERROR(INDEX(02_INDICADORES!$B$2:$B$42,MATCH(E724,02_INDICADORES!$A$2:$A$42,0)),"ID?"))</f>
        <v/>
      </c>
      <c r="G724" s="21" t="str">
        <f aca="false">IF(E724="","",IFERROR(INDEX(02_INDICADORES!$C$2:$C$42,MATCH(E724,02_INDICADORES!$A$2:$A$42,0)),"ID?"))</f>
        <v/>
      </c>
      <c r="H724" s="22" t="str">
        <f aca="false">IF(E724="","",IFERROR(INDEX(02_INDICADORES!$D$2:$D$42,MATCH(E724,02_INDICADORES!$A$2:$A$42,0)),""))</f>
        <v/>
      </c>
      <c r="I724" s="9"/>
      <c r="J724" s="16" t="str">
        <f aca="false">IF(OR(I724="",H724=""),"",I724*H724)</f>
        <v/>
      </c>
      <c r="K724" s="9"/>
      <c r="L724" s="9"/>
      <c r="M724" s="9"/>
    </row>
    <row r="725" customFormat="false" ht="15" hidden="false" customHeight="false" outlineLevel="0" collapsed="false">
      <c r="A725" s="9"/>
      <c r="B725" s="9"/>
      <c r="C725" s="11"/>
      <c r="D725" s="9"/>
      <c r="E725" s="9"/>
      <c r="F725" s="22" t="str">
        <f aca="false">IF(E725="","",IFERROR(INDEX(02_INDICADORES!$B$2:$B$42,MATCH(E725,02_INDICADORES!$A$2:$A$42,0)),"ID?"))</f>
        <v/>
      </c>
      <c r="G725" s="21" t="str">
        <f aca="false">IF(E725="","",IFERROR(INDEX(02_INDICADORES!$C$2:$C$42,MATCH(E725,02_INDICADORES!$A$2:$A$42,0)),"ID?"))</f>
        <v/>
      </c>
      <c r="H725" s="22" t="str">
        <f aca="false">IF(E725="","",IFERROR(INDEX(02_INDICADORES!$D$2:$D$42,MATCH(E725,02_INDICADORES!$A$2:$A$42,0)),""))</f>
        <v/>
      </c>
      <c r="I725" s="9"/>
      <c r="J725" s="16" t="str">
        <f aca="false">IF(OR(I725="",H725=""),"",I725*H725)</f>
        <v/>
      </c>
      <c r="K725" s="9"/>
      <c r="L725" s="9"/>
      <c r="M725" s="9"/>
    </row>
    <row r="726" customFormat="false" ht="15" hidden="false" customHeight="false" outlineLevel="0" collapsed="false">
      <c r="A726" s="9"/>
      <c r="B726" s="9"/>
      <c r="C726" s="11"/>
      <c r="D726" s="9"/>
      <c r="E726" s="9"/>
      <c r="F726" s="22" t="str">
        <f aca="false">IF(E726="","",IFERROR(INDEX(02_INDICADORES!$B$2:$B$42,MATCH(E726,02_INDICADORES!$A$2:$A$42,0)),"ID?"))</f>
        <v/>
      </c>
      <c r="G726" s="21" t="str">
        <f aca="false">IF(E726="","",IFERROR(INDEX(02_INDICADORES!$C$2:$C$42,MATCH(E726,02_INDICADORES!$A$2:$A$42,0)),"ID?"))</f>
        <v/>
      </c>
      <c r="H726" s="22" t="str">
        <f aca="false">IF(E726="","",IFERROR(INDEX(02_INDICADORES!$D$2:$D$42,MATCH(E726,02_INDICADORES!$A$2:$A$42,0)),""))</f>
        <v/>
      </c>
      <c r="I726" s="9"/>
      <c r="J726" s="16" t="str">
        <f aca="false">IF(OR(I726="",H726=""),"",I726*H726)</f>
        <v/>
      </c>
      <c r="K726" s="9"/>
      <c r="L726" s="9"/>
      <c r="M726" s="9"/>
    </row>
    <row r="727" customFormat="false" ht="15" hidden="false" customHeight="false" outlineLevel="0" collapsed="false">
      <c r="A727" s="9"/>
      <c r="B727" s="9"/>
      <c r="C727" s="11"/>
      <c r="D727" s="9"/>
      <c r="E727" s="9"/>
      <c r="F727" s="22" t="str">
        <f aca="false">IF(E727="","",IFERROR(INDEX(02_INDICADORES!$B$2:$B$42,MATCH(E727,02_INDICADORES!$A$2:$A$42,0)),"ID?"))</f>
        <v/>
      </c>
      <c r="G727" s="21" t="str">
        <f aca="false">IF(E727="","",IFERROR(INDEX(02_INDICADORES!$C$2:$C$42,MATCH(E727,02_INDICADORES!$A$2:$A$42,0)),"ID?"))</f>
        <v/>
      </c>
      <c r="H727" s="22" t="str">
        <f aca="false">IF(E727="","",IFERROR(INDEX(02_INDICADORES!$D$2:$D$42,MATCH(E727,02_INDICADORES!$A$2:$A$42,0)),""))</f>
        <v/>
      </c>
      <c r="I727" s="9"/>
      <c r="J727" s="16" t="str">
        <f aca="false">IF(OR(I727="",H727=""),"",I727*H727)</f>
        <v/>
      </c>
      <c r="K727" s="9"/>
      <c r="L727" s="9"/>
      <c r="M727" s="9"/>
    </row>
    <row r="728" customFormat="false" ht="15" hidden="false" customHeight="false" outlineLevel="0" collapsed="false">
      <c r="A728" s="9"/>
      <c r="B728" s="9"/>
      <c r="C728" s="11"/>
      <c r="D728" s="9"/>
      <c r="E728" s="9"/>
      <c r="F728" s="22" t="str">
        <f aca="false">IF(E728="","",IFERROR(INDEX(02_INDICADORES!$B$2:$B$42,MATCH(E728,02_INDICADORES!$A$2:$A$42,0)),"ID?"))</f>
        <v/>
      </c>
      <c r="G728" s="21" t="str">
        <f aca="false">IF(E728="","",IFERROR(INDEX(02_INDICADORES!$C$2:$C$42,MATCH(E728,02_INDICADORES!$A$2:$A$42,0)),"ID?"))</f>
        <v/>
      </c>
      <c r="H728" s="22" t="str">
        <f aca="false">IF(E728="","",IFERROR(INDEX(02_INDICADORES!$D$2:$D$42,MATCH(E728,02_INDICADORES!$A$2:$A$42,0)),""))</f>
        <v/>
      </c>
      <c r="I728" s="9"/>
      <c r="J728" s="16" t="str">
        <f aca="false">IF(OR(I728="",H728=""),"",I728*H728)</f>
        <v/>
      </c>
      <c r="K728" s="9"/>
      <c r="L728" s="9"/>
      <c r="M728" s="9"/>
    </row>
    <row r="729" customFormat="false" ht="15" hidden="false" customHeight="false" outlineLevel="0" collapsed="false">
      <c r="A729" s="9"/>
      <c r="B729" s="9"/>
      <c r="C729" s="11"/>
      <c r="D729" s="9"/>
      <c r="E729" s="9"/>
      <c r="F729" s="22" t="str">
        <f aca="false">IF(E729="","",IFERROR(INDEX(02_INDICADORES!$B$2:$B$42,MATCH(E729,02_INDICADORES!$A$2:$A$42,0)),"ID?"))</f>
        <v/>
      </c>
      <c r="G729" s="21" t="str">
        <f aca="false">IF(E729="","",IFERROR(INDEX(02_INDICADORES!$C$2:$C$42,MATCH(E729,02_INDICADORES!$A$2:$A$42,0)),"ID?"))</f>
        <v/>
      </c>
      <c r="H729" s="22" t="str">
        <f aca="false">IF(E729="","",IFERROR(INDEX(02_INDICADORES!$D$2:$D$42,MATCH(E729,02_INDICADORES!$A$2:$A$42,0)),""))</f>
        <v/>
      </c>
      <c r="I729" s="9"/>
      <c r="J729" s="16" t="str">
        <f aca="false">IF(OR(I729="",H729=""),"",I729*H729)</f>
        <v/>
      </c>
      <c r="K729" s="9"/>
      <c r="L729" s="9"/>
      <c r="M729" s="9"/>
    </row>
    <row r="730" customFormat="false" ht="15" hidden="false" customHeight="false" outlineLevel="0" collapsed="false">
      <c r="A730" s="9"/>
      <c r="B730" s="9"/>
      <c r="C730" s="11"/>
      <c r="D730" s="9"/>
      <c r="E730" s="9"/>
      <c r="F730" s="22" t="str">
        <f aca="false">IF(E730="","",IFERROR(INDEX(02_INDICADORES!$B$2:$B$42,MATCH(E730,02_INDICADORES!$A$2:$A$42,0)),"ID?"))</f>
        <v/>
      </c>
      <c r="G730" s="21" t="str">
        <f aca="false">IF(E730="","",IFERROR(INDEX(02_INDICADORES!$C$2:$C$42,MATCH(E730,02_INDICADORES!$A$2:$A$42,0)),"ID?"))</f>
        <v/>
      </c>
      <c r="H730" s="22" t="str">
        <f aca="false">IF(E730="","",IFERROR(INDEX(02_INDICADORES!$D$2:$D$42,MATCH(E730,02_INDICADORES!$A$2:$A$42,0)),""))</f>
        <v/>
      </c>
      <c r="I730" s="9"/>
      <c r="J730" s="16" t="str">
        <f aca="false">IF(OR(I730="",H730=""),"",I730*H730)</f>
        <v/>
      </c>
      <c r="K730" s="9"/>
      <c r="L730" s="9"/>
      <c r="M730" s="9"/>
    </row>
    <row r="731" customFormat="false" ht="15" hidden="false" customHeight="false" outlineLevel="0" collapsed="false">
      <c r="A731" s="9"/>
      <c r="B731" s="9"/>
      <c r="C731" s="11"/>
      <c r="D731" s="9"/>
      <c r="E731" s="9"/>
      <c r="F731" s="22" t="str">
        <f aca="false">IF(E731="","",IFERROR(INDEX(02_INDICADORES!$B$2:$B$42,MATCH(E731,02_INDICADORES!$A$2:$A$42,0)),"ID?"))</f>
        <v/>
      </c>
      <c r="G731" s="21" t="str">
        <f aca="false">IF(E731="","",IFERROR(INDEX(02_INDICADORES!$C$2:$C$42,MATCH(E731,02_INDICADORES!$A$2:$A$42,0)),"ID?"))</f>
        <v/>
      </c>
      <c r="H731" s="22" t="str">
        <f aca="false">IF(E731="","",IFERROR(INDEX(02_INDICADORES!$D$2:$D$42,MATCH(E731,02_INDICADORES!$A$2:$A$42,0)),""))</f>
        <v/>
      </c>
      <c r="I731" s="9"/>
      <c r="J731" s="16" t="str">
        <f aca="false">IF(OR(I731="",H731=""),"",I731*H731)</f>
        <v/>
      </c>
      <c r="K731" s="9"/>
      <c r="L731" s="9"/>
      <c r="M731" s="9"/>
    </row>
    <row r="732" customFormat="false" ht="15" hidden="false" customHeight="false" outlineLevel="0" collapsed="false">
      <c r="A732" s="9"/>
      <c r="B732" s="9"/>
      <c r="C732" s="11"/>
      <c r="D732" s="9"/>
      <c r="E732" s="9"/>
      <c r="F732" s="22" t="str">
        <f aca="false">IF(E732="","",IFERROR(INDEX(02_INDICADORES!$B$2:$B$42,MATCH(E732,02_INDICADORES!$A$2:$A$42,0)),"ID?"))</f>
        <v/>
      </c>
      <c r="G732" s="21" t="str">
        <f aca="false">IF(E732="","",IFERROR(INDEX(02_INDICADORES!$C$2:$C$42,MATCH(E732,02_INDICADORES!$A$2:$A$42,0)),"ID?"))</f>
        <v/>
      </c>
      <c r="H732" s="22" t="str">
        <f aca="false">IF(E732="","",IFERROR(INDEX(02_INDICADORES!$D$2:$D$42,MATCH(E732,02_INDICADORES!$A$2:$A$42,0)),""))</f>
        <v/>
      </c>
      <c r="I732" s="9"/>
      <c r="J732" s="16" t="str">
        <f aca="false">IF(OR(I732="",H732=""),"",I732*H732)</f>
        <v/>
      </c>
      <c r="K732" s="9"/>
      <c r="L732" s="9"/>
      <c r="M732" s="9"/>
    </row>
    <row r="733" customFormat="false" ht="15" hidden="false" customHeight="false" outlineLevel="0" collapsed="false">
      <c r="A733" s="9"/>
      <c r="B733" s="9"/>
      <c r="C733" s="11"/>
      <c r="D733" s="9"/>
      <c r="E733" s="9"/>
      <c r="F733" s="22" t="str">
        <f aca="false">IF(E733="","",IFERROR(INDEX(02_INDICADORES!$B$2:$B$42,MATCH(E733,02_INDICADORES!$A$2:$A$42,0)),"ID?"))</f>
        <v/>
      </c>
      <c r="G733" s="21" t="str">
        <f aca="false">IF(E733="","",IFERROR(INDEX(02_INDICADORES!$C$2:$C$42,MATCH(E733,02_INDICADORES!$A$2:$A$42,0)),"ID?"))</f>
        <v/>
      </c>
      <c r="H733" s="22" t="str">
        <f aca="false">IF(E733="","",IFERROR(INDEX(02_INDICADORES!$D$2:$D$42,MATCH(E733,02_INDICADORES!$A$2:$A$42,0)),""))</f>
        <v/>
      </c>
      <c r="I733" s="9"/>
      <c r="J733" s="16" t="str">
        <f aca="false">IF(OR(I733="",H733=""),"",I733*H733)</f>
        <v/>
      </c>
      <c r="K733" s="9"/>
      <c r="L733" s="9"/>
      <c r="M733" s="9"/>
    </row>
    <row r="734" customFormat="false" ht="15" hidden="false" customHeight="false" outlineLevel="0" collapsed="false">
      <c r="A734" s="9"/>
      <c r="B734" s="9"/>
      <c r="C734" s="11"/>
      <c r="D734" s="9"/>
      <c r="E734" s="9"/>
      <c r="F734" s="22" t="str">
        <f aca="false">IF(E734="","",IFERROR(INDEX(02_INDICADORES!$B$2:$B$42,MATCH(E734,02_INDICADORES!$A$2:$A$42,0)),"ID?"))</f>
        <v/>
      </c>
      <c r="G734" s="21" t="str">
        <f aca="false">IF(E734="","",IFERROR(INDEX(02_INDICADORES!$C$2:$C$42,MATCH(E734,02_INDICADORES!$A$2:$A$42,0)),"ID?"))</f>
        <v/>
      </c>
      <c r="H734" s="22" t="str">
        <f aca="false">IF(E734="","",IFERROR(INDEX(02_INDICADORES!$D$2:$D$42,MATCH(E734,02_INDICADORES!$A$2:$A$42,0)),""))</f>
        <v/>
      </c>
      <c r="I734" s="9"/>
      <c r="J734" s="16" t="str">
        <f aca="false">IF(OR(I734="",H734=""),"",I734*H734)</f>
        <v/>
      </c>
      <c r="K734" s="9"/>
      <c r="L734" s="9"/>
      <c r="M734" s="9"/>
    </row>
    <row r="735" customFormat="false" ht="15" hidden="false" customHeight="false" outlineLevel="0" collapsed="false">
      <c r="A735" s="9"/>
      <c r="B735" s="9"/>
      <c r="C735" s="11"/>
      <c r="D735" s="9"/>
      <c r="E735" s="9"/>
      <c r="F735" s="22" t="str">
        <f aca="false">IF(E735="","",IFERROR(INDEX(02_INDICADORES!$B$2:$B$42,MATCH(E735,02_INDICADORES!$A$2:$A$42,0)),"ID?"))</f>
        <v/>
      </c>
      <c r="G735" s="21" t="str">
        <f aca="false">IF(E735="","",IFERROR(INDEX(02_INDICADORES!$C$2:$C$42,MATCH(E735,02_INDICADORES!$A$2:$A$42,0)),"ID?"))</f>
        <v/>
      </c>
      <c r="H735" s="22" t="str">
        <f aca="false">IF(E735="","",IFERROR(INDEX(02_INDICADORES!$D$2:$D$42,MATCH(E735,02_INDICADORES!$A$2:$A$42,0)),""))</f>
        <v/>
      </c>
      <c r="I735" s="9"/>
      <c r="J735" s="16" t="str">
        <f aca="false">IF(OR(I735="",H735=""),"",I735*H735)</f>
        <v/>
      </c>
      <c r="K735" s="9"/>
      <c r="L735" s="9"/>
      <c r="M735" s="9"/>
    </row>
    <row r="736" customFormat="false" ht="15" hidden="false" customHeight="false" outlineLevel="0" collapsed="false">
      <c r="A736" s="9"/>
      <c r="B736" s="9"/>
      <c r="C736" s="11"/>
      <c r="D736" s="9"/>
      <c r="E736" s="9"/>
      <c r="F736" s="22" t="str">
        <f aca="false">IF(E736="","",IFERROR(INDEX(02_INDICADORES!$B$2:$B$42,MATCH(E736,02_INDICADORES!$A$2:$A$42,0)),"ID?"))</f>
        <v/>
      </c>
      <c r="G736" s="21" t="str">
        <f aca="false">IF(E736="","",IFERROR(INDEX(02_INDICADORES!$C$2:$C$42,MATCH(E736,02_INDICADORES!$A$2:$A$42,0)),"ID?"))</f>
        <v/>
      </c>
      <c r="H736" s="22" t="str">
        <f aca="false">IF(E736="","",IFERROR(INDEX(02_INDICADORES!$D$2:$D$42,MATCH(E736,02_INDICADORES!$A$2:$A$42,0)),""))</f>
        <v/>
      </c>
      <c r="I736" s="9"/>
      <c r="J736" s="16" t="str">
        <f aca="false">IF(OR(I736="",H736=""),"",I736*H736)</f>
        <v/>
      </c>
      <c r="K736" s="9"/>
      <c r="L736" s="9"/>
      <c r="M736" s="9"/>
    </row>
    <row r="737" customFormat="false" ht="15" hidden="false" customHeight="false" outlineLevel="0" collapsed="false">
      <c r="A737" s="9"/>
      <c r="B737" s="9"/>
      <c r="C737" s="11"/>
      <c r="D737" s="9"/>
      <c r="E737" s="9"/>
      <c r="F737" s="22" t="str">
        <f aca="false">IF(E737="","",IFERROR(INDEX(02_INDICADORES!$B$2:$B$42,MATCH(E737,02_INDICADORES!$A$2:$A$42,0)),"ID?"))</f>
        <v/>
      </c>
      <c r="G737" s="21" t="str">
        <f aca="false">IF(E737="","",IFERROR(INDEX(02_INDICADORES!$C$2:$C$42,MATCH(E737,02_INDICADORES!$A$2:$A$42,0)),"ID?"))</f>
        <v/>
      </c>
      <c r="H737" s="22" t="str">
        <f aca="false">IF(E737="","",IFERROR(INDEX(02_INDICADORES!$D$2:$D$42,MATCH(E737,02_INDICADORES!$A$2:$A$42,0)),""))</f>
        <v/>
      </c>
      <c r="I737" s="9"/>
      <c r="J737" s="16" t="str">
        <f aca="false">IF(OR(I737="",H737=""),"",I737*H737)</f>
        <v/>
      </c>
      <c r="K737" s="9"/>
      <c r="L737" s="9"/>
      <c r="M737" s="9"/>
    </row>
    <row r="738" customFormat="false" ht="15" hidden="false" customHeight="false" outlineLevel="0" collapsed="false">
      <c r="A738" s="9"/>
      <c r="B738" s="9"/>
      <c r="C738" s="11"/>
      <c r="D738" s="9"/>
      <c r="E738" s="9"/>
      <c r="F738" s="22" t="str">
        <f aca="false">IF(E738="","",IFERROR(INDEX(02_INDICADORES!$B$2:$B$42,MATCH(E738,02_INDICADORES!$A$2:$A$42,0)),"ID?"))</f>
        <v/>
      </c>
      <c r="G738" s="21" t="str">
        <f aca="false">IF(E738="","",IFERROR(INDEX(02_INDICADORES!$C$2:$C$42,MATCH(E738,02_INDICADORES!$A$2:$A$42,0)),"ID?"))</f>
        <v/>
      </c>
      <c r="H738" s="22" t="str">
        <f aca="false">IF(E738="","",IFERROR(INDEX(02_INDICADORES!$D$2:$D$42,MATCH(E738,02_INDICADORES!$A$2:$A$42,0)),""))</f>
        <v/>
      </c>
      <c r="I738" s="9"/>
      <c r="J738" s="16" t="str">
        <f aca="false">IF(OR(I738="",H738=""),"",I738*H738)</f>
        <v/>
      </c>
      <c r="K738" s="9"/>
      <c r="L738" s="9"/>
      <c r="M738" s="9"/>
    </row>
    <row r="739" customFormat="false" ht="15" hidden="false" customHeight="false" outlineLevel="0" collapsed="false">
      <c r="A739" s="9"/>
      <c r="B739" s="9"/>
      <c r="C739" s="11"/>
      <c r="D739" s="9"/>
      <c r="E739" s="9"/>
      <c r="F739" s="22" t="str">
        <f aca="false">IF(E739="","",IFERROR(INDEX(02_INDICADORES!$B$2:$B$42,MATCH(E739,02_INDICADORES!$A$2:$A$42,0)),"ID?"))</f>
        <v/>
      </c>
      <c r="G739" s="21" t="str">
        <f aca="false">IF(E739="","",IFERROR(INDEX(02_INDICADORES!$C$2:$C$42,MATCH(E739,02_INDICADORES!$A$2:$A$42,0)),"ID?"))</f>
        <v/>
      </c>
      <c r="H739" s="22" t="str">
        <f aca="false">IF(E739="","",IFERROR(INDEX(02_INDICADORES!$D$2:$D$42,MATCH(E739,02_INDICADORES!$A$2:$A$42,0)),""))</f>
        <v/>
      </c>
      <c r="I739" s="9"/>
      <c r="J739" s="16" t="str">
        <f aca="false">IF(OR(I739="",H739=""),"",I739*H739)</f>
        <v/>
      </c>
      <c r="K739" s="9"/>
      <c r="L739" s="9"/>
      <c r="M739" s="9"/>
    </row>
    <row r="740" customFormat="false" ht="15" hidden="false" customHeight="false" outlineLevel="0" collapsed="false">
      <c r="A740" s="9"/>
      <c r="B740" s="9"/>
      <c r="C740" s="11"/>
      <c r="D740" s="9"/>
      <c r="E740" s="9"/>
      <c r="F740" s="22" t="str">
        <f aca="false">IF(E740="","",IFERROR(INDEX(02_INDICADORES!$B$2:$B$42,MATCH(E740,02_INDICADORES!$A$2:$A$42,0)),"ID?"))</f>
        <v/>
      </c>
      <c r="G740" s="21" t="str">
        <f aca="false">IF(E740="","",IFERROR(INDEX(02_INDICADORES!$C$2:$C$42,MATCH(E740,02_INDICADORES!$A$2:$A$42,0)),"ID?"))</f>
        <v/>
      </c>
      <c r="H740" s="22" t="str">
        <f aca="false">IF(E740="","",IFERROR(INDEX(02_INDICADORES!$D$2:$D$42,MATCH(E740,02_INDICADORES!$A$2:$A$42,0)),""))</f>
        <v/>
      </c>
      <c r="I740" s="9"/>
      <c r="J740" s="16" t="str">
        <f aca="false">IF(OR(I740="",H740=""),"",I740*H740)</f>
        <v/>
      </c>
      <c r="K740" s="9"/>
      <c r="L740" s="9"/>
      <c r="M740" s="9"/>
    </row>
    <row r="741" customFormat="false" ht="15" hidden="false" customHeight="false" outlineLevel="0" collapsed="false">
      <c r="A741" s="9"/>
      <c r="B741" s="9"/>
      <c r="C741" s="11"/>
      <c r="D741" s="9"/>
      <c r="E741" s="9"/>
      <c r="F741" s="22" t="str">
        <f aca="false">IF(E741="","",IFERROR(INDEX(02_INDICADORES!$B$2:$B$42,MATCH(E741,02_INDICADORES!$A$2:$A$42,0)),"ID?"))</f>
        <v/>
      </c>
      <c r="G741" s="21" t="str">
        <f aca="false">IF(E741="","",IFERROR(INDEX(02_INDICADORES!$C$2:$C$42,MATCH(E741,02_INDICADORES!$A$2:$A$42,0)),"ID?"))</f>
        <v/>
      </c>
      <c r="H741" s="22" t="str">
        <f aca="false">IF(E741="","",IFERROR(INDEX(02_INDICADORES!$D$2:$D$42,MATCH(E741,02_INDICADORES!$A$2:$A$42,0)),""))</f>
        <v/>
      </c>
      <c r="I741" s="9"/>
      <c r="J741" s="16" t="str">
        <f aca="false">IF(OR(I741="",H741=""),"",I741*H741)</f>
        <v/>
      </c>
      <c r="K741" s="9"/>
      <c r="L741" s="9"/>
      <c r="M741" s="9"/>
    </row>
    <row r="742" customFormat="false" ht="15" hidden="false" customHeight="false" outlineLevel="0" collapsed="false">
      <c r="A742" s="9"/>
      <c r="B742" s="9"/>
      <c r="C742" s="11"/>
      <c r="D742" s="9"/>
      <c r="E742" s="9"/>
      <c r="F742" s="22" t="str">
        <f aca="false">IF(E742="","",IFERROR(INDEX(02_INDICADORES!$B$2:$B$42,MATCH(E742,02_INDICADORES!$A$2:$A$42,0)),"ID?"))</f>
        <v/>
      </c>
      <c r="G742" s="21" t="str">
        <f aca="false">IF(E742="","",IFERROR(INDEX(02_INDICADORES!$C$2:$C$42,MATCH(E742,02_INDICADORES!$A$2:$A$42,0)),"ID?"))</f>
        <v/>
      </c>
      <c r="H742" s="22" t="str">
        <f aca="false">IF(E742="","",IFERROR(INDEX(02_INDICADORES!$D$2:$D$42,MATCH(E742,02_INDICADORES!$A$2:$A$42,0)),""))</f>
        <v/>
      </c>
      <c r="I742" s="9"/>
      <c r="J742" s="16" t="str">
        <f aca="false">IF(OR(I742="",H742=""),"",I742*H742)</f>
        <v/>
      </c>
      <c r="K742" s="9"/>
      <c r="L742" s="9"/>
      <c r="M742" s="9"/>
    </row>
    <row r="743" customFormat="false" ht="15" hidden="false" customHeight="false" outlineLevel="0" collapsed="false">
      <c r="A743" s="9"/>
      <c r="B743" s="9"/>
      <c r="C743" s="11"/>
      <c r="D743" s="9"/>
      <c r="E743" s="9"/>
      <c r="F743" s="22" t="str">
        <f aca="false">IF(E743="","",IFERROR(INDEX(02_INDICADORES!$B$2:$B$42,MATCH(E743,02_INDICADORES!$A$2:$A$42,0)),"ID?"))</f>
        <v/>
      </c>
      <c r="G743" s="21" t="str">
        <f aca="false">IF(E743="","",IFERROR(INDEX(02_INDICADORES!$C$2:$C$42,MATCH(E743,02_INDICADORES!$A$2:$A$42,0)),"ID?"))</f>
        <v/>
      </c>
      <c r="H743" s="22" t="str">
        <f aca="false">IF(E743="","",IFERROR(INDEX(02_INDICADORES!$D$2:$D$42,MATCH(E743,02_INDICADORES!$A$2:$A$42,0)),""))</f>
        <v/>
      </c>
      <c r="I743" s="9"/>
      <c r="J743" s="16" t="str">
        <f aca="false">IF(OR(I743="",H743=""),"",I743*H743)</f>
        <v/>
      </c>
      <c r="K743" s="9"/>
      <c r="L743" s="9"/>
      <c r="M743" s="9"/>
    </row>
    <row r="744" customFormat="false" ht="15" hidden="false" customHeight="false" outlineLevel="0" collapsed="false">
      <c r="A744" s="9"/>
      <c r="B744" s="9"/>
      <c r="C744" s="11"/>
      <c r="D744" s="9"/>
      <c r="E744" s="9"/>
      <c r="F744" s="22" t="str">
        <f aca="false">IF(E744="","",IFERROR(INDEX(02_INDICADORES!$B$2:$B$42,MATCH(E744,02_INDICADORES!$A$2:$A$42,0)),"ID?"))</f>
        <v/>
      </c>
      <c r="G744" s="21" t="str">
        <f aca="false">IF(E744="","",IFERROR(INDEX(02_INDICADORES!$C$2:$C$42,MATCH(E744,02_INDICADORES!$A$2:$A$42,0)),"ID?"))</f>
        <v/>
      </c>
      <c r="H744" s="22" t="str">
        <f aca="false">IF(E744="","",IFERROR(INDEX(02_INDICADORES!$D$2:$D$42,MATCH(E744,02_INDICADORES!$A$2:$A$42,0)),""))</f>
        <v/>
      </c>
      <c r="I744" s="9"/>
      <c r="J744" s="16" t="str">
        <f aca="false">IF(OR(I744="",H744=""),"",I744*H744)</f>
        <v/>
      </c>
      <c r="K744" s="9"/>
      <c r="L744" s="9"/>
      <c r="M744" s="9"/>
    </row>
    <row r="745" customFormat="false" ht="15" hidden="false" customHeight="false" outlineLevel="0" collapsed="false">
      <c r="A745" s="9"/>
      <c r="B745" s="9"/>
      <c r="C745" s="11"/>
      <c r="D745" s="9"/>
      <c r="E745" s="9"/>
      <c r="F745" s="22" t="str">
        <f aca="false">IF(E745="","",IFERROR(INDEX(02_INDICADORES!$B$2:$B$42,MATCH(E745,02_INDICADORES!$A$2:$A$42,0)),"ID?"))</f>
        <v/>
      </c>
      <c r="G745" s="21" t="str">
        <f aca="false">IF(E745="","",IFERROR(INDEX(02_INDICADORES!$C$2:$C$42,MATCH(E745,02_INDICADORES!$A$2:$A$42,0)),"ID?"))</f>
        <v/>
      </c>
      <c r="H745" s="22" t="str">
        <f aca="false">IF(E745="","",IFERROR(INDEX(02_INDICADORES!$D$2:$D$42,MATCH(E745,02_INDICADORES!$A$2:$A$42,0)),""))</f>
        <v/>
      </c>
      <c r="I745" s="9"/>
      <c r="J745" s="16" t="str">
        <f aca="false">IF(OR(I745="",H745=""),"",I745*H745)</f>
        <v/>
      </c>
      <c r="K745" s="9"/>
      <c r="L745" s="9"/>
      <c r="M745" s="9"/>
    </row>
    <row r="746" customFormat="false" ht="15" hidden="false" customHeight="false" outlineLevel="0" collapsed="false">
      <c r="A746" s="9"/>
      <c r="B746" s="9"/>
      <c r="C746" s="11"/>
      <c r="D746" s="9"/>
      <c r="E746" s="9"/>
      <c r="F746" s="22" t="str">
        <f aca="false">IF(E746="","",IFERROR(INDEX(02_INDICADORES!$B$2:$B$42,MATCH(E746,02_INDICADORES!$A$2:$A$42,0)),"ID?"))</f>
        <v/>
      </c>
      <c r="G746" s="21" t="str">
        <f aca="false">IF(E746="","",IFERROR(INDEX(02_INDICADORES!$C$2:$C$42,MATCH(E746,02_INDICADORES!$A$2:$A$42,0)),"ID?"))</f>
        <v/>
      </c>
      <c r="H746" s="22" t="str">
        <f aca="false">IF(E746="","",IFERROR(INDEX(02_INDICADORES!$D$2:$D$42,MATCH(E746,02_INDICADORES!$A$2:$A$42,0)),""))</f>
        <v/>
      </c>
      <c r="I746" s="9"/>
      <c r="J746" s="16" t="str">
        <f aca="false">IF(OR(I746="",H746=""),"",I746*H746)</f>
        <v/>
      </c>
      <c r="K746" s="9"/>
      <c r="L746" s="9"/>
      <c r="M746" s="9"/>
    </row>
    <row r="747" customFormat="false" ht="15" hidden="false" customHeight="false" outlineLevel="0" collapsed="false">
      <c r="A747" s="9"/>
      <c r="B747" s="9"/>
      <c r="C747" s="11"/>
      <c r="D747" s="9"/>
      <c r="E747" s="9"/>
      <c r="F747" s="22" t="str">
        <f aca="false">IF(E747="","",IFERROR(INDEX(02_INDICADORES!$B$2:$B$42,MATCH(E747,02_INDICADORES!$A$2:$A$42,0)),"ID?"))</f>
        <v/>
      </c>
      <c r="G747" s="21" t="str">
        <f aca="false">IF(E747="","",IFERROR(INDEX(02_INDICADORES!$C$2:$C$42,MATCH(E747,02_INDICADORES!$A$2:$A$42,0)),"ID?"))</f>
        <v/>
      </c>
      <c r="H747" s="22" t="str">
        <f aca="false">IF(E747="","",IFERROR(INDEX(02_INDICADORES!$D$2:$D$42,MATCH(E747,02_INDICADORES!$A$2:$A$42,0)),""))</f>
        <v/>
      </c>
      <c r="I747" s="9"/>
      <c r="J747" s="16" t="str">
        <f aca="false">IF(OR(I747="",H747=""),"",I747*H747)</f>
        <v/>
      </c>
      <c r="K747" s="9"/>
      <c r="L747" s="9"/>
      <c r="M747" s="9"/>
    </row>
    <row r="748" customFormat="false" ht="15" hidden="false" customHeight="false" outlineLevel="0" collapsed="false">
      <c r="A748" s="9"/>
      <c r="B748" s="9"/>
      <c r="C748" s="11"/>
      <c r="D748" s="9"/>
      <c r="E748" s="9"/>
      <c r="F748" s="22" t="str">
        <f aca="false">IF(E748="","",IFERROR(INDEX(02_INDICADORES!$B$2:$B$42,MATCH(E748,02_INDICADORES!$A$2:$A$42,0)),"ID?"))</f>
        <v/>
      </c>
      <c r="G748" s="21" t="str">
        <f aca="false">IF(E748="","",IFERROR(INDEX(02_INDICADORES!$C$2:$C$42,MATCH(E748,02_INDICADORES!$A$2:$A$42,0)),"ID?"))</f>
        <v/>
      </c>
      <c r="H748" s="22" t="str">
        <f aca="false">IF(E748="","",IFERROR(INDEX(02_INDICADORES!$D$2:$D$42,MATCH(E748,02_INDICADORES!$A$2:$A$42,0)),""))</f>
        <v/>
      </c>
      <c r="I748" s="9"/>
      <c r="J748" s="16" t="str">
        <f aca="false">IF(OR(I748="",H748=""),"",I748*H748)</f>
        <v/>
      </c>
      <c r="K748" s="9"/>
      <c r="L748" s="9"/>
      <c r="M748" s="9"/>
    </row>
    <row r="749" customFormat="false" ht="15" hidden="false" customHeight="false" outlineLevel="0" collapsed="false">
      <c r="A749" s="9"/>
      <c r="B749" s="9"/>
      <c r="C749" s="11"/>
      <c r="D749" s="9"/>
      <c r="E749" s="9"/>
      <c r="F749" s="22" t="str">
        <f aca="false">IF(E749="","",IFERROR(INDEX(02_INDICADORES!$B$2:$B$42,MATCH(E749,02_INDICADORES!$A$2:$A$42,0)),"ID?"))</f>
        <v/>
      </c>
      <c r="G749" s="21" t="str">
        <f aca="false">IF(E749="","",IFERROR(INDEX(02_INDICADORES!$C$2:$C$42,MATCH(E749,02_INDICADORES!$A$2:$A$42,0)),"ID?"))</f>
        <v/>
      </c>
      <c r="H749" s="22" t="str">
        <f aca="false">IF(E749="","",IFERROR(INDEX(02_INDICADORES!$D$2:$D$42,MATCH(E749,02_INDICADORES!$A$2:$A$42,0)),""))</f>
        <v/>
      </c>
      <c r="I749" s="9"/>
      <c r="J749" s="16" t="str">
        <f aca="false">IF(OR(I749="",H749=""),"",I749*H749)</f>
        <v/>
      </c>
      <c r="K749" s="9"/>
      <c r="L749" s="9"/>
      <c r="M749" s="9"/>
    </row>
    <row r="750" customFormat="false" ht="15" hidden="false" customHeight="false" outlineLevel="0" collapsed="false">
      <c r="A750" s="9"/>
      <c r="B750" s="9"/>
      <c r="C750" s="11"/>
      <c r="D750" s="9"/>
      <c r="E750" s="9"/>
      <c r="F750" s="22" t="str">
        <f aca="false">IF(E750="","",IFERROR(INDEX(02_INDICADORES!$B$2:$B$42,MATCH(E750,02_INDICADORES!$A$2:$A$42,0)),"ID?"))</f>
        <v/>
      </c>
      <c r="G750" s="21" t="str">
        <f aca="false">IF(E750="","",IFERROR(INDEX(02_INDICADORES!$C$2:$C$42,MATCH(E750,02_INDICADORES!$A$2:$A$42,0)),"ID?"))</f>
        <v/>
      </c>
      <c r="H750" s="22" t="str">
        <f aca="false">IF(E750="","",IFERROR(INDEX(02_INDICADORES!$D$2:$D$42,MATCH(E750,02_INDICADORES!$A$2:$A$42,0)),""))</f>
        <v/>
      </c>
      <c r="I750" s="9"/>
      <c r="J750" s="16" t="str">
        <f aca="false">IF(OR(I750="",H750=""),"",I750*H750)</f>
        <v/>
      </c>
      <c r="K750" s="9"/>
      <c r="L750" s="9"/>
      <c r="M750" s="9"/>
    </row>
    <row r="751" customFormat="false" ht="15" hidden="false" customHeight="false" outlineLevel="0" collapsed="false">
      <c r="A751" s="9"/>
      <c r="B751" s="9"/>
      <c r="C751" s="11"/>
      <c r="D751" s="9"/>
      <c r="E751" s="9"/>
      <c r="F751" s="22" t="str">
        <f aca="false">IF(E751="","",IFERROR(INDEX(02_INDICADORES!$B$2:$B$42,MATCH(E751,02_INDICADORES!$A$2:$A$42,0)),"ID?"))</f>
        <v/>
      </c>
      <c r="G751" s="21" t="str">
        <f aca="false">IF(E751="","",IFERROR(INDEX(02_INDICADORES!$C$2:$C$42,MATCH(E751,02_INDICADORES!$A$2:$A$42,0)),"ID?"))</f>
        <v/>
      </c>
      <c r="H751" s="22" t="str">
        <f aca="false">IF(E751="","",IFERROR(INDEX(02_INDICADORES!$D$2:$D$42,MATCH(E751,02_INDICADORES!$A$2:$A$42,0)),""))</f>
        <v/>
      </c>
      <c r="I751" s="9"/>
      <c r="J751" s="16" t="str">
        <f aca="false">IF(OR(I751="",H751=""),"",I751*H751)</f>
        <v/>
      </c>
      <c r="K751" s="9"/>
      <c r="L751" s="9"/>
      <c r="M751" s="9"/>
    </row>
    <row r="752" customFormat="false" ht="15" hidden="false" customHeight="false" outlineLevel="0" collapsed="false">
      <c r="A752" s="9"/>
      <c r="B752" s="9"/>
      <c r="C752" s="11"/>
      <c r="D752" s="9"/>
      <c r="E752" s="9"/>
      <c r="F752" s="22" t="str">
        <f aca="false">IF(E752="","",IFERROR(INDEX(02_INDICADORES!$B$2:$B$42,MATCH(E752,02_INDICADORES!$A$2:$A$42,0)),"ID?"))</f>
        <v/>
      </c>
      <c r="G752" s="21" t="str">
        <f aca="false">IF(E752="","",IFERROR(INDEX(02_INDICADORES!$C$2:$C$42,MATCH(E752,02_INDICADORES!$A$2:$A$42,0)),"ID?"))</f>
        <v/>
      </c>
      <c r="H752" s="22" t="str">
        <f aca="false">IF(E752="","",IFERROR(INDEX(02_INDICADORES!$D$2:$D$42,MATCH(E752,02_INDICADORES!$A$2:$A$42,0)),""))</f>
        <v/>
      </c>
      <c r="I752" s="9"/>
      <c r="J752" s="16" t="str">
        <f aca="false">IF(OR(I752="",H752=""),"",I752*H752)</f>
        <v/>
      </c>
      <c r="K752" s="9"/>
      <c r="L752" s="9"/>
      <c r="M752" s="9"/>
    </row>
    <row r="753" customFormat="false" ht="15" hidden="false" customHeight="false" outlineLevel="0" collapsed="false">
      <c r="A753" s="9"/>
      <c r="B753" s="9"/>
      <c r="C753" s="11"/>
      <c r="D753" s="9"/>
      <c r="E753" s="9"/>
      <c r="F753" s="22" t="str">
        <f aca="false">IF(E753="","",IFERROR(INDEX(02_INDICADORES!$B$2:$B$42,MATCH(E753,02_INDICADORES!$A$2:$A$42,0)),"ID?"))</f>
        <v/>
      </c>
      <c r="G753" s="21" t="str">
        <f aca="false">IF(E753="","",IFERROR(INDEX(02_INDICADORES!$C$2:$C$42,MATCH(E753,02_INDICADORES!$A$2:$A$42,0)),"ID?"))</f>
        <v/>
      </c>
      <c r="H753" s="22" t="str">
        <f aca="false">IF(E753="","",IFERROR(INDEX(02_INDICADORES!$D$2:$D$42,MATCH(E753,02_INDICADORES!$A$2:$A$42,0)),""))</f>
        <v/>
      </c>
      <c r="I753" s="9"/>
      <c r="J753" s="16" t="str">
        <f aca="false">IF(OR(I753="",H753=""),"",I753*H753)</f>
        <v/>
      </c>
      <c r="K753" s="9"/>
      <c r="L753" s="9"/>
      <c r="M753" s="9"/>
    </row>
    <row r="754" customFormat="false" ht="15" hidden="false" customHeight="false" outlineLevel="0" collapsed="false">
      <c r="A754" s="9"/>
      <c r="B754" s="9"/>
      <c r="C754" s="11"/>
      <c r="D754" s="9"/>
      <c r="E754" s="9"/>
      <c r="F754" s="22" t="str">
        <f aca="false">IF(E754="","",IFERROR(INDEX(02_INDICADORES!$B$2:$B$42,MATCH(E754,02_INDICADORES!$A$2:$A$42,0)),"ID?"))</f>
        <v/>
      </c>
      <c r="G754" s="21" t="str">
        <f aca="false">IF(E754="","",IFERROR(INDEX(02_INDICADORES!$C$2:$C$42,MATCH(E754,02_INDICADORES!$A$2:$A$42,0)),"ID?"))</f>
        <v/>
      </c>
      <c r="H754" s="22" t="str">
        <f aca="false">IF(E754="","",IFERROR(INDEX(02_INDICADORES!$D$2:$D$42,MATCH(E754,02_INDICADORES!$A$2:$A$42,0)),""))</f>
        <v/>
      </c>
      <c r="I754" s="9"/>
      <c r="J754" s="16" t="str">
        <f aca="false">IF(OR(I754="",H754=""),"",I754*H754)</f>
        <v/>
      </c>
      <c r="K754" s="9"/>
      <c r="L754" s="9"/>
      <c r="M754" s="9"/>
    </row>
    <row r="755" customFormat="false" ht="15" hidden="false" customHeight="false" outlineLevel="0" collapsed="false">
      <c r="A755" s="9"/>
      <c r="B755" s="9"/>
      <c r="C755" s="11"/>
      <c r="D755" s="9"/>
      <c r="E755" s="9"/>
      <c r="F755" s="22" t="str">
        <f aca="false">IF(E755="","",IFERROR(INDEX(02_INDICADORES!$B$2:$B$42,MATCH(E755,02_INDICADORES!$A$2:$A$42,0)),"ID?"))</f>
        <v/>
      </c>
      <c r="G755" s="21" t="str">
        <f aca="false">IF(E755="","",IFERROR(INDEX(02_INDICADORES!$C$2:$C$42,MATCH(E755,02_INDICADORES!$A$2:$A$42,0)),"ID?"))</f>
        <v/>
      </c>
      <c r="H755" s="22" t="str">
        <f aca="false">IF(E755="","",IFERROR(INDEX(02_INDICADORES!$D$2:$D$42,MATCH(E755,02_INDICADORES!$A$2:$A$42,0)),""))</f>
        <v/>
      </c>
      <c r="I755" s="9"/>
      <c r="J755" s="16" t="str">
        <f aca="false">IF(OR(I755="",H755=""),"",I755*H755)</f>
        <v/>
      </c>
      <c r="K755" s="9"/>
      <c r="L755" s="9"/>
      <c r="M755" s="9"/>
    </row>
    <row r="756" customFormat="false" ht="15" hidden="false" customHeight="false" outlineLevel="0" collapsed="false">
      <c r="A756" s="9"/>
      <c r="B756" s="9"/>
      <c r="C756" s="11"/>
      <c r="D756" s="9"/>
      <c r="E756" s="9"/>
      <c r="F756" s="22" t="str">
        <f aca="false">IF(E756="","",IFERROR(INDEX(02_INDICADORES!$B$2:$B$42,MATCH(E756,02_INDICADORES!$A$2:$A$42,0)),"ID?"))</f>
        <v/>
      </c>
      <c r="G756" s="21" t="str">
        <f aca="false">IF(E756="","",IFERROR(INDEX(02_INDICADORES!$C$2:$C$42,MATCH(E756,02_INDICADORES!$A$2:$A$42,0)),"ID?"))</f>
        <v/>
      </c>
      <c r="H756" s="22" t="str">
        <f aca="false">IF(E756="","",IFERROR(INDEX(02_INDICADORES!$D$2:$D$42,MATCH(E756,02_INDICADORES!$A$2:$A$42,0)),""))</f>
        <v/>
      </c>
      <c r="I756" s="9"/>
      <c r="J756" s="16" t="str">
        <f aca="false">IF(OR(I756="",H756=""),"",I756*H756)</f>
        <v/>
      </c>
      <c r="K756" s="9"/>
      <c r="L756" s="9"/>
      <c r="M756" s="9"/>
    </row>
    <row r="757" customFormat="false" ht="15" hidden="false" customHeight="false" outlineLevel="0" collapsed="false">
      <c r="A757" s="9"/>
      <c r="B757" s="9"/>
      <c r="C757" s="11"/>
      <c r="D757" s="9"/>
      <c r="E757" s="9"/>
      <c r="F757" s="22" t="str">
        <f aca="false">IF(E757="","",IFERROR(INDEX(02_INDICADORES!$B$2:$B$42,MATCH(E757,02_INDICADORES!$A$2:$A$42,0)),"ID?"))</f>
        <v/>
      </c>
      <c r="G757" s="21" t="str">
        <f aca="false">IF(E757="","",IFERROR(INDEX(02_INDICADORES!$C$2:$C$42,MATCH(E757,02_INDICADORES!$A$2:$A$42,0)),"ID?"))</f>
        <v/>
      </c>
      <c r="H757" s="22" t="str">
        <f aca="false">IF(E757="","",IFERROR(INDEX(02_INDICADORES!$D$2:$D$42,MATCH(E757,02_INDICADORES!$A$2:$A$42,0)),""))</f>
        <v/>
      </c>
      <c r="I757" s="9"/>
      <c r="J757" s="16" t="str">
        <f aca="false">IF(OR(I757="",H757=""),"",I757*H757)</f>
        <v/>
      </c>
      <c r="K757" s="9"/>
      <c r="L757" s="9"/>
      <c r="M757" s="9"/>
    </row>
    <row r="758" customFormat="false" ht="15" hidden="false" customHeight="false" outlineLevel="0" collapsed="false">
      <c r="A758" s="9"/>
      <c r="B758" s="9"/>
      <c r="C758" s="11"/>
      <c r="D758" s="9"/>
      <c r="E758" s="9"/>
      <c r="F758" s="22" t="str">
        <f aca="false">IF(E758="","",IFERROR(INDEX(02_INDICADORES!$B$2:$B$42,MATCH(E758,02_INDICADORES!$A$2:$A$42,0)),"ID?"))</f>
        <v/>
      </c>
      <c r="G758" s="21" t="str">
        <f aca="false">IF(E758="","",IFERROR(INDEX(02_INDICADORES!$C$2:$C$42,MATCH(E758,02_INDICADORES!$A$2:$A$42,0)),"ID?"))</f>
        <v/>
      </c>
      <c r="H758" s="22" t="str">
        <f aca="false">IF(E758="","",IFERROR(INDEX(02_INDICADORES!$D$2:$D$42,MATCH(E758,02_INDICADORES!$A$2:$A$42,0)),""))</f>
        <v/>
      </c>
      <c r="I758" s="9"/>
      <c r="J758" s="16" t="str">
        <f aca="false">IF(OR(I758="",H758=""),"",I758*H758)</f>
        <v/>
      </c>
      <c r="K758" s="9"/>
      <c r="L758" s="9"/>
      <c r="M758" s="9"/>
    </row>
    <row r="759" customFormat="false" ht="15" hidden="false" customHeight="false" outlineLevel="0" collapsed="false">
      <c r="A759" s="9"/>
      <c r="B759" s="9"/>
      <c r="C759" s="11"/>
      <c r="D759" s="9"/>
      <c r="E759" s="9"/>
      <c r="F759" s="22" t="str">
        <f aca="false">IF(E759="","",IFERROR(INDEX(02_INDICADORES!$B$2:$B$42,MATCH(E759,02_INDICADORES!$A$2:$A$42,0)),"ID?"))</f>
        <v/>
      </c>
      <c r="G759" s="21" t="str">
        <f aca="false">IF(E759="","",IFERROR(INDEX(02_INDICADORES!$C$2:$C$42,MATCH(E759,02_INDICADORES!$A$2:$A$42,0)),"ID?"))</f>
        <v/>
      </c>
      <c r="H759" s="22" t="str">
        <f aca="false">IF(E759="","",IFERROR(INDEX(02_INDICADORES!$D$2:$D$42,MATCH(E759,02_INDICADORES!$A$2:$A$42,0)),""))</f>
        <v/>
      </c>
      <c r="I759" s="9"/>
      <c r="J759" s="16" t="str">
        <f aca="false">IF(OR(I759="",H759=""),"",I759*H759)</f>
        <v/>
      </c>
      <c r="K759" s="9"/>
      <c r="L759" s="9"/>
      <c r="M759" s="9"/>
    </row>
    <row r="760" customFormat="false" ht="15" hidden="false" customHeight="false" outlineLevel="0" collapsed="false">
      <c r="A760" s="9"/>
      <c r="B760" s="9"/>
      <c r="C760" s="11"/>
      <c r="D760" s="9"/>
      <c r="E760" s="9"/>
      <c r="F760" s="22" t="str">
        <f aca="false">IF(E760="","",IFERROR(INDEX(02_INDICADORES!$B$2:$B$42,MATCH(E760,02_INDICADORES!$A$2:$A$42,0)),"ID?"))</f>
        <v/>
      </c>
      <c r="G760" s="21" t="str">
        <f aca="false">IF(E760="","",IFERROR(INDEX(02_INDICADORES!$C$2:$C$42,MATCH(E760,02_INDICADORES!$A$2:$A$42,0)),"ID?"))</f>
        <v/>
      </c>
      <c r="H760" s="22" t="str">
        <f aca="false">IF(E760="","",IFERROR(INDEX(02_INDICADORES!$D$2:$D$42,MATCH(E760,02_INDICADORES!$A$2:$A$42,0)),""))</f>
        <v/>
      </c>
      <c r="I760" s="9"/>
      <c r="J760" s="16" t="str">
        <f aca="false">IF(OR(I760="",H760=""),"",I760*H760)</f>
        <v/>
      </c>
      <c r="K760" s="9"/>
      <c r="L760" s="9"/>
      <c r="M760" s="9"/>
    </row>
    <row r="761" customFormat="false" ht="15" hidden="false" customHeight="false" outlineLevel="0" collapsed="false">
      <c r="A761" s="9"/>
      <c r="B761" s="9"/>
      <c r="C761" s="11"/>
      <c r="D761" s="9"/>
      <c r="E761" s="9"/>
      <c r="F761" s="22" t="str">
        <f aca="false">IF(E761="","",IFERROR(INDEX(02_INDICADORES!$B$2:$B$42,MATCH(E761,02_INDICADORES!$A$2:$A$42,0)),"ID?"))</f>
        <v/>
      </c>
      <c r="G761" s="21" t="str">
        <f aca="false">IF(E761="","",IFERROR(INDEX(02_INDICADORES!$C$2:$C$42,MATCH(E761,02_INDICADORES!$A$2:$A$42,0)),"ID?"))</f>
        <v/>
      </c>
      <c r="H761" s="22" t="str">
        <f aca="false">IF(E761="","",IFERROR(INDEX(02_INDICADORES!$D$2:$D$42,MATCH(E761,02_INDICADORES!$A$2:$A$42,0)),""))</f>
        <v/>
      </c>
      <c r="I761" s="9"/>
      <c r="J761" s="16" t="str">
        <f aca="false">IF(OR(I761="",H761=""),"",I761*H761)</f>
        <v/>
      </c>
      <c r="K761" s="9"/>
      <c r="L761" s="9"/>
      <c r="M761" s="9"/>
    </row>
    <row r="762" customFormat="false" ht="15" hidden="false" customHeight="false" outlineLevel="0" collapsed="false">
      <c r="A762" s="9"/>
      <c r="B762" s="9"/>
      <c r="C762" s="11"/>
      <c r="D762" s="9"/>
      <c r="E762" s="9"/>
      <c r="F762" s="22" t="str">
        <f aca="false">IF(E762="","",IFERROR(INDEX(02_INDICADORES!$B$2:$B$42,MATCH(E762,02_INDICADORES!$A$2:$A$42,0)),"ID?"))</f>
        <v/>
      </c>
      <c r="G762" s="21" t="str">
        <f aca="false">IF(E762="","",IFERROR(INDEX(02_INDICADORES!$C$2:$C$42,MATCH(E762,02_INDICADORES!$A$2:$A$42,0)),"ID?"))</f>
        <v/>
      </c>
      <c r="H762" s="22" t="str">
        <f aca="false">IF(E762="","",IFERROR(INDEX(02_INDICADORES!$D$2:$D$42,MATCH(E762,02_INDICADORES!$A$2:$A$42,0)),""))</f>
        <v/>
      </c>
      <c r="I762" s="9"/>
      <c r="J762" s="16" t="str">
        <f aca="false">IF(OR(I762="",H762=""),"",I762*H762)</f>
        <v/>
      </c>
      <c r="K762" s="9"/>
      <c r="L762" s="9"/>
      <c r="M762" s="9"/>
    </row>
    <row r="763" customFormat="false" ht="15" hidden="false" customHeight="false" outlineLevel="0" collapsed="false">
      <c r="A763" s="9"/>
      <c r="B763" s="9"/>
      <c r="C763" s="11"/>
      <c r="D763" s="9"/>
      <c r="E763" s="9"/>
      <c r="F763" s="22" t="str">
        <f aca="false">IF(E763="","",IFERROR(INDEX(02_INDICADORES!$B$2:$B$42,MATCH(E763,02_INDICADORES!$A$2:$A$42,0)),"ID?"))</f>
        <v/>
      </c>
      <c r="G763" s="21" t="str">
        <f aca="false">IF(E763="","",IFERROR(INDEX(02_INDICADORES!$C$2:$C$42,MATCH(E763,02_INDICADORES!$A$2:$A$42,0)),"ID?"))</f>
        <v/>
      </c>
      <c r="H763" s="22" t="str">
        <f aca="false">IF(E763="","",IFERROR(INDEX(02_INDICADORES!$D$2:$D$42,MATCH(E763,02_INDICADORES!$A$2:$A$42,0)),""))</f>
        <v/>
      </c>
      <c r="I763" s="9"/>
      <c r="J763" s="16" t="str">
        <f aca="false">IF(OR(I763="",H763=""),"",I763*H763)</f>
        <v/>
      </c>
      <c r="K763" s="9"/>
      <c r="L763" s="9"/>
      <c r="M763" s="9"/>
    </row>
    <row r="764" customFormat="false" ht="15" hidden="false" customHeight="false" outlineLevel="0" collapsed="false">
      <c r="A764" s="9"/>
      <c r="B764" s="9"/>
      <c r="C764" s="11"/>
      <c r="D764" s="9"/>
      <c r="E764" s="9"/>
      <c r="F764" s="22" t="str">
        <f aca="false">IF(E764="","",IFERROR(INDEX(02_INDICADORES!$B$2:$B$42,MATCH(E764,02_INDICADORES!$A$2:$A$42,0)),"ID?"))</f>
        <v/>
      </c>
      <c r="G764" s="21" t="str">
        <f aca="false">IF(E764="","",IFERROR(INDEX(02_INDICADORES!$C$2:$C$42,MATCH(E764,02_INDICADORES!$A$2:$A$42,0)),"ID?"))</f>
        <v/>
      </c>
      <c r="H764" s="22" t="str">
        <f aca="false">IF(E764="","",IFERROR(INDEX(02_INDICADORES!$D$2:$D$42,MATCH(E764,02_INDICADORES!$A$2:$A$42,0)),""))</f>
        <v/>
      </c>
      <c r="I764" s="9"/>
      <c r="J764" s="16" t="str">
        <f aca="false">IF(OR(I764="",H764=""),"",I764*H764)</f>
        <v/>
      </c>
      <c r="K764" s="9"/>
      <c r="L764" s="9"/>
      <c r="M764" s="9"/>
    </row>
    <row r="765" customFormat="false" ht="15" hidden="false" customHeight="false" outlineLevel="0" collapsed="false">
      <c r="A765" s="9"/>
      <c r="B765" s="9"/>
      <c r="C765" s="11"/>
      <c r="D765" s="9"/>
      <c r="E765" s="9"/>
      <c r="F765" s="22" t="str">
        <f aca="false">IF(E765="","",IFERROR(INDEX(02_INDICADORES!$B$2:$B$42,MATCH(E765,02_INDICADORES!$A$2:$A$42,0)),"ID?"))</f>
        <v/>
      </c>
      <c r="G765" s="21" t="str">
        <f aca="false">IF(E765="","",IFERROR(INDEX(02_INDICADORES!$C$2:$C$42,MATCH(E765,02_INDICADORES!$A$2:$A$42,0)),"ID?"))</f>
        <v/>
      </c>
      <c r="H765" s="22" t="str">
        <f aca="false">IF(E765="","",IFERROR(INDEX(02_INDICADORES!$D$2:$D$42,MATCH(E765,02_INDICADORES!$A$2:$A$42,0)),""))</f>
        <v/>
      </c>
      <c r="I765" s="9"/>
      <c r="J765" s="16" t="str">
        <f aca="false">IF(OR(I765="",H765=""),"",I765*H765)</f>
        <v/>
      </c>
      <c r="K765" s="9"/>
      <c r="L765" s="9"/>
      <c r="M765" s="9"/>
    </row>
    <row r="766" customFormat="false" ht="15" hidden="false" customHeight="false" outlineLevel="0" collapsed="false">
      <c r="A766" s="9"/>
      <c r="B766" s="9"/>
      <c r="C766" s="11"/>
      <c r="D766" s="9"/>
      <c r="E766" s="9"/>
      <c r="F766" s="22" t="str">
        <f aca="false">IF(E766="","",IFERROR(INDEX(02_INDICADORES!$B$2:$B$42,MATCH(E766,02_INDICADORES!$A$2:$A$42,0)),"ID?"))</f>
        <v/>
      </c>
      <c r="G766" s="21" t="str">
        <f aca="false">IF(E766="","",IFERROR(INDEX(02_INDICADORES!$C$2:$C$42,MATCH(E766,02_INDICADORES!$A$2:$A$42,0)),"ID?"))</f>
        <v/>
      </c>
      <c r="H766" s="22" t="str">
        <f aca="false">IF(E766="","",IFERROR(INDEX(02_INDICADORES!$D$2:$D$42,MATCH(E766,02_INDICADORES!$A$2:$A$42,0)),""))</f>
        <v/>
      </c>
      <c r="I766" s="9"/>
      <c r="J766" s="16" t="str">
        <f aca="false">IF(OR(I766="",H766=""),"",I766*H766)</f>
        <v/>
      </c>
      <c r="K766" s="9"/>
      <c r="L766" s="9"/>
      <c r="M766" s="9"/>
    </row>
    <row r="767" customFormat="false" ht="15" hidden="false" customHeight="false" outlineLevel="0" collapsed="false">
      <c r="A767" s="9"/>
      <c r="B767" s="9"/>
      <c r="C767" s="11"/>
      <c r="D767" s="9"/>
      <c r="E767" s="9"/>
      <c r="F767" s="22" t="str">
        <f aca="false">IF(E767="","",IFERROR(INDEX(02_INDICADORES!$B$2:$B$42,MATCH(E767,02_INDICADORES!$A$2:$A$42,0)),"ID?"))</f>
        <v/>
      </c>
      <c r="G767" s="21" t="str">
        <f aca="false">IF(E767="","",IFERROR(INDEX(02_INDICADORES!$C$2:$C$42,MATCH(E767,02_INDICADORES!$A$2:$A$42,0)),"ID?"))</f>
        <v/>
      </c>
      <c r="H767" s="22" t="str">
        <f aca="false">IF(E767="","",IFERROR(INDEX(02_INDICADORES!$D$2:$D$42,MATCH(E767,02_INDICADORES!$A$2:$A$42,0)),""))</f>
        <v/>
      </c>
      <c r="I767" s="9"/>
      <c r="J767" s="16" t="str">
        <f aca="false">IF(OR(I767="",H767=""),"",I767*H767)</f>
        <v/>
      </c>
      <c r="K767" s="9"/>
      <c r="L767" s="9"/>
      <c r="M767" s="9"/>
    </row>
    <row r="768" customFormat="false" ht="15" hidden="false" customHeight="false" outlineLevel="0" collapsed="false">
      <c r="A768" s="9"/>
      <c r="B768" s="9"/>
      <c r="C768" s="11"/>
      <c r="D768" s="9"/>
      <c r="E768" s="9"/>
      <c r="F768" s="22" t="str">
        <f aca="false">IF(E768="","",IFERROR(INDEX(02_INDICADORES!$B$2:$B$42,MATCH(E768,02_INDICADORES!$A$2:$A$42,0)),"ID?"))</f>
        <v/>
      </c>
      <c r="G768" s="21" t="str">
        <f aca="false">IF(E768="","",IFERROR(INDEX(02_INDICADORES!$C$2:$C$42,MATCH(E768,02_INDICADORES!$A$2:$A$42,0)),"ID?"))</f>
        <v/>
      </c>
      <c r="H768" s="22" t="str">
        <f aca="false">IF(E768="","",IFERROR(INDEX(02_INDICADORES!$D$2:$D$42,MATCH(E768,02_INDICADORES!$A$2:$A$42,0)),""))</f>
        <v/>
      </c>
      <c r="I768" s="9"/>
      <c r="J768" s="16" t="str">
        <f aca="false">IF(OR(I768="",H768=""),"",I768*H768)</f>
        <v/>
      </c>
      <c r="K768" s="9"/>
      <c r="L768" s="9"/>
      <c r="M768" s="9"/>
    </row>
    <row r="769" customFormat="false" ht="15" hidden="false" customHeight="false" outlineLevel="0" collapsed="false">
      <c r="A769" s="9"/>
      <c r="B769" s="9"/>
      <c r="C769" s="11"/>
      <c r="D769" s="9"/>
      <c r="E769" s="9"/>
      <c r="F769" s="22" t="str">
        <f aca="false">IF(E769="","",IFERROR(INDEX(02_INDICADORES!$B$2:$B$42,MATCH(E769,02_INDICADORES!$A$2:$A$42,0)),"ID?"))</f>
        <v/>
      </c>
      <c r="G769" s="21" t="str">
        <f aca="false">IF(E769="","",IFERROR(INDEX(02_INDICADORES!$C$2:$C$42,MATCH(E769,02_INDICADORES!$A$2:$A$42,0)),"ID?"))</f>
        <v/>
      </c>
      <c r="H769" s="22" t="str">
        <f aca="false">IF(E769="","",IFERROR(INDEX(02_INDICADORES!$D$2:$D$42,MATCH(E769,02_INDICADORES!$A$2:$A$42,0)),""))</f>
        <v/>
      </c>
      <c r="I769" s="9"/>
      <c r="J769" s="16" t="str">
        <f aca="false">IF(OR(I769="",H769=""),"",I769*H769)</f>
        <v/>
      </c>
      <c r="K769" s="9"/>
      <c r="L769" s="9"/>
      <c r="M769" s="9"/>
    </row>
    <row r="770" customFormat="false" ht="15" hidden="false" customHeight="false" outlineLevel="0" collapsed="false">
      <c r="A770" s="9"/>
      <c r="B770" s="9"/>
      <c r="C770" s="11"/>
      <c r="D770" s="9"/>
      <c r="E770" s="9"/>
      <c r="F770" s="22" t="str">
        <f aca="false">IF(E770="","",IFERROR(INDEX(02_INDICADORES!$B$2:$B$42,MATCH(E770,02_INDICADORES!$A$2:$A$42,0)),"ID?"))</f>
        <v/>
      </c>
      <c r="G770" s="21" t="str">
        <f aca="false">IF(E770="","",IFERROR(INDEX(02_INDICADORES!$C$2:$C$42,MATCH(E770,02_INDICADORES!$A$2:$A$42,0)),"ID?"))</f>
        <v/>
      </c>
      <c r="H770" s="22" t="str">
        <f aca="false">IF(E770="","",IFERROR(INDEX(02_INDICADORES!$D$2:$D$42,MATCH(E770,02_INDICADORES!$A$2:$A$42,0)),""))</f>
        <v/>
      </c>
      <c r="I770" s="9"/>
      <c r="J770" s="16" t="str">
        <f aca="false">IF(OR(I770="",H770=""),"",I770*H770)</f>
        <v/>
      </c>
      <c r="K770" s="9"/>
      <c r="L770" s="9"/>
      <c r="M770" s="9"/>
    </row>
    <row r="771" customFormat="false" ht="15" hidden="false" customHeight="false" outlineLevel="0" collapsed="false">
      <c r="A771" s="9"/>
      <c r="B771" s="9"/>
      <c r="C771" s="11"/>
      <c r="D771" s="9"/>
      <c r="E771" s="9"/>
      <c r="F771" s="22" t="str">
        <f aca="false">IF(E771="","",IFERROR(INDEX(02_INDICADORES!$B$2:$B$42,MATCH(E771,02_INDICADORES!$A$2:$A$42,0)),"ID?"))</f>
        <v/>
      </c>
      <c r="G771" s="21" t="str">
        <f aca="false">IF(E771="","",IFERROR(INDEX(02_INDICADORES!$C$2:$C$42,MATCH(E771,02_INDICADORES!$A$2:$A$42,0)),"ID?"))</f>
        <v/>
      </c>
      <c r="H771" s="22" t="str">
        <f aca="false">IF(E771="","",IFERROR(INDEX(02_INDICADORES!$D$2:$D$42,MATCH(E771,02_INDICADORES!$A$2:$A$42,0)),""))</f>
        <v/>
      </c>
      <c r="I771" s="9"/>
      <c r="J771" s="16" t="str">
        <f aca="false">IF(OR(I771="",H771=""),"",I771*H771)</f>
        <v/>
      </c>
      <c r="K771" s="9"/>
      <c r="L771" s="9"/>
      <c r="M771" s="9"/>
    </row>
    <row r="772" customFormat="false" ht="15" hidden="false" customHeight="false" outlineLevel="0" collapsed="false">
      <c r="A772" s="9"/>
      <c r="B772" s="9"/>
      <c r="C772" s="11"/>
      <c r="D772" s="9"/>
      <c r="E772" s="9"/>
      <c r="F772" s="22" t="str">
        <f aca="false">IF(E772="","",IFERROR(INDEX(02_INDICADORES!$B$2:$B$42,MATCH(E772,02_INDICADORES!$A$2:$A$42,0)),"ID?"))</f>
        <v/>
      </c>
      <c r="G772" s="21" t="str">
        <f aca="false">IF(E772="","",IFERROR(INDEX(02_INDICADORES!$C$2:$C$42,MATCH(E772,02_INDICADORES!$A$2:$A$42,0)),"ID?"))</f>
        <v/>
      </c>
      <c r="H772" s="22" t="str">
        <f aca="false">IF(E772="","",IFERROR(INDEX(02_INDICADORES!$D$2:$D$42,MATCH(E772,02_INDICADORES!$A$2:$A$42,0)),""))</f>
        <v/>
      </c>
      <c r="I772" s="9"/>
      <c r="J772" s="16" t="str">
        <f aca="false">IF(OR(I772="",H772=""),"",I772*H772)</f>
        <v/>
      </c>
      <c r="K772" s="9"/>
      <c r="L772" s="9"/>
      <c r="M772" s="9"/>
    </row>
    <row r="773" customFormat="false" ht="15" hidden="false" customHeight="false" outlineLevel="0" collapsed="false">
      <c r="A773" s="9"/>
      <c r="B773" s="9"/>
      <c r="C773" s="11"/>
      <c r="D773" s="9"/>
      <c r="E773" s="9"/>
      <c r="F773" s="22" t="str">
        <f aca="false">IF(E773="","",IFERROR(INDEX(02_INDICADORES!$B$2:$B$42,MATCH(E773,02_INDICADORES!$A$2:$A$42,0)),"ID?"))</f>
        <v/>
      </c>
      <c r="G773" s="21" t="str">
        <f aca="false">IF(E773="","",IFERROR(INDEX(02_INDICADORES!$C$2:$C$42,MATCH(E773,02_INDICADORES!$A$2:$A$42,0)),"ID?"))</f>
        <v/>
      </c>
      <c r="H773" s="22" t="str">
        <f aca="false">IF(E773="","",IFERROR(INDEX(02_INDICADORES!$D$2:$D$42,MATCH(E773,02_INDICADORES!$A$2:$A$42,0)),""))</f>
        <v/>
      </c>
      <c r="I773" s="9"/>
      <c r="J773" s="16" t="str">
        <f aca="false">IF(OR(I773="",H773=""),"",I773*H773)</f>
        <v/>
      </c>
      <c r="K773" s="9"/>
      <c r="L773" s="9"/>
      <c r="M773" s="9"/>
    </row>
    <row r="774" customFormat="false" ht="15" hidden="false" customHeight="false" outlineLevel="0" collapsed="false">
      <c r="A774" s="9"/>
      <c r="B774" s="9"/>
      <c r="C774" s="11"/>
      <c r="D774" s="9"/>
      <c r="E774" s="9"/>
      <c r="F774" s="22" t="str">
        <f aca="false">IF(E774="","",IFERROR(INDEX(02_INDICADORES!$B$2:$B$42,MATCH(E774,02_INDICADORES!$A$2:$A$42,0)),"ID?"))</f>
        <v/>
      </c>
      <c r="G774" s="21" t="str">
        <f aca="false">IF(E774="","",IFERROR(INDEX(02_INDICADORES!$C$2:$C$42,MATCH(E774,02_INDICADORES!$A$2:$A$42,0)),"ID?"))</f>
        <v/>
      </c>
      <c r="H774" s="22" t="str">
        <f aca="false">IF(E774="","",IFERROR(INDEX(02_INDICADORES!$D$2:$D$42,MATCH(E774,02_INDICADORES!$A$2:$A$42,0)),""))</f>
        <v/>
      </c>
      <c r="I774" s="9"/>
      <c r="J774" s="16" t="str">
        <f aca="false">IF(OR(I774="",H774=""),"",I774*H774)</f>
        <v/>
      </c>
      <c r="K774" s="9"/>
      <c r="L774" s="9"/>
      <c r="M774" s="9"/>
    </row>
    <row r="775" customFormat="false" ht="15" hidden="false" customHeight="false" outlineLevel="0" collapsed="false">
      <c r="A775" s="9"/>
      <c r="B775" s="9"/>
      <c r="C775" s="11"/>
      <c r="D775" s="9"/>
      <c r="E775" s="9"/>
      <c r="F775" s="22" t="str">
        <f aca="false">IF(E775="","",IFERROR(INDEX(02_INDICADORES!$B$2:$B$42,MATCH(E775,02_INDICADORES!$A$2:$A$42,0)),"ID?"))</f>
        <v/>
      </c>
      <c r="G775" s="21" t="str">
        <f aca="false">IF(E775="","",IFERROR(INDEX(02_INDICADORES!$C$2:$C$42,MATCH(E775,02_INDICADORES!$A$2:$A$42,0)),"ID?"))</f>
        <v/>
      </c>
      <c r="H775" s="22" t="str">
        <f aca="false">IF(E775="","",IFERROR(INDEX(02_INDICADORES!$D$2:$D$42,MATCH(E775,02_INDICADORES!$A$2:$A$42,0)),""))</f>
        <v/>
      </c>
      <c r="I775" s="9"/>
      <c r="J775" s="16" t="str">
        <f aca="false">IF(OR(I775="",H775=""),"",I775*H775)</f>
        <v/>
      </c>
      <c r="K775" s="9"/>
      <c r="L775" s="9"/>
      <c r="M775" s="9"/>
    </row>
    <row r="776" customFormat="false" ht="15" hidden="false" customHeight="false" outlineLevel="0" collapsed="false">
      <c r="A776" s="9"/>
      <c r="B776" s="9"/>
      <c r="C776" s="11"/>
      <c r="D776" s="9"/>
      <c r="E776" s="9"/>
      <c r="F776" s="22" t="str">
        <f aca="false">IF(E776="","",IFERROR(INDEX(02_INDICADORES!$B$2:$B$42,MATCH(E776,02_INDICADORES!$A$2:$A$42,0)),"ID?"))</f>
        <v/>
      </c>
      <c r="G776" s="21" t="str">
        <f aca="false">IF(E776="","",IFERROR(INDEX(02_INDICADORES!$C$2:$C$42,MATCH(E776,02_INDICADORES!$A$2:$A$42,0)),"ID?"))</f>
        <v/>
      </c>
      <c r="H776" s="22" t="str">
        <f aca="false">IF(E776="","",IFERROR(INDEX(02_INDICADORES!$D$2:$D$42,MATCH(E776,02_INDICADORES!$A$2:$A$42,0)),""))</f>
        <v/>
      </c>
      <c r="I776" s="9"/>
      <c r="J776" s="16" t="str">
        <f aca="false">IF(OR(I776="",H776=""),"",I776*H776)</f>
        <v/>
      </c>
      <c r="K776" s="9"/>
      <c r="L776" s="9"/>
      <c r="M776" s="9"/>
    </row>
    <row r="777" customFormat="false" ht="15" hidden="false" customHeight="false" outlineLevel="0" collapsed="false">
      <c r="A777" s="9"/>
      <c r="B777" s="9"/>
      <c r="C777" s="11"/>
      <c r="D777" s="9"/>
      <c r="E777" s="9"/>
      <c r="F777" s="22" t="str">
        <f aca="false">IF(E777="","",IFERROR(INDEX(02_INDICADORES!$B$2:$B$42,MATCH(E777,02_INDICADORES!$A$2:$A$42,0)),"ID?"))</f>
        <v/>
      </c>
      <c r="G777" s="21" t="str">
        <f aca="false">IF(E777="","",IFERROR(INDEX(02_INDICADORES!$C$2:$C$42,MATCH(E777,02_INDICADORES!$A$2:$A$42,0)),"ID?"))</f>
        <v/>
      </c>
      <c r="H777" s="22" t="str">
        <f aca="false">IF(E777="","",IFERROR(INDEX(02_INDICADORES!$D$2:$D$42,MATCH(E777,02_INDICADORES!$A$2:$A$42,0)),""))</f>
        <v/>
      </c>
      <c r="I777" s="9"/>
      <c r="J777" s="16" t="str">
        <f aca="false">IF(OR(I777="",H777=""),"",I777*H777)</f>
        <v/>
      </c>
      <c r="K777" s="9"/>
      <c r="L777" s="9"/>
      <c r="M777" s="9"/>
    </row>
    <row r="778" customFormat="false" ht="15" hidden="false" customHeight="false" outlineLevel="0" collapsed="false">
      <c r="A778" s="9"/>
      <c r="B778" s="9"/>
      <c r="C778" s="11"/>
      <c r="D778" s="9"/>
      <c r="E778" s="9"/>
      <c r="F778" s="22" t="str">
        <f aca="false">IF(E778="","",IFERROR(INDEX(02_INDICADORES!$B$2:$B$42,MATCH(E778,02_INDICADORES!$A$2:$A$42,0)),"ID?"))</f>
        <v/>
      </c>
      <c r="G778" s="21" t="str">
        <f aca="false">IF(E778="","",IFERROR(INDEX(02_INDICADORES!$C$2:$C$42,MATCH(E778,02_INDICADORES!$A$2:$A$42,0)),"ID?"))</f>
        <v/>
      </c>
      <c r="H778" s="22" t="str">
        <f aca="false">IF(E778="","",IFERROR(INDEX(02_INDICADORES!$D$2:$D$42,MATCH(E778,02_INDICADORES!$A$2:$A$42,0)),""))</f>
        <v/>
      </c>
      <c r="I778" s="9"/>
      <c r="J778" s="16" t="str">
        <f aca="false">IF(OR(I778="",H778=""),"",I778*H778)</f>
        <v/>
      </c>
      <c r="K778" s="9"/>
      <c r="L778" s="9"/>
      <c r="M778" s="9"/>
    </row>
    <row r="779" customFormat="false" ht="15" hidden="false" customHeight="false" outlineLevel="0" collapsed="false">
      <c r="A779" s="9"/>
      <c r="B779" s="9"/>
      <c r="C779" s="11"/>
      <c r="D779" s="9"/>
      <c r="E779" s="9"/>
      <c r="F779" s="22" t="str">
        <f aca="false">IF(E779="","",IFERROR(INDEX(02_INDICADORES!$B$2:$B$42,MATCH(E779,02_INDICADORES!$A$2:$A$42,0)),"ID?"))</f>
        <v/>
      </c>
      <c r="G779" s="21" t="str">
        <f aca="false">IF(E779="","",IFERROR(INDEX(02_INDICADORES!$C$2:$C$42,MATCH(E779,02_INDICADORES!$A$2:$A$42,0)),"ID?"))</f>
        <v/>
      </c>
      <c r="H779" s="22" t="str">
        <f aca="false">IF(E779="","",IFERROR(INDEX(02_INDICADORES!$D$2:$D$42,MATCH(E779,02_INDICADORES!$A$2:$A$42,0)),""))</f>
        <v/>
      </c>
      <c r="I779" s="9"/>
      <c r="J779" s="16" t="str">
        <f aca="false">IF(OR(I779="",H779=""),"",I779*H779)</f>
        <v/>
      </c>
      <c r="K779" s="9"/>
      <c r="L779" s="9"/>
      <c r="M779" s="9"/>
    </row>
    <row r="780" customFormat="false" ht="15" hidden="false" customHeight="false" outlineLevel="0" collapsed="false">
      <c r="A780" s="9"/>
      <c r="B780" s="9"/>
      <c r="C780" s="11"/>
      <c r="D780" s="9"/>
      <c r="E780" s="9"/>
      <c r="F780" s="22" t="str">
        <f aca="false">IF(E780="","",IFERROR(INDEX(02_INDICADORES!$B$2:$B$42,MATCH(E780,02_INDICADORES!$A$2:$A$42,0)),"ID?"))</f>
        <v/>
      </c>
      <c r="G780" s="21" t="str">
        <f aca="false">IF(E780="","",IFERROR(INDEX(02_INDICADORES!$C$2:$C$42,MATCH(E780,02_INDICADORES!$A$2:$A$42,0)),"ID?"))</f>
        <v/>
      </c>
      <c r="H780" s="22" t="str">
        <f aca="false">IF(E780="","",IFERROR(INDEX(02_INDICADORES!$D$2:$D$42,MATCH(E780,02_INDICADORES!$A$2:$A$42,0)),""))</f>
        <v/>
      </c>
      <c r="I780" s="9"/>
      <c r="J780" s="16" t="str">
        <f aca="false">IF(OR(I780="",H780=""),"",I780*H780)</f>
        <v/>
      </c>
      <c r="K780" s="9"/>
      <c r="L780" s="9"/>
      <c r="M780" s="9"/>
    </row>
    <row r="781" customFormat="false" ht="15" hidden="false" customHeight="false" outlineLevel="0" collapsed="false">
      <c r="A781" s="9"/>
      <c r="B781" s="9"/>
      <c r="C781" s="11"/>
      <c r="D781" s="9"/>
      <c r="E781" s="9"/>
      <c r="F781" s="22" t="str">
        <f aca="false">IF(E781="","",IFERROR(INDEX(02_INDICADORES!$B$2:$B$42,MATCH(E781,02_INDICADORES!$A$2:$A$42,0)),"ID?"))</f>
        <v/>
      </c>
      <c r="G781" s="21" t="str">
        <f aca="false">IF(E781="","",IFERROR(INDEX(02_INDICADORES!$C$2:$C$42,MATCH(E781,02_INDICADORES!$A$2:$A$42,0)),"ID?"))</f>
        <v/>
      </c>
      <c r="H781" s="22" t="str">
        <f aca="false">IF(E781="","",IFERROR(INDEX(02_INDICADORES!$D$2:$D$42,MATCH(E781,02_INDICADORES!$A$2:$A$42,0)),""))</f>
        <v/>
      </c>
      <c r="I781" s="9"/>
      <c r="J781" s="16" t="str">
        <f aca="false">IF(OR(I781="",H781=""),"",I781*H781)</f>
        <v/>
      </c>
      <c r="K781" s="9"/>
      <c r="L781" s="9"/>
      <c r="M781" s="9"/>
    </row>
    <row r="782" customFormat="false" ht="15" hidden="false" customHeight="false" outlineLevel="0" collapsed="false">
      <c r="A782" s="9"/>
      <c r="B782" s="9"/>
      <c r="C782" s="11"/>
      <c r="D782" s="9"/>
      <c r="E782" s="9"/>
      <c r="F782" s="22" t="str">
        <f aca="false">IF(E782="","",IFERROR(INDEX(02_INDICADORES!$B$2:$B$42,MATCH(E782,02_INDICADORES!$A$2:$A$42,0)),"ID?"))</f>
        <v/>
      </c>
      <c r="G782" s="21" t="str">
        <f aca="false">IF(E782="","",IFERROR(INDEX(02_INDICADORES!$C$2:$C$42,MATCH(E782,02_INDICADORES!$A$2:$A$42,0)),"ID?"))</f>
        <v/>
      </c>
      <c r="H782" s="22" t="str">
        <f aca="false">IF(E782="","",IFERROR(INDEX(02_INDICADORES!$D$2:$D$42,MATCH(E782,02_INDICADORES!$A$2:$A$42,0)),""))</f>
        <v/>
      </c>
      <c r="I782" s="9"/>
      <c r="J782" s="16" t="str">
        <f aca="false">IF(OR(I782="",H782=""),"",I782*H782)</f>
        <v/>
      </c>
      <c r="K782" s="9"/>
      <c r="L782" s="9"/>
      <c r="M782" s="9"/>
    </row>
    <row r="783" customFormat="false" ht="15" hidden="false" customHeight="false" outlineLevel="0" collapsed="false">
      <c r="A783" s="9"/>
      <c r="B783" s="9"/>
      <c r="C783" s="11"/>
      <c r="D783" s="9"/>
      <c r="E783" s="9"/>
      <c r="F783" s="22" t="str">
        <f aca="false">IF(E783="","",IFERROR(INDEX(02_INDICADORES!$B$2:$B$42,MATCH(E783,02_INDICADORES!$A$2:$A$42,0)),"ID?"))</f>
        <v/>
      </c>
      <c r="G783" s="21" t="str">
        <f aca="false">IF(E783="","",IFERROR(INDEX(02_INDICADORES!$C$2:$C$42,MATCH(E783,02_INDICADORES!$A$2:$A$42,0)),"ID?"))</f>
        <v/>
      </c>
      <c r="H783" s="22" t="str">
        <f aca="false">IF(E783="","",IFERROR(INDEX(02_INDICADORES!$D$2:$D$42,MATCH(E783,02_INDICADORES!$A$2:$A$42,0)),""))</f>
        <v/>
      </c>
      <c r="I783" s="9"/>
      <c r="J783" s="16" t="str">
        <f aca="false">IF(OR(I783="",H783=""),"",I783*H783)</f>
        <v/>
      </c>
      <c r="K783" s="9"/>
      <c r="L783" s="9"/>
      <c r="M783" s="9"/>
    </row>
    <row r="784" customFormat="false" ht="15" hidden="false" customHeight="false" outlineLevel="0" collapsed="false">
      <c r="A784" s="9"/>
      <c r="B784" s="9"/>
      <c r="C784" s="11"/>
      <c r="D784" s="9"/>
      <c r="E784" s="9"/>
      <c r="F784" s="22" t="str">
        <f aca="false">IF(E784="","",IFERROR(INDEX(02_INDICADORES!$B$2:$B$42,MATCH(E784,02_INDICADORES!$A$2:$A$42,0)),"ID?"))</f>
        <v/>
      </c>
      <c r="G784" s="21" t="str">
        <f aca="false">IF(E784="","",IFERROR(INDEX(02_INDICADORES!$C$2:$C$42,MATCH(E784,02_INDICADORES!$A$2:$A$42,0)),"ID?"))</f>
        <v/>
      </c>
      <c r="H784" s="22" t="str">
        <f aca="false">IF(E784="","",IFERROR(INDEX(02_INDICADORES!$D$2:$D$42,MATCH(E784,02_INDICADORES!$A$2:$A$42,0)),""))</f>
        <v/>
      </c>
      <c r="I784" s="9"/>
      <c r="J784" s="16" t="str">
        <f aca="false">IF(OR(I784="",H784=""),"",I784*H784)</f>
        <v/>
      </c>
      <c r="K784" s="9"/>
      <c r="L784" s="9"/>
      <c r="M784" s="9"/>
    </row>
    <row r="785" customFormat="false" ht="15" hidden="false" customHeight="false" outlineLevel="0" collapsed="false">
      <c r="A785" s="9"/>
      <c r="B785" s="9"/>
      <c r="C785" s="11"/>
      <c r="D785" s="9"/>
      <c r="E785" s="9"/>
      <c r="F785" s="22" t="str">
        <f aca="false">IF(E785="","",IFERROR(INDEX(02_INDICADORES!$B$2:$B$42,MATCH(E785,02_INDICADORES!$A$2:$A$42,0)),"ID?"))</f>
        <v/>
      </c>
      <c r="G785" s="21" t="str">
        <f aca="false">IF(E785="","",IFERROR(INDEX(02_INDICADORES!$C$2:$C$42,MATCH(E785,02_INDICADORES!$A$2:$A$42,0)),"ID?"))</f>
        <v/>
      </c>
      <c r="H785" s="22" t="str">
        <f aca="false">IF(E785="","",IFERROR(INDEX(02_INDICADORES!$D$2:$D$42,MATCH(E785,02_INDICADORES!$A$2:$A$42,0)),""))</f>
        <v/>
      </c>
      <c r="I785" s="9"/>
      <c r="J785" s="16" t="str">
        <f aca="false">IF(OR(I785="",H785=""),"",I785*H785)</f>
        <v/>
      </c>
      <c r="K785" s="9"/>
      <c r="L785" s="9"/>
      <c r="M785" s="9"/>
    </row>
    <row r="786" customFormat="false" ht="15" hidden="false" customHeight="false" outlineLevel="0" collapsed="false">
      <c r="A786" s="9"/>
      <c r="B786" s="9"/>
      <c r="C786" s="11"/>
      <c r="D786" s="9"/>
      <c r="E786" s="9"/>
      <c r="F786" s="22" t="str">
        <f aca="false">IF(E786="","",IFERROR(INDEX(02_INDICADORES!$B$2:$B$42,MATCH(E786,02_INDICADORES!$A$2:$A$42,0)),"ID?"))</f>
        <v/>
      </c>
      <c r="G786" s="21" t="str">
        <f aca="false">IF(E786="","",IFERROR(INDEX(02_INDICADORES!$C$2:$C$42,MATCH(E786,02_INDICADORES!$A$2:$A$42,0)),"ID?"))</f>
        <v/>
      </c>
      <c r="H786" s="22" t="str">
        <f aca="false">IF(E786="","",IFERROR(INDEX(02_INDICADORES!$D$2:$D$42,MATCH(E786,02_INDICADORES!$A$2:$A$42,0)),""))</f>
        <v/>
      </c>
      <c r="I786" s="9"/>
      <c r="J786" s="16" t="str">
        <f aca="false">IF(OR(I786="",H786=""),"",I786*H786)</f>
        <v/>
      </c>
      <c r="K786" s="9"/>
      <c r="L786" s="9"/>
      <c r="M786" s="9"/>
    </row>
    <row r="787" customFormat="false" ht="15" hidden="false" customHeight="false" outlineLevel="0" collapsed="false">
      <c r="A787" s="9"/>
      <c r="B787" s="9"/>
      <c r="C787" s="11"/>
      <c r="D787" s="9"/>
      <c r="E787" s="9"/>
      <c r="F787" s="22" t="str">
        <f aca="false">IF(E787="","",IFERROR(INDEX(02_INDICADORES!$B$2:$B$42,MATCH(E787,02_INDICADORES!$A$2:$A$42,0)),"ID?"))</f>
        <v/>
      </c>
      <c r="G787" s="21" t="str">
        <f aca="false">IF(E787="","",IFERROR(INDEX(02_INDICADORES!$C$2:$C$42,MATCH(E787,02_INDICADORES!$A$2:$A$42,0)),"ID?"))</f>
        <v/>
      </c>
      <c r="H787" s="22" t="str">
        <f aca="false">IF(E787="","",IFERROR(INDEX(02_INDICADORES!$D$2:$D$42,MATCH(E787,02_INDICADORES!$A$2:$A$42,0)),""))</f>
        <v/>
      </c>
      <c r="I787" s="9"/>
      <c r="J787" s="16" t="str">
        <f aca="false">IF(OR(I787="",H787=""),"",I787*H787)</f>
        <v/>
      </c>
      <c r="K787" s="9"/>
      <c r="L787" s="9"/>
      <c r="M787" s="9"/>
    </row>
    <row r="788" customFormat="false" ht="15" hidden="false" customHeight="false" outlineLevel="0" collapsed="false">
      <c r="A788" s="9"/>
      <c r="B788" s="9"/>
      <c r="C788" s="11"/>
      <c r="D788" s="9"/>
      <c r="E788" s="9"/>
      <c r="F788" s="22" t="str">
        <f aca="false">IF(E788="","",IFERROR(INDEX(02_INDICADORES!$B$2:$B$42,MATCH(E788,02_INDICADORES!$A$2:$A$42,0)),"ID?"))</f>
        <v/>
      </c>
      <c r="G788" s="21" t="str">
        <f aca="false">IF(E788="","",IFERROR(INDEX(02_INDICADORES!$C$2:$C$42,MATCH(E788,02_INDICADORES!$A$2:$A$42,0)),"ID?"))</f>
        <v/>
      </c>
      <c r="H788" s="22" t="str">
        <f aca="false">IF(E788="","",IFERROR(INDEX(02_INDICADORES!$D$2:$D$42,MATCH(E788,02_INDICADORES!$A$2:$A$42,0)),""))</f>
        <v/>
      </c>
      <c r="I788" s="9"/>
      <c r="J788" s="16" t="str">
        <f aca="false">IF(OR(I788="",H788=""),"",I788*H788)</f>
        <v/>
      </c>
      <c r="K788" s="9"/>
      <c r="L788" s="9"/>
      <c r="M788" s="9"/>
    </row>
    <row r="789" customFormat="false" ht="15" hidden="false" customHeight="false" outlineLevel="0" collapsed="false">
      <c r="A789" s="9"/>
      <c r="B789" s="9"/>
      <c r="C789" s="11"/>
      <c r="D789" s="9"/>
      <c r="E789" s="9"/>
      <c r="F789" s="22" t="str">
        <f aca="false">IF(E789="","",IFERROR(INDEX(02_INDICADORES!$B$2:$B$42,MATCH(E789,02_INDICADORES!$A$2:$A$42,0)),"ID?"))</f>
        <v/>
      </c>
      <c r="G789" s="21" t="str">
        <f aca="false">IF(E789="","",IFERROR(INDEX(02_INDICADORES!$C$2:$C$42,MATCH(E789,02_INDICADORES!$A$2:$A$42,0)),"ID?"))</f>
        <v/>
      </c>
      <c r="H789" s="22" t="str">
        <f aca="false">IF(E789="","",IFERROR(INDEX(02_INDICADORES!$D$2:$D$42,MATCH(E789,02_INDICADORES!$A$2:$A$42,0)),""))</f>
        <v/>
      </c>
      <c r="I789" s="9"/>
      <c r="J789" s="16" t="str">
        <f aca="false">IF(OR(I789="",H789=""),"",I789*H789)</f>
        <v/>
      </c>
      <c r="K789" s="9"/>
      <c r="L789" s="9"/>
      <c r="M789" s="9"/>
    </row>
    <row r="790" customFormat="false" ht="15" hidden="false" customHeight="false" outlineLevel="0" collapsed="false">
      <c r="A790" s="9"/>
      <c r="B790" s="9"/>
      <c r="C790" s="11"/>
      <c r="D790" s="9"/>
      <c r="E790" s="9"/>
      <c r="F790" s="22" t="str">
        <f aca="false">IF(E790="","",IFERROR(INDEX(02_INDICADORES!$B$2:$B$42,MATCH(E790,02_INDICADORES!$A$2:$A$42,0)),"ID?"))</f>
        <v/>
      </c>
      <c r="G790" s="21" t="str">
        <f aca="false">IF(E790="","",IFERROR(INDEX(02_INDICADORES!$C$2:$C$42,MATCH(E790,02_INDICADORES!$A$2:$A$42,0)),"ID?"))</f>
        <v/>
      </c>
      <c r="H790" s="22" t="str">
        <f aca="false">IF(E790="","",IFERROR(INDEX(02_INDICADORES!$D$2:$D$42,MATCH(E790,02_INDICADORES!$A$2:$A$42,0)),""))</f>
        <v/>
      </c>
      <c r="I790" s="9"/>
      <c r="J790" s="16" t="str">
        <f aca="false">IF(OR(I790="",H790=""),"",I790*H790)</f>
        <v/>
      </c>
      <c r="K790" s="9"/>
      <c r="L790" s="9"/>
      <c r="M790" s="9"/>
    </row>
    <row r="791" customFormat="false" ht="15" hidden="false" customHeight="false" outlineLevel="0" collapsed="false">
      <c r="A791" s="9"/>
      <c r="B791" s="9"/>
      <c r="C791" s="11"/>
      <c r="D791" s="9"/>
      <c r="E791" s="9"/>
      <c r="F791" s="22" t="str">
        <f aca="false">IF(E791="","",IFERROR(INDEX(02_INDICADORES!$B$2:$B$42,MATCH(E791,02_INDICADORES!$A$2:$A$42,0)),"ID?"))</f>
        <v/>
      </c>
      <c r="G791" s="21" t="str">
        <f aca="false">IF(E791="","",IFERROR(INDEX(02_INDICADORES!$C$2:$C$42,MATCH(E791,02_INDICADORES!$A$2:$A$42,0)),"ID?"))</f>
        <v/>
      </c>
      <c r="H791" s="22" t="str">
        <f aca="false">IF(E791="","",IFERROR(INDEX(02_INDICADORES!$D$2:$D$42,MATCH(E791,02_INDICADORES!$A$2:$A$42,0)),""))</f>
        <v/>
      </c>
      <c r="I791" s="9"/>
      <c r="J791" s="16" t="str">
        <f aca="false">IF(OR(I791="",H791=""),"",I791*H791)</f>
        <v/>
      </c>
      <c r="K791" s="9"/>
      <c r="L791" s="9"/>
      <c r="M791" s="9"/>
    </row>
    <row r="792" customFormat="false" ht="15" hidden="false" customHeight="false" outlineLevel="0" collapsed="false">
      <c r="A792" s="9"/>
      <c r="B792" s="9"/>
      <c r="C792" s="11"/>
      <c r="D792" s="9"/>
      <c r="E792" s="9"/>
      <c r="F792" s="22" t="str">
        <f aca="false">IF(E792="","",IFERROR(INDEX(02_INDICADORES!$B$2:$B$42,MATCH(E792,02_INDICADORES!$A$2:$A$42,0)),"ID?"))</f>
        <v/>
      </c>
      <c r="G792" s="21" t="str">
        <f aca="false">IF(E792="","",IFERROR(INDEX(02_INDICADORES!$C$2:$C$42,MATCH(E792,02_INDICADORES!$A$2:$A$42,0)),"ID?"))</f>
        <v/>
      </c>
      <c r="H792" s="22" t="str">
        <f aca="false">IF(E792="","",IFERROR(INDEX(02_INDICADORES!$D$2:$D$42,MATCH(E792,02_INDICADORES!$A$2:$A$42,0)),""))</f>
        <v/>
      </c>
      <c r="I792" s="9"/>
      <c r="J792" s="16" t="str">
        <f aca="false">IF(OR(I792="",H792=""),"",I792*H792)</f>
        <v/>
      </c>
      <c r="K792" s="9"/>
      <c r="L792" s="9"/>
      <c r="M792" s="9"/>
    </row>
    <row r="793" customFormat="false" ht="15" hidden="false" customHeight="false" outlineLevel="0" collapsed="false">
      <c r="A793" s="9"/>
      <c r="B793" s="9"/>
      <c r="C793" s="11"/>
      <c r="D793" s="9"/>
      <c r="E793" s="9"/>
      <c r="F793" s="22" t="str">
        <f aca="false">IF(E793="","",IFERROR(INDEX(02_INDICADORES!$B$2:$B$42,MATCH(E793,02_INDICADORES!$A$2:$A$42,0)),"ID?"))</f>
        <v/>
      </c>
      <c r="G793" s="21" t="str">
        <f aca="false">IF(E793="","",IFERROR(INDEX(02_INDICADORES!$C$2:$C$42,MATCH(E793,02_INDICADORES!$A$2:$A$42,0)),"ID?"))</f>
        <v/>
      </c>
      <c r="H793" s="22" t="str">
        <f aca="false">IF(E793="","",IFERROR(INDEX(02_INDICADORES!$D$2:$D$42,MATCH(E793,02_INDICADORES!$A$2:$A$42,0)),""))</f>
        <v/>
      </c>
      <c r="I793" s="9"/>
      <c r="J793" s="16" t="str">
        <f aca="false">IF(OR(I793="",H793=""),"",I793*H793)</f>
        <v/>
      </c>
      <c r="K793" s="9"/>
      <c r="L793" s="9"/>
      <c r="M793" s="9"/>
    </row>
    <row r="794" customFormat="false" ht="15" hidden="false" customHeight="false" outlineLevel="0" collapsed="false">
      <c r="A794" s="9"/>
      <c r="B794" s="9"/>
      <c r="C794" s="11"/>
      <c r="D794" s="9"/>
      <c r="E794" s="9"/>
      <c r="F794" s="22" t="str">
        <f aca="false">IF(E794="","",IFERROR(INDEX(02_INDICADORES!$B$2:$B$42,MATCH(E794,02_INDICADORES!$A$2:$A$42,0)),"ID?"))</f>
        <v/>
      </c>
      <c r="G794" s="21" t="str">
        <f aca="false">IF(E794="","",IFERROR(INDEX(02_INDICADORES!$C$2:$C$42,MATCH(E794,02_INDICADORES!$A$2:$A$42,0)),"ID?"))</f>
        <v/>
      </c>
      <c r="H794" s="22" t="str">
        <f aca="false">IF(E794="","",IFERROR(INDEX(02_INDICADORES!$D$2:$D$42,MATCH(E794,02_INDICADORES!$A$2:$A$42,0)),""))</f>
        <v/>
      </c>
      <c r="I794" s="9"/>
      <c r="J794" s="16" t="str">
        <f aca="false">IF(OR(I794="",H794=""),"",I794*H794)</f>
        <v/>
      </c>
      <c r="K794" s="9"/>
      <c r="L794" s="9"/>
      <c r="M794" s="9"/>
    </row>
    <row r="795" customFormat="false" ht="15" hidden="false" customHeight="false" outlineLevel="0" collapsed="false">
      <c r="A795" s="9"/>
      <c r="B795" s="9"/>
      <c r="C795" s="11"/>
      <c r="D795" s="9"/>
      <c r="E795" s="9"/>
      <c r="F795" s="22" t="str">
        <f aca="false">IF(E795="","",IFERROR(INDEX(02_INDICADORES!$B$2:$B$42,MATCH(E795,02_INDICADORES!$A$2:$A$42,0)),"ID?"))</f>
        <v/>
      </c>
      <c r="G795" s="21" t="str">
        <f aca="false">IF(E795="","",IFERROR(INDEX(02_INDICADORES!$C$2:$C$42,MATCH(E795,02_INDICADORES!$A$2:$A$42,0)),"ID?"))</f>
        <v/>
      </c>
      <c r="H795" s="22" t="str">
        <f aca="false">IF(E795="","",IFERROR(INDEX(02_INDICADORES!$D$2:$D$42,MATCH(E795,02_INDICADORES!$A$2:$A$42,0)),""))</f>
        <v/>
      </c>
      <c r="I795" s="9"/>
      <c r="J795" s="16" t="str">
        <f aca="false">IF(OR(I795="",H795=""),"",I795*H795)</f>
        <v/>
      </c>
      <c r="K795" s="9"/>
      <c r="L795" s="9"/>
      <c r="M795" s="9"/>
    </row>
    <row r="796" customFormat="false" ht="15" hidden="false" customHeight="false" outlineLevel="0" collapsed="false">
      <c r="A796" s="9"/>
      <c r="B796" s="9"/>
      <c r="C796" s="11"/>
      <c r="D796" s="9"/>
      <c r="E796" s="9"/>
      <c r="F796" s="22" t="str">
        <f aca="false">IF(E796="","",IFERROR(INDEX(02_INDICADORES!$B$2:$B$42,MATCH(E796,02_INDICADORES!$A$2:$A$42,0)),"ID?"))</f>
        <v/>
      </c>
      <c r="G796" s="21" t="str">
        <f aca="false">IF(E796="","",IFERROR(INDEX(02_INDICADORES!$C$2:$C$42,MATCH(E796,02_INDICADORES!$A$2:$A$42,0)),"ID?"))</f>
        <v/>
      </c>
      <c r="H796" s="22" t="str">
        <f aca="false">IF(E796="","",IFERROR(INDEX(02_INDICADORES!$D$2:$D$42,MATCH(E796,02_INDICADORES!$A$2:$A$42,0)),""))</f>
        <v/>
      </c>
      <c r="I796" s="9"/>
      <c r="J796" s="16" t="str">
        <f aca="false">IF(OR(I796="",H796=""),"",I796*H796)</f>
        <v/>
      </c>
      <c r="K796" s="9"/>
      <c r="L796" s="9"/>
      <c r="M796" s="9"/>
    </row>
    <row r="797" customFormat="false" ht="15" hidden="false" customHeight="false" outlineLevel="0" collapsed="false">
      <c r="A797" s="9"/>
      <c r="B797" s="9"/>
      <c r="C797" s="11"/>
      <c r="D797" s="9"/>
      <c r="E797" s="9"/>
      <c r="F797" s="22" t="str">
        <f aca="false">IF(E797="","",IFERROR(INDEX(02_INDICADORES!$B$2:$B$42,MATCH(E797,02_INDICADORES!$A$2:$A$42,0)),"ID?"))</f>
        <v/>
      </c>
      <c r="G797" s="21" t="str">
        <f aca="false">IF(E797="","",IFERROR(INDEX(02_INDICADORES!$C$2:$C$42,MATCH(E797,02_INDICADORES!$A$2:$A$42,0)),"ID?"))</f>
        <v/>
      </c>
      <c r="H797" s="22" t="str">
        <f aca="false">IF(E797="","",IFERROR(INDEX(02_INDICADORES!$D$2:$D$42,MATCH(E797,02_INDICADORES!$A$2:$A$42,0)),""))</f>
        <v/>
      </c>
      <c r="I797" s="9"/>
      <c r="J797" s="16" t="str">
        <f aca="false">IF(OR(I797="",H797=""),"",I797*H797)</f>
        <v/>
      </c>
      <c r="K797" s="9"/>
      <c r="L797" s="9"/>
      <c r="M797" s="9"/>
    </row>
    <row r="798" customFormat="false" ht="15" hidden="false" customHeight="false" outlineLevel="0" collapsed="false">
      <c r="A798" s="9"/>
      <c r="B798" s="9"/>
      <c r="C798" s="11"/>
      <c r="D798" s="9"/>
      <c r="E798" s="9"/>
      <c r="F798" s="22" t="str">
        <f aca="false">IF(E798="","",IFERROR(INDEX(02_INDICADORES!$B$2:$B$42,MATCH(E798,02_INDICADORES!$A$2:$A$42,0)),"ID?"))</f>
        <v/>
      </c>
      <c r="G798" s="21" t="str">
        <f aca="false">IF(E798="","",IFERROR(INDEX(02_INDICADORES!$C$2:$C$42,MATCH(E798,02_INDICADORES!$A$2:$A$42,0)),"ID?"))</f>
        <v/>
      </c>
      <c r="H798" s="22" t="str">
        <f aca="false">IF(E798="","",IFERROR(INDEX(02_INDICADORES!$D$2:$D$42,MATCH(E798,02_INDICADORES!$A$2:$A$42,0)),""))</f>
        <v/>
      </c>
      <c r="I798" s="9"/>
      <c r="J798" s="16" t="str">
        <f aca="false">IF(OR(I798="",H798=""),"",I798*H798)</f>
        <v/>
      </c>
      <c r="K798" s="9"/>
      <c r="L798" s="9"/>
      <c r="M798" s="9"/>
    </row>
    <row r="799" customFormat="false" ht="15" hidden="false" customHeight="false" outlineLevel="0" collapsed="false">
      <c r="A799" s="9"/>
      <c r="B799" s="9"/>
      <c r="C799" s="11"/>
      <c r="D799" s="9"/>
      <c r="E799" s="9"/>
      <c r="F799" s="22" t="str">
        <f aca="false">IF(E799="","",IFERROR(INDEX(02_INDICADORES!$B$2:$B$42,MATCH(E799,02_INDICADORES!$A$2:$A$42,0)),"ID?"))</f>
        <v/>
      </c>
      <c r="G799" s="21" t="str">
        <f aca="false">IF(E799="","",IFERROR(INDEX(02_INDICADORES!$C$2:$C$42,MATCH(E799,02_INDICADORES!$A$2:$A$42,0)),"ID?"))</f>
        <v/>
      </c>
      <c r="H799" s="22" t="str">
        <f aca="false">IF(E799="","",IFERROR(INDEX(02_INDICADORES!$D$2:$D$42,MATCH(E799,02_INDICADORES!$A$2:$A$42,0)),""))</f>
        <v/>
      </c>
      <c r="I799" s="9"/>
      <c r="J799" s="16" t="str">
        <f aca="false">IF(OR(I799="",H799=""),"",I799*H799)</f>
        <v/>
      </c>
      <c r="K799" s="9"/>
      <c r="L799" s="9"/>
      <c r="M799" s="9"/>
    </row>
    <row r="800" customFormat="false" ht="15" hidden="false" customHeight="false" outlineLevel="0" collapsed="false">
      <c r="A800" s="9"/>
      <c r="B800" s="9"/>
      <c r="C800" s="11"/>
      <c r="D800" s="9"/>
      <c r="E800" s="9"/>
      <c r="F800" s="22" t="str">
        <f aca="false">IF(E800="","",IFERROR(INDEX(02_INDICADORES!$B$2:$B$42,MATCH(E800,02_INDICADORES!$A$2:$A$42,0)),"ID?"))</f>
        <v/>
      </c>
      <c r="G800" s="21" t="str">
        <f aca="false">IF(E800="","",IFERROR(INDEX(02_INDICADORES!$C$2:$C$42,MATCH(E800,02_INDICADORES!$A$2:$A$42,0)),"ID?"))</f>
        <v/>
      </c>
      <c r="H800" s="22" t="str">
        <f aca="false">IF(E800="","",IFERROR(INDEX(02_INDICADORES!$D$2:$D$42,MATCH(E800,02_INDICADORES!$A$2:$A$42,0)),""))</f>
        <v/>
      </c>
      <c r="I800" s="9"/>
      <c r="J800" s="16" t="str">
        <f aca="false">IF(OR(I800="",H800=""),"",I800*H800)</f>
        <v/>
      </c>
      <c r="K800" s="9"/>
      <c r="L800" s="9"/>
      <c r="M800" s="9"/>
    </row>
    <row r="801" customFormat="false" ht="15" hidden="false" customHeight="false" outlineLevel="0" collapsed="false">
      <c r="A801" s="9"/>
      <c r="B801" s="9"/>
      <c r="C801" s="11"/>
      <c r="D801" s="9"/>
      <c r="E801" s="9"/>
      <c r="F801" s="22" t="str">
        <f aca="false">IF(E801="","",IFERROR(INDEX(02_INDICADORES!$B$2:$B$42,MATCH(E801,02_INDICADORES!$A$2:$A$42,0)),"ID?"))</f>
        <v/>
      </c>
      <c r="G801" s="21" t="str">
        <f aca="false">IF(E801="","",IFERROR(INDEX(02_INDICADORES!$C$2:$C$42,MATCH(E801,02_INDICADORES!$A$2:$A$42,0)),"ID?"))</f>
        <v/>
      </c>
      <c r="H801" s="22" t="str">
        <f aca="false">IF(E801="","",IFERROR(INDEX(02_INDICADORES!$D$2:$D$42,MATCH(E801,02_INDICADORES!$A$2:$A$42,0)),""))</f>
        <v/>
      </c>
      <c r="I801" s="9"/>
      <c r="J801" s="16" t="str">
        <f aca="false">IF(OR(I801="",H801=""),"",I801*H801)</f>
        <v/>
      </c>
      <c r="K801" s="9"/>
      <c r="L801" s="9"/>
      <c r="M801" s="9"/>
    </row>
    <row r="802" customFormat="false" ht="15" hidden="false" customHeight="false" outlineLevel="0" collapsed="false">
      <c r="A802" s="9"/>
      <c r="B802" s="9"/>
      <c r="C802" s="11"/>
      <c r="D802" s="9"/>
      <c r="E802" s="9"/>
      <c r="F802" s="22" t="str">
        <f aca="false">IF(E802="","",IFERROR(INDEX(02_INDICADORES!$B$2:$B$42,MATCH(E802,02_INDICADORES!$A$2:$A$42,0)),"ID?"))</f>
        <v/>
      </c>
      <c r="G802" s="21" t="str">
        <f aca="false">IF(E802="","",IFERROR(INDEX(02_INDICADORES!$C$2:$C$42,MATCH(E802,02_INDICADORES!$A$2:$A$42,0)),"ID?"))</f>
        <v/>
      </c>
      <c r="H802" s="22" t="str">
        <f aca="false">IF(E802="","",IFERROR(INDEX(02_INDICADORES!$D$2:$D$42,MATCH(E802,02_INDICADORES!$A$2:$A$42,0)),""))</f>
        <v/>
      </c>
      <c r="I802" s="9"/>
      <c r="J802" s="16" t="str">
        <f aca="false">IF(OR(I802="",H802=""),"",I802*H802)</f>
        <v/>
      </c>
      <c r="K802" s="9"/>
      <c r="L802" s="9"/>
      <c r="M802" s="9"/>
    </row>
    <row r="803" customFormat="false" ht="15" hidden="false" customHeight="false" outlineLevel="0" collapsed="false">
      <c r="A803" s="9"/>
      <c r="B803" s="9"/>
      <c r="C803" s="11"/>
      <c r="D803" s="9"/>
      <c r="E803" s="9"/>
      <c r="F803" s="22" t="str">
        <f aca="false">IF(E803="","",IFERROR(INDEX(02_INDICADORES!$B$2:$B$42,MATCH(E803,02_INDICADORES!$A$2:$A$42,0)),"ID?"))</f>
        <v/>
      </c>
      <c r="G803" s="21" t="str">
        <f aca="false">IF(E803="","",IFERROR(INDEX(02_INDICADORES!$C$2:$C$42,MATCH(E803,02_INDICADORES!$A$2:$A$42,0)),"ID?"))</f>
        <v/>
      </c>
      <c r="H803" s="22" t="str">
        <f aca="false">IF(E803="","",IFERROR(INDEX(02_INDICADORES!$D$2:$D$42,MATCH(E803,02_INDICADORES!$A$2:$A$42,0)),""))</f>
        <v/>
      </c>
      <c r="I803" s="9"/>
      <c r="J803" s="16" t="str">
        <f aca="false">IF(OR(I803="",H803=""),"",I803*H803)</f>
        <v/>
      </c>
      <c r="K803" s="9"/>
      <c r="L803" s="9"/>
      <c r="M803" s="9"/>
    </row>
    <row r="804" customFormat="false" ht="15" hidden="false" customHeight="false" outlineLevel="0" collapsed="false">
      <c r="A804" s="9"/>
      <c r="B804" s="9"/>
      <c r="C804" s="11"/>
      <c r="D804" s="9"/>
      <c r="E804" s="9"/>
      <c r="F804" s="22" t="str">
        <f aca="false">IF(E804="","",IFERROR(INDEX(02_INDICADORES!$B$2:$B$42,MATCH(E804,02_INDICADORES!$A$2:$A$42,0)),"ID?"))</f>
        <v/>
      </c>
      <c r="G804" s="21" t="str">
        <f aca="false">IF(E804="","",IFERROR(INDEX(02_INDICADORES!$C$2:$C$42,MATCH(E804,02_INDICADORES!$A$2:$A$42,0)),"ID?"))</f>
        <v/>
      </c>
      <c r="H804" s="22" t="str">
        <f aca="false">IF(E804="","",IFERROR(INDEX(02_INDICADORES!$D$2:$D$42,MATCH(E804,02_INDICADORES!$A$2:$A$42,0)),""))</f>
        <v/>
      </c>
      <c r="I804" s="9"/>
      <c r="J804" s="16" t="str">
        <f aca="false">IF(OR(I804="",H804=""),"",I804*H804)</f>
        <v/>
      </c>
      <c r="K804" s="9"/>
      <c r="L804" s="9"/>
      <c r="M804" s="9"/>
    </row>
    <row r="805" customFormat="false" ht="15" hidden="false" customHeight="false" outlineLevel="0" collapsed="false">
      <c r="A805" s="9"/>
      <c r="B805" s="9"/>
      <c r="C805" s="11"/>
      <c r="D805" s="9"/>
      <c r="E805" s="9"/>
      <c r="F805" s="22" t="str">
        <f aca="false">IF(E805="","",IFERROR(INDEX(02_INDICADORES!$B$2:$B$42,MATCH(E805,02_INDICADORES!$A$2:$A$42,0)),"ID?"))</f>
        <v/>
      </c>
      <c r="G805" s="21" t="str">
        <f aca="false">IF(E805="","",IFERROR(INDEX(02_INDICADORES!$C$2:$C$42,MATCH(E805,02_INDICADORES!$A$2:$A$42,0)),"ID?"))</f>
        <v/>
      </c>
      <c r="H805" s="22" t="str">
        <f aca="false">IF(E805="","",IFERROR(INDEX(02_INDICADORES!$D$2:$D$42,MATCH(E805,02_INDICADORES!$A$2:$A$42,0)),""))</f>
        <v/>
      </c>
      <c r="I805" s="9"/>
      <c r="J805" s="16" t="str">
        <f aca="false">IF(OR(I805="",H805=""),"",I805*H805)</f>
        <v/>
      </c>
      <c r="K805" s="9"/>
      <c r="L805" s="9"/>
      <c r="M805" s="9"/>
    </row>
    <row r="806" customFormat="false" ht="15" hidden="false" customHeight="false" outlineLevel="0" collapsed="false">
      <c r="A806" s="9"/>
      <c r="B806" s="9"/>
      <c r="C806" s="11"/>
      <c r="D806" s="9"/>
      <c r="E806" s="9"/>
      <c r="F806" s="22" t="str">
        <f aca="false">IF(E806="","",IFERROR(INDEX(02_INDICADORES!$B$2:$B$42,MATCH(E806,02_INDICADORES!$A$2:$A$42,0)),"ID?"))</f>
        <v/>
      </c>
      <c r="G806" s="21" t="str">
        <f aca="false">IF(E806="","",IFERROR(INDEX(02_INDICADORES!$C$2:$C$42,MATCH(E806,02_INDICADORES!$A$2:$A$42,0)),"ID?"))</f>
        <v/>
      </c>
      <c r="H806" s="22" t="str">
        <f aca="false">IF(E806="","",IFERROR(INDEX(02_INDICADORES!$D$2:$D$42,MATCH(E806,02_INDICADORES!$A$2:$A$42,0)),""))</f>
        <v/>
      </c>
      <c r="I806" s="9"/>
      <c r="J806" s="16" t="str">
        <f aca="false">IF(OR(I806="",H806=""),"",I806*H806)</f>
        <v/>
      </c>
      <c r="K806" s="9"/>
      <c r="L806" s="9"/>
      <c r="M806" s="9"/>
    </row>
    <row r="807" customFormat="false" ht="15" hidden="false" customHeight="false" outlineLevel="0" collapsed="false">
      <c r="A807" s="9"/>
      <c r="B807" s="9"/>
      <c r="C807" s="11"/>
      <c r="D807" s="9"/>
      <c r="E807" s="9"/>
      <c r="F807" s="22" t="str">
        <f aca="false">IF(E807="","",IFERROR(INDEX(02_INDICADORES!$B$2:$B$42,MATCH(E807,02_INDICADORES!$A$2:$A$42,0)),"ID?"))</f>
        <v/>
      </c>
      <c r="G807" s="21" t="str">
        <f aca="false">IF(E807="","",IFERROR(INDEX(02_INDICADORES!$C$2:$C$42,MATCH(E807,02_INDICADORES!$A$2:$A$42,0)),"ID?"))</f>
        <v/>
      </c>
      <c r="H807" s="22" t="str">
        <f aca="false">IF(E807="","",IFERROR(INDEX(02_INDICADORES!$D$2:$D$42,MATCH(E807,02_INDICADORES!$A$2:$A$42,0)),""))</f>
        <v/>
      </c>
      <c r="I807" s="9"/>
      <c r="J807" s="16" t="str">
        <f aca="false">IF(OR(I807="",H807=""),"",I807*H807)</f>
        <v/>
      </c>
      <c r="K807" s="9"/>
      <c r="L807" s="9"/>
      <c r="M807" s="9"/>
    </row>
    <row r="808" customFormat="false" ht="15" hidden="false" customHeight="false" outlineLevel="0" collapsed="false">
      <c r="A808" s="9"/>
      <c r="B808" s="9"/>
      <c r="C808" s="11"/>
      <c r="D808" s="9"/>
      <c r="E808" s="9"/>
      <c r="F808" s="22" t="str">
        <f aca="false">IF(E808="","",IFERROR(INDEX(02_INDICADORES!$B$2:$B$42,MATCH(E808,02_INDICADORES!$A$2:$A$42,0)),"ID?"))</f>
        <v/>
      </c>
      <c r="G808" s="21" t="str">
        <f aca="false">IF(E808="","",IFERROR(INDEX(02_INDICADORES!$C$2:$C$42,MATCH(E808,02_INDICADORES!$A$2:$A$42,0)),"ID?"))</f>
        <v/>
      </c>
      <c r="H808" s="22" t="str">
        <f aca="false">IF(E808="","",IFERROR(INDEX(02_INDICADORES!$D$2:$D$42,MATCH(E808,02_INDICADORES!$A$2:$A$42,0)),""))</f>
        <v/>
      </c>
      <c r="I808" s="9"/>
      <c r="J808" s="16" t="str">
        <f aca="false">IF(OR(I808="",H808=""),"",I808*H808)</f>
        <v/>
      </c>
      <c r="K808" s="9"/>
      <c r="L808" s="9"/>
      <c r="M808" s="9"/>
    </row>
    <row r="809" customFormat="false" ht="15" hidden="false" customHeight="false" outlineLevel="0" collapsed="false">
      <c r="A809" s="9"/>
      <c r="B809" s="9"/>
      <c r="C809" s="11"/>
      <c r="D809" s="9"/>
      <c r="E809" s="9"/>
      <c r="F809" s="22" t="str">
        <f aca="false">IF(E809="","",IFERROR(INDEX(02_INDICADORES!$B$2:$B$42,MATCH(E809,02_INDICADORES!$A$2:$A$42,0)),"ID?"))</f>
        <v/>
      </c>
      <c r="G809" s="21" t="str">
        <f aca="false">IF(E809="","",IFERROR(INDEX(02_INDICADORES!$C$2:$C$42,MATCH(E809,02_INDICADORES!$A$2:$A$42,0)),"ID?"))</f>
        <v/>
      </c>
      <c r="H809" s="22" t="str">
        <f aca="false">IF(E809="","",IFERROR(INDEX(02_INDICADORES!$D$2:$D$42,MATCH(E809,02_INDICADORES!$A$2:$A$42,0)),""))</f>
        <v/>
      </c>
      <c r="I809" s="9"/>
      <c r="J809" s="16" t="str">
        <f aca="false">IF(OR(I809="",H809=""),"",I809*H809)</f>
        <v/>
      </c>
      <c r="K809" s="9"/>
      <c r="L809" s="9"/>
      <c r="M809" s="9"/>
    </row>
    <row r="810" customFormat="false" ht="15" hidden="false" customHeight="false" outlineLevel="0" collapsed="false">
      <c r="A810" s="9"/>
      <c r="B810" s="9"/>
      <c r="C810" s="11"/>
      <c r="D810" s="9"/>
      <c r="E810" s="9"/>
      <c r="F810" s="22" t="str">
        <f aca="false">IF(E810="","",IFERROR(INDEX(02_INDICADORES!$B$2:$B$42,MATCH(E810,02_INDICADORES!$A$2:$A$42,0)),"ID?"))</f>
        <v/>
      </c>
      <c r="G810" s="21" t="str">
        <f aca="false">IF(E810="","",IFERROR(INDEX(02_INDICADORES!$C$2:$C$42,MATCH(E810,02_INDICADORES!$A$2:$A$42,0)),"ID?"))</f>
        <v/>
      </c>
      <c r="H810" s="22" t="str">
        <f aca="false">IF(E810="","",IFERROR(INDEX(02_INDICADORES!$D$2:$D$42,MATCH(E810,02_INDICADORES!$A$2:$A$42,0)),""))</f>
        <v/>
      </c>
      <c r="I810" s="9"/>
      <c r="J810" s="16" t="str">
        <f aca="false">IF(OR(I810="",H810=""),"",I810*H810)</f>
        <v/>
      </c>
      <c r="K810" s="9"/>
      <c r="L810" s="9"/>
      <c r="M810" s="9"/>
    </row>
    <row r="811" customFormat="false" ht="15" hidden="false" customHeight="false" outlineLevel="0" collapsed="false">
      <c r="A811" s="9"/>
      <c r="B811" s="9"/>
      <c r="C811" s="11"/>
      <c r="D811" s="9"/>
      <c r="E811" s="9"/>
      <c r="F811" s="22" t="str">
        <f aca="false">IF(E811="","",IFERROR(INDEX(02_INDICADORES!$B$2:$B$42,MATCH(E811,02_INDICADORES!$A$2:$A$42,0)),"ID?"))</f>
        <v/>
      </c>
      <c r="G811" s="21" t="str">
        <f aca="false">IF(E811="","",IFERROR(INDEX(02_INDICADORES!$C$2:$C$42,MATCH(E811,02_INDICADORES!$A$2:$A$42,0)),"ID?"))</f>
        <v/>
      </c>
      <c r="H811" s="22" t="str">
        <f aca="false">IF(E811="","",IFERROR(INDEX(02_INDICADORES!$D$2:$D$42,MATCH(E811,02_INDICADORES!$A$2:$A$42,0)),""))</f>
        <v/>
      </c>
      <c r="I811" s="9"/>
      <c r="J811" s="16" t="str">
        <f aca="false">IF(OR(I811="",H811=""),"",I811*H811)</f>
        <v/>
      </c>
      <c r="K811" s="9"/>
      <c r="L811" s="9"/>
      <c r="M811" s="9"/>
    </row>
    <row r="812" customFormat="false" ht="15" hidden="false" customHeight="false" outlineLevel="0" collapsed="false">
      <c r="A812" s="9"/>
      <c r="B812" s="9"/>
      <c r="C812" s="11"/>
      <c r="D812" s="9"/>
      <c r="E812" s="9"/>
      <c r="F812" s="22" t="str">
        <f aca="false">IF(E812="","",IFERROR(INDEX(02_INDICADORES!$B$2:$B$42,MATCH(E812,02_INDICADORES!$A$2:$A$42,0)),"ID?"))</f>
        <v/>
      </c>
      <c r="G812" s="21" t="str">
        <f aca="false">IF(E812="","",IFERROR(INDEX(02_INDICADORES!$C$2:$C$42,MATCH(E812,02_INDICADORES!$A$2:$A$42,0)),"ID?"))</f>
        <v/>
      </c>
      <c r="H812" s="22" t="str">
        <f aca="false">IF(E812="","",IFERROR(INDEX(02_INDICADORES!$D$2:$D$42,MATCH(E812,02_INDICADORES!$A$2:$A$42,0)),""))</f>
        <v/>
      </c>
      <c r="I812" s="9"/>
      <c r="J812" s="16" t="str">
        <f aca="false">IF(OR(I812="",H812=""),"",I812*H812)</f>
        <v/>
      </c>
      <c r="K812" s="9"/>
      <c r="L812" s="9"/>
      <c r="M812" s="9"/>
    </row>
    <row r="813" customFormat="false" ht="15" hidden="false" customHeight="false" outlineLevel="0" collapsed="false">
      <c r="A813" s="9"/>
      <c r="B813" s="9"/>
      <c r="C813" s="11"/>
      <c r="D813" s="9"/>
      <c r="E813" s="9"/>
      <c r="F813" s="22" t="str">
        <f aca="false">IF(E813="","",IFERROR(INDEX(02_INDICADORES!$B$2:$B$42,MATCH(E813,02_INDICADORES!$A$2:$A$42,0)),"ID?"))</f>
        <v/>
      </c>
      <c r="G813" s="21" t="str">
        <f aca="false">IF(E813="","",IFERROR(INDEX(02_INDICADORES!$C$2:$C$42,MATCH(E813,02_INDICADORES!$A$2:$A$42,0)),"ID?"))</f>
        <v/>
      </c>
      <c r="H813" s="22" t="str">
        <f aca="false">IF(E813="","",IFERROR(INDEX(02_INDICADORES!$D$2:$D$42,MATCH(E813,02_INDICADORES!$A$2:$A$42,0)),""))</f>
        <v/>
      </c>
      <c r="I813" s="9"/>
      <c r="J813" s="16" t="str">
        <f aca="false">IF(OR(I813="",H813=""),"",I813*H813)</f>
        <v/>
      </c>
      <c r="K813" s="9"/>
      <c r="L813" s="9"/>
      <c r="M813" s="9"/>
    </row>
    <row r="814" customFormat="false" ht="15" hidden="false" customHeight="false" outlineLevel="0" collapsed="false">
      <c r="A814" s="9"/>
      <c r="B814" s="9"/>
      <c r="C814" s="11"/>
      <c r="D814" s="9"/>
      <c r="E814" s="9"/>
      <c r="F814" s="22" t="str">
        <f aca="false">IF(E814="","",IFERROR(INDEX(02_INDICADORES!$B$2:$B$42,MATCH(E814,02_INDICADORES!$A$2:$A$42,0)),"ID?"))</f>
        <v/>
      </c>
      <c r="G814" s="21" t="str">
        <f aca="false">IF(E814="","",IFERROR(INDEX(02_INDICADORES!$C$2:$C$42,MATCH(E814,02_INDICADORES!$A$2:$A$42,0)),"ID?"))</f>
        <v/>
      </c>
      <c r="H814" s="22" t="str">
        <f aca="false">IF(E814="","",IFERROR(INDEX(02_INDICADORES!$D$2:$D$42,MATCH(E814,02_INDICADORES!$A$2:$A$42,0)),""))</f>
        <v/>
      </c>
      <c r="I814" s="9"/>
      <c r="J814" s="16" t="str">
        <f aca="false">IF(OR(I814="",H814=""),"",I814*H814)</f>
        <v/>
      </c>
      <c r="K814" s="9"/>
      <c r="L814" s="9"/>
      <c r="M814" s="9"/>
    </row>
    <row r="815" customFormat="false" ht="15" hidden="false" customHeight="false" outlineLevel="0" collapsed="false">
      <c r="A815" s="9"/>
      <c r="B815" s="9"/>
      <c r="C815" s="11"/>
      <c r="D815" s="9"/>
      <c r="E815" s="9"/>
      <c r="F815" s="22" t="str">
        <f aca="false">IF(E815="","",IFERROR(INDEX(02_INDICADORES!$B$2:$B$42,MATCH(E815,02_INDICADORES!$A$2:$A$42,0)),"ID?"))</f>
        <v/>
      </c>
      <c r="G815" s="21" t="str">
        <f aca="false">IF(E815="","",IFERROR(INDEX(02_INDICADORES!$C$2:$C$42,MATCH(E815,02_INDICADORES!$A$2:$A$42,0)),"ID?"))</f>
        <v/>
      </c>
      <c r="H815" s="22" t="str">
        <f aca="false">IF(E815="","",IFERROR(INDEX(02_INDICADORES!$D$2:$D$42,MATCH(E815,02_INDICADORES!$A$2:$A$42,0)),""))</f>
        <v/>
      </c>
      <c r="I815" s="9"/>
      <c r="J815" s="16" t="str">
        <f aca="false">IF(OR(I815="",H815=""),"",I815*H815)</f>
        <v/>
      </c>
      <c r="K815" s="9"/>
      <c r="L815" s="9"/>
      <c r="M815" s="9"/>
    </row>
    <row r="816" customFormat="false" ht="15" hidden="false" customHeight="false" outlineLevel="0" collapsed="false">
      <c r="A816" s="9"/>
      <c r="B816" s="9"/>
      <c r="C816" s="11"/>
      <c r="D816" s="9"/>
      <c r="E816" s="9"/>
      <c r="F816" s="22" t="str">
        <f aca="false">IF(E816="","",IFERROR(INDEX(02_INDICADORES!$B$2:$B$42,MATCH(E816,02_INDICADORES!$A$2:$A$42,0)),"ID?"))</f>
        <v/>
      </c>
      <c r="G816" s="21" t="str">
        <f aca="false">IF(E816="","",IFERROR(INDEX(02_INDICADORES!$C$2:$C$42,MATCH(E816,02_INDICADORES!$A$2:$A$42,0)),"ID?"))</f>
        <v/>
      </c>
      <c r="H816" s="22" t="str">
        <f aca="false">IF(E816="","",IFERROR(INDEX(02_INDICADORES!$D$2:$D$42,MATCH(E816,02_INDICADORES!$A$2:$A$42,0)),""))</f>
        <v/>
      </c>
      <c r="I816" s="9"/>
      <c r="J816" s="16" t="str">
        <f aca="false">IF(OR(I816="",H816=""),"",I816*H816)</f>
        <v/>
      </c>
      <c r="K816" s="9"/>
      <c r="L816" s="9"/>
      <c r="M816" s="9"/>
    </row>
    <row r="817" customFormat="false" ht="15" hidden="false" customHeight="false" outlineLevel="0" collapsed="false">
      <c r="A817" s="9"/>
      <c r="B817" s="9"/>
      <c r="C817" s="11"/>
      <c r="D817" s="9"/>
      <c r="E817" s="9"/>
      <c r="F817" s="22" t="str">
        <f aca="false">IF(E817="","",IFERROR(INDEX(02_INDICADORES!$B$2:$B$42,MATCH(E817,02_INDICADORES!$A$2:$A$42,0)),"ID?"))</f>
        <v/>
      </c>
      <c r="G817" s="21" t="str">
        <f aca="false">IF(E817="","",IFERROR(INDEX(02_INDICADORES!$C$2:$C$42,MATCH(E817,02_INDICADORES!$A$2:$A$42,0)),"ID?"))</f>
        <v/>
      </c>
      <c r="H817" s="22" t="str">
        <f aca="false">IF(E817="","",IFERROR(INDEX(02_INDICADORES!$D$2:$D$42,MATCH(E817,02_INDICADORES!$A$2:$A$42,0)),""))</f>
        <v/>
      </c>
      <c r="I817" s="9"/>
      <c r="J817" s="16" t="str">
        <f aca="false">IF(OR(I817="",H817=""),"",I817*H817)</f>
        <v/>
      </c>
      <c r="K817" s="9"/>
      <c r="L817" s="9"/>
      <c r="M817" s="9"/>
    </row>
    <row r="818" customFormat="false" ht="15" hidden="false" customHeight="false" outlineLevel="0" collapsed="false">
      <c r="A818" s="9"/>
      <c r="B818" s="9"/>
      <c r="C818" s="11"/>
      <c r="D818" s="9"/>
      <c r="E818" s="9"/>
      <c r="F818" s="22" t="str">
        <f aca="false">IF(E818="","",IFERROR(INDEX(02_INDICADORES!$B$2:$B$42,MATCH(E818,02_INDICADORES!$A$2:$A$42,0)),"ID?"))</f>
        <v/>
      </c>
      <c r="G818" s="21" t="str">
        <f aca="false">IF(E818="","",IFERROR(INDEX(02_INDICADORES!$C$2:$C$42,MATCH(E818,02_INDICADORES!$A$2:$A$42,0)),"ID?"))</f>
        <v/>
      </c>
      <c r="H818" s="22" t="str">
        <f aca="false">IF(E818="","",IFERROR(INDEX(02_INDICADORES!$D$2:$D$42,MATCH(E818,02_INDICADORES!$A$2:$A$42,0)),""))</f>
        <v/>
      </c>
      <c r="I818" s="9"/>
      <c r="J818" s="16" t="str">
        <f aca="false">IF(OR(I818="",H818=""),"",I818*H818)</f>
        <v/>
      </c>
      <c r="K818" s="9"/>
      <c r="L818" s="9"/>
      <c r="M818" s="9"/>
    </row>
    <row r="819" customFormat="false" ht="15" hidden="false" customHeight="false" outlineLevel="0" collapsed="false">
      <c r="A819" s="9"/>
      <c r="B819" s="9"/>
      <c r="C819" s="11"/>
      <c r="D819" s="9"/>
      <c r="E819" s="9"/>
      <c r="F819" s="22" t="str">
        <f aca="false">IF(E819="","",IFERROR(INDEX(02_INDICADORES!$B$2:$B$42,MATCH(E819,02_INDICADORES!$A$2:$A$42,0)),"ID?"))</f>
        <v/>
      </c>
      <c r="G819" s="21" t="str">
        <f aca="false">IF(E819="","",IFERROR(INDEX(02_INDICADORES!$C$2:$C$42,MATCH(E819,02_INDICADORES!$A$2:$A$42,0)),"ID?"))</f>
        <v/>
      </c>
      <c r="H819" s="22" t="str">
        <f aca="false">IF(E819="","",IFERROR(INDEX(02_INDICADORES!$D$2:$D$42,MATCH(E819,02_INDICADORES!$A$2:$A$42,0)),""))</f>
        <v/>
      </c>
      <c r="I819" s="9"/>
      <c r="J819" s="16" t="str">
        <f aca="false">IF(OR(I819="",H819=""),"",I819*H819)</f>
        <v/>
      </c>
      <c r="K819" s="9"/>
      <c r="L819" s="9"/>
      <c r="M819" s="9"/>
    </row>
    <row r="820" customFormat="false" ht="15" hidden="false" customHeight="false" outlineLevel="0" collapsed="false">
      <c r="A820" s="9"/>
      <c r="B820" s="9"/>
      <c r="C820" s="11"/>
      <c r="D820" s="9"/>
      <c r="E820" s="9"/>
      <c r="F820" s="22" t="str">
        <f aca="false">IF(E820="","",IFERROR(INDEX(02_INDICADORES!$B$2:$B$42,MATCH(E820,02_INDICADORES!$A$2:$A$42,0)),"ID?"))</f>
        <v/>
      </c>
      <c r="G820" s="21" t="str">
        <f aca="false">IF(E820="","",IFERROR(INDEX(02_INDICADORES!$C$2:$C$42,MATCH(E820,02_INDICADORES!$A$2:$A$42,0)),"ID?"))</f>
        <v/>
      </c>
      <c r="H820" s="22" t="str">
        <f aca="false">IF(E820="","",IFERROR(INDEX(02_INDICADORES!$D$2:$D$42,MATCH(E820,02_INDICADORES!$A$2:$A$42,0)),""))</f>
        <v/>
      </c>
      <c r="I820" s="9"/>
      <c r="J820" s="16" t="str">
        <f aca="false">IF(OR(I820="",H820=""),"",I820*H820)</f>
        <v/>
      </c>
      <c r="K820" s="9"/>
      <c r="L820" s="9"/>
      <c r="M820" s="9"/>
    </row>
    <row r="821" customFormat="false" ht="15" hidden="false" customHeight="false" outlineLevel="0" collapsed="false">
      <c r="A821" s="9"/>
      <c r="B821" s="9"/>
      <c r="C821" s="11"/>
      <c r="D821" s="9"/>
      <c r="E821" s="9"/>
      <c r="F821" s="22" t="str">
        <f aca="false">IF(E821="","",IFERROR(INDEX(02_INDICADORES!$B$2:$B$42,MATCH(E821,02_INDICADORES!$A$2:$A$42,0)),"ID?"))</f>
        <v/>
      </c>
      <c r="G821" s="21" t="str">
        <f aca="false">IF(E821="","",IFERROR(INDEX(02_INDICADORES!$C$2:$C$42,MATCH(E821,02_INDICADORES!$A$2:$A$42,0)),"ID?"))</f>
        <v/>
      </c>
      <c r="H821" s="22" t="str">
        <f aca="false">IF(E821="","",IFERROR(INDEX(02_INDICADORES!$D$2:$D$42,MATCH(E821,02_INDICADORES!$A$2:$A$42,0)),""))</f>
        <v/>
      </c>
      <c r="I821" s="9"/>
      <c r="J821" s="16" t="str">
        <f aca="false">IF(OR(I821="",H821=""),"",I821*H821)</f>
        <v/>
      </c>
      <c r="K821" s="9"/>
      <c r="L821" s="9"/>
      <c r="M821" s="9"/>
    </row>
    <row r="822" customFormat="false" ht="15" hidden="false" customHeight="false" outlineLevel="0" collapsed="false">
      <c r="A822" s="9"/>
      <c r="B822" s="9"/>
      <c r="C822" s="11"/>
      <c r="D822" s="9"/>
      <c r="E822" s="9"/>
      <c r="F822" s="22" t="str">
        <f aca="false">IF(E822="","",IFERROR(INDEX(02_INDICADORES!$B$2:$B$42,MATCH(E822,02_INDICADORES!$A$2:$A$42,0)),"ID?"))</f>
        <v/>
      </c>
      <c r="G822" s="21" t="str">
        <f aca="false">IF(E822="","",IFERROR(INDEX(02_INDICADORES!$C$2:$C$42,MATCH(E822,02_INDICADORES!$A$2:$A$42,0)),"ID?"))</f>
        <v/>
      </c>
      <c r="H822" s="22" t="str">
        <f aca="false">IF(E822="","",IFERROR(INDEX(02_INDICADORES!$D$2:$D$42,MATCH(E822,02_INDICADORES!$A$2:$A$42,0)),""))</f>
        <v/>
      </c>
      <c r="I822" s="9"/>
      <c r="J822" s="16" t="str">
        <f aca="false">IF(OR(I822="",H822=""),"",I822*H822)</f>
        <v/>
      </c>
      <c r="K822" s="9"/>
      <c r="L822" s="9"/>
      <c r="M822" s="9"/>
    </row>
    <row r="823" customFormat="false" ht="15" hidden="false" customHeight="false" outlineLevel="0" collapsed="false">
      <c r="A823" s="9"/>
      <c r="B823" s="9"/>
      <c r="C823" s="11"/>
      <c r="D823" s="9"/>
      <c r="E823" s="9"/>
      <c r="F823" s="22" t="str">
        <f aca="false">IF(E823="","",IFERROR(INDEX(02_INDICADORES!$B$2:$B$42,MATCH(E823,02_INDICADORES!$A$2:$A$42,0)),"ID?"))</f>
        <v/>
      </c>
      <c r="G823" s="21" t="str">
        <f aca="false">IF(E823="","",IFERROR(INDEX(02_INDICADORES!$C$2:$C$42,MATCH(E823,02_INDICADORES!$A$2:$A$42,0)),"ID?"))</f>
        <v/>
      </c>
      <c r="H823" s="22" t="str">
        <f aca="false">IF(E823="","",IFERROR(INDEX(02_INDICADORES!$D$2:$D$42,MATCH(E823,02_INDICADORES!$A$2:$A$42,0)),""))</f>
        <v/>
      </c>
      <c r="I823" s="9"/>
      <c r="J823" s="16" t="str">
        <f aca="false">IF(OR(I823="",H823=""),"",I823*H823)</f>
        <v/>
      </c>
      <c r="K823" s="9"/>
      <c r="L823" s="9"/>
      <c r="M823" s="9"/>
    </row>
    <row r="824" customFormat="false" ht="15" hidden="false" customHeight="false" outlineLevel="0" collapsed="false">
      <c r="A824" s="9"/>
      <c r="B824" s="9"/>
      <c r="C824" s="11"/>
      <c r="D824" s="9"/>
      <c r="E824" s="9"/>
      <c r="F824" s="22" t="str">
        <f aca="false">IF(E824="","",IFERROR(INDEX(02_INDICADORES!$B$2:$B$42,MATCH(E824,02_INDICADORES!$A$2:$A$42,0)),"ID?"))</f>
        <v/>
      </c>
      <c r="G824" s="21" t="str">
        <f aca="false">IF(E824="","",IFERROR(INDEX(02_INDICADORES!$C$2:$C$42,MATCH(E824,02_INDICADORES!$A$2:$A$42,0)),"ID?"))</f>
        <v/>
      </c>
      <c r="H824" s="22" t="str">
        <f aca="false">IF(E824="","",IFERROR(INDEX(02_INDICADORES!$D$2:$D$42,MATCH(E824,02_INDICADORES!$A$2:$A$42,0)),""))</f>
        <v/>
      </c>
      <c r="I824" s="9"/>
      <c r="J824" s="16" t="str">
        <f aca="false">IF(OR(I824="",H824=""),"",I824*H824)</f>
        <v/>
      </c>
      <c r="K824" s="9"/>
      <c r="L824" s="9"/>
      <c r="M824" s="9"/>
    </row>
    <row r="825" customFormat="false" ht="15" hidden="false" customHeight="false" outlineLevel="0" collapsed="false">
      <c r="A825" s="9"/>
      <c r="B825" s="9"/>
      <c r="C825" s="11"/>
      <c r="D825" s="9"/>
      <c r="E825" s="9"/>
      <c r="F825" s="22" t="str">
        <f aca="false">IF(E825="","",IFERROR(INDEX(02_INDICADORES!$B$2:$B$42,MATCH(E825,02_INDICADORES!$A$2:$A$42,0)),"ID?"))</f>
        <v/>
      </c>
      <c r="G825" s="21" t="str">
        <f aca="false">IF(E825="","",IFERROR(INDEX(02_INDICADORES!$C$2:$C$42,MATCH(E825,02_INDICADORES!$A$2:$A$42,0)),"ID?"))</f>
        <v/>
      </c>
      <c r="H825" s="22" t="str">
        <f aca="false">IF(E825="","",IFERROR(INDEX(02_INDICADORES!$D$2:$D$42,MATCH(E825,02_INDICADORES!$A$2:$A$42,0)),""))</f>
        <v/>
      </c>
      <c r="I825" s="9"/>
      <c r="J825" s="16" t="str">
        <f aca="false">IF(OR(I825="",H825=""),"",I825*H825)</f>
        <v/>
      </c>
      <c r="K825" s="9"/>
      <c r="L825" s="9"/>
      <c r="M825" s="9"/>
    </row>
    <row r="826" customFormat="false" ht="15" hidden="false" customHeight="false" outlineLevel="0" collapsed="false">
      <c r="A826" s="9"/>
      <c r="B826" s="9"/>
      <c r="C826" s="11"/>
      <c r="D826" s="9"/>
      <c r="E826" s="9"/>
      <c r="F826" s="22" t="str">
        <f aca="false">IF(E826="","",IFERROR(INDEX(02_INDICADORES!$B$2:$B$42,MATCH(E826,02_INDICADORES!$A$2:$A$42,0)),"ID?"))</f>
        <v/>
      </c>
      <c r="G826" s="21" t="str">
        <f aca="false">IF(E826="","",IFERROR(INDEX(02_INDICADORES!$C$2:$C$42,MATCH(E826,02_INDICADORES!$A$2:$A$42,0)),"ID?"))</f>
        <v/>
      </c>
      <c r="H826" s="22" t="str">
        <f aca="false">IF(E826="","",IFERROR(INDEX(02_INDICADORES!$D$2:$D$42,MATCH(E826,02_INDICADORES!$A$2:$A$42,0)),""))</f>
        <v/>
      </c>
      <c r="I826" s="9"/>
      <c r="J826" s="16" t="str">
        <f aca="false">IF(OR(I826="",H826=""),"",I826*H826)</f>
        <v/>
      </c>
      <c r="K826" s="9"/>
      <c r="L826" s="9"/>
      <c r="M826" s="9"/>
    </row>
    <row r="827" customFormat="false" ht="15" hidden="false" customHeight="false" outlineLevel="0" collapsed="false">
      <c r="A827" s="9"/>
      <c r="B827" s="9"/>
      <c r="C827" s="11"/>
      <c r="D827" s="9"/>
      <c r="E827" s="9"/>
      <c r="F827" s="22" t="str">
        <f aca="false">IF(E827="","",IFERROR(INDEX(02_INDICADORES!$B$2:$B$42,MATCH(E827,02_INDICADORES!$A$2:$A$42,0)),"ID?"))</f>
        <v/>
      </c>
      <c r="G827" s="21" t="str">
        <f aca="false">IF(E827="","",IFERROR(INDEX(02_INDICADORES!$C$2:$C$42,MATCH(E827,02_INDICADORES!$A$2:$A$42,0)),"ID?"))</f>
        <v/>
      </c>
      <c r="H827" s="22" t="str">
        <f aca="false">IF(E827="","",IFERROR(INDEX(02_INDICADORES!$D$2:$D$42,MATCH(E827,02_INDICADORES!$A$2:$A$42,0)),""))</f>
        <v/>
      </c>
      <c r="I827" s="9"/>
      <c r="J827" s="16" t="str">
        <f aca="false">IF(OR(I827="",H827=""),"",I827*H827)</f>
        <v/>
      </c>
      <c r="K827" s="9"/>
      <c r="L827" s="9"/>
      <c r="M827" s="9"/>
    </row>
    <row r="828" customFormat="false" ht="15" hidden="false" customHeight="false" outlineLevel="0" collapsed="false">
      <c r="A828" s="9"/>
      <c r="B828" s="9"/>
      <c r="C828" s="11"/>
      <c r="D828" s="9"/>
      <c r="E828" s="9"/>
      <c r="F828" s="22" t="str">
        <f aca="false">IF(E828="","",IFERROR(INDEX(02_INDICADORES!$B$2:$B$42,MATCH(E828,02_INDICADORES!$A$2:$A$42,0)),"ID?"))</f>
        <v/>
      </c>
      <c r="G828" s="21" t="str">
        <f aca="false">IF(E828="","",IFERROR(INDEX(02_INDICADORES!$C$2:$C$42,MATCH(E828,02_INDICADORES!$A$2:$A$42,0)),"ID?"))</f>
        <v/>
      </c>
      <c r="H828" s="22" t="str">
        <f aca="false">IF(E828="","",IFERROR(INDEX(02_INDICADORES!$D$2:$D$42,MATCH(E828,02_INDICADORES!$A$2:$A$42,0)),""))</f>
        <v/>
      </c>
      <c r="I828" s="9"/>
      <c r="J828" s="16" t="str">
        <f aca="false">IF(OR(I828="",H828=""),"",I828*H828)</f>
        <v/>
      </c>
      <c r="K828" s="9"/>
      <c r="L828" s="9"/>
      <c r="M828" s="9"/>
    </row>
    <row r="829" customFormat="false" ht="15" hidden="false" customHeight="false" outlineLevel="0" collapsed="false">
      <c r="A829" s="9"/>
      <c r="B829" s="9"/>
      <c r="C829" s="11"/>
      <c r="D829" s="9"/>
      <c r="E829" s="9"/>
      <c r="F829" s="22" t="str">
        <f aca="false">IF(E829="","",IFERROR(INDEX(02_INDICADORES!$B$2:$B$42,MATCH(E829,02_INDICADORES!$A$2:$A$42,0)),"ID?"))</f>
        <v/>
      </c>
      <c r="G829" s="21" t="str">
        <f aca="false">IF(E829="","",IFERROR(INDEX(02_INDICADORES!$C$2:$C$42,MATCH(E829,02_INDICADORES!$A$2:$A$42,0)),"ID?"))</f>
        <v/>
      </c>
      <c r="H829" s="22" t="str">
        <f aca="false">IF(E829="","",IFERROR(INDEX(02_INDICADORES!$D$2:$D$42,MATCH(E829,02_INDICADORES!$A$2:$A$42,0)),""))</f>
        <v/>
      </c>
      <c r="I829" s="9"/>
      <c r="J829" s="16" t="str">
        <f aca="false">IF(OR(I829="",H829=""),"",I829*H829)</f>
        <v/>
      </c>
      <c r="K829" s="9"/>
      <c r="L829" s="9"/>
      <c r="M829" s="9"/>
    </row>
    <row r="830" customFormat="false" ht="15" hidden="false" customHeight="false" outlineLevel="0" collapsed="false">
      <c r="A830" s="9"/>
      <c r="B830" s="9"/>
      <c r="C830" s="11"/>
      <c r="D830" s="9"/>
      <c r="E830" s="9"/>
      <c r="F830" s="22" t="str">
        <f aca="false">IF(E830="","",IFERROR(INDEX(02_INDICADORES!$B$2:$B$42,MATCH(E830,02_INDICADORES!$A$2:$A$42,0)),"ID?"))</f>
        <v/>
      </c>
      <c r="G830" s="21" t="str">
        <f aca="false">IF(E830="","",IFERROR(INDEX(02_INDICADORES!$C$2:$C$42,MATCH(E830,02_INDICADORES!$A$2:$A$42,0)),"ID?"))</f>
        <v/>
      </c>
      <c r="H830" s="22" t="str">
        <f aca="false">IF(E830="","",IFERROR(INDEX(02_INDICADORES!$D$2:$D$42,MATCH(E830,02_INDICADORES!$A$2:$A$42,0)),""))</f>
        <v/>
      </c>
      <c r="I830" s="9"/>
      <c r="J830" s="16" t="str">
        <f aca="false">IF(OR(I830="",H830=""),"",I830*H830)</f>
        <v/>
      </c>
      <c r="K830" s="9"/>
      <c r="L830" s="9"/>
      <c r="M830" s="9"/>
    </row>
    <row r="831" customFormat="false" ht="15" hidden="false" customHeight="false" outlineLevel="0" collapsed="false">
      <c r="A831" s="9"/>
      <c r="B831" s="9"/>
      <c r="C831" s="11"/>
      <c r="D831" s="9"/>
      <c r="E831" s="9"/>
      <c r="F831" s="22" t="str">
        <f aca="false">IF(E831="","",IFERROR(INDEX(02_INDICADORES!$B$2:$B$42,MATCH(E831,02_INDICADORES!$A$2:$A$42,0)),"ID?"))</f>
        <v/>
      </c>
      <c r="G831" s="21" t="str">
        <f aca="false">IF(E831="","",IFERROR(INDEX(02_INDICADORES!$C$2:$C$42,MATCH(E831,02_INDICADORES!$A$2:$A$42,0)),"ID?"))</f>
        <v/>
      </c>
      <c r="H831" s="22" t="str">
        <f aca="false">IF(E831="","",IFERROR(INDEX(02_INDICADORES!$D$2:$D$42,MATCH(E831,02_INDICADORES!$A$2:$A$42,0)),""))</f>
        <v/>
      </c>
      <c r="I831" s="9"/>
      <c r="J831" s="16" t="str">
        <f aca="false">IF(OR(I831="",H831=""),"",I831*H831)</f>
        <v/>
      </c>
      <c r="K831" s="9"/>
      <c r="L831" s="9"/>
      <c r="M831" s="9"/>
    </row>
    <row r="832" customFormat="false" ht="15" hidden="false" customHeight="false" outlineLevel="0" collapsed="false">
      <c r="A832" s="9"/>
      <c r="B832" s="9"/>
      <c r="C832" s="11"/>
      <c r="D832" s="9"/>
      <c r="E832" s="9"/>
      <c r="F832" s="22" t="str">
        <f aca="false">IF(E832="","",IFERROR(INDEX(02_INDICADORES!$B$2:$B$42,MATCH(E832,02_INDICADORES!$A$2:$A$42,0)),"ID?"))</f>
        <v/>
      </c>
      <c r="G832" s="21" t="str">
        <f aca="false">IF(E832="","",IFERROR(INDEX(02_INDICADORES!$C$2:$C$42,MATCH(E832,02_INDICADORES!$A$2:$A$42,0)),"ID?"))</f>
        <v/>
      </c>
      <c r="H832" s="22" t="str">
        <f aca="false">IF(E832="","",IFERROR(INDEX(02_INDICADORES!$D$2:$D$42,MATCH(E832,02_INDICADORES!$A$2:$A$42,0)),""))</f>
        <v/>
      </c>
      <c r="I832" s="9"/>
      <c r="J832" s="16" t="str">
        <f aca="false">IF(OR(I832="",H832=""),"",I832*H832)</f>
        <v/>
      </c>
      <c r="K832" s="9"/>
      <c r="L832" s="9"/>
      <c r="M832" s="9"/>
    </row>
    <row r="833" customFormat="false" ht="15" hidden="false" customHeight="false" outlineLevel="0" collapsed="false">
      <c r="A833" s="9"/>
      <c r="B833" s="9"/>
      <c r="C833" s="11"/>
      <c r="D833" s="9"/>
      <c r="E833" s="9"/>
      <c r="F833" s="22" t="str">
        <f aca="false">IF(E833="","",IFERROR(INDEX(02_INDICADORES!$B$2:$B$42,MATCH(E833,02_INDICADORES!$A$2:$A$42,0)),"ID?"))</f>
        <v/>
      </c>
      <c r="G833" s="21" t="str">
        <f aca="false">IF(E833="","",IFERROR(INDEX(02_INDICADORES!$C$2:$C$42,MATCH(E833,02_INDICADORES!$A$2:$A$42,0)),"ID?"))</f>
        <v/>
      </c>
      <c r="H833" s="22" t="str">
        <f aca="false">IF(E833="","",IFERROR(INDEX(02_INDICADORES!$D$2:$D$42,MATCH(E833,02_INDICADORES!$A$2:$A$42,0)),""))</f>
        <v/>
      </c>
      <c r="I833" s="9"/>
      <c r="J833" s="16" t="str">
        <f aca="false">IF(OR(I833="",H833=""),"",I833*H833)</f>
        <v/>
      </c>
      <c r="K833" s="9"/>
      <c r="L833" s="9"/>
      <c r="M833" s="9"/>
    </row>
    <row r="834" customFormat="false" ht="15" hidden="false" customHeight="false" outlineLevel="0" collapsed="false">
      <c r="A834" s="9"/>
      <c r="B834" s="9"/>
      <c r="C834" s="11"/>
      <c r="D834" s="9"/>
      <c r="E834" s="9"/>
      <c r="F834" s="22" t="str">
        <f aca="false">IF(E834="","",IFERROR(INDEX(02_INDICADORES!$B$2:$B$42,MATCH(E834,02_INDICADORES!$A$2:$A$42,0)),"ID?"))</f>
        <v/>
      </c>
      <c r="G834" s="21" t="str">
        <f aca="false">IF(E834="","",IFERROR(INDEX(02_INDICADORES!$C$2:$C$42,MATCH(E834,02_INDICADORES!$A$2:$A$42,0)),"ID?"))</f>
        <v/>
      </c>
      <c r="H834" s="22" t="str">
        <f aca="false">IF(E834="","",IFERROR(INDEX(02_INDICADORES!$D$2:$D$42,MATCH(E834,02_INDICADORES!$A$2:$A$42,0)),""))</f>
        <v/>
      </c>
      <c r="I834" s="9"/>
      <c r="J834" s="16" t="str">
        <f aca="false">IF(OR(I834="",H834=""),"",I834*H834)</f>
        <v/>
      </c>
      <c r="K834" s="9"/>
      <c r="L834" s="9"/>
      <c r="M834" s="9"/>
    </row>
    <row r="835" customFormat="false" ht="15" hidden="false" customHeight="false" outlineLevel="0" collapsed="false">
      <c r="A835" s="9"/>
      <c r="B835" s="9"/>
      <c r="C835" s="11"/>
      <c r="D835" s="9"/>
      <c r="E835" s="9"/>
      <c r="F835" s="22" t="str">
        <f aca="false">IF(E835="","",IFERROR(INDEX(02_INDICADORES!$B$2:$B$42,MATCH(E835,02_INDICADORES!$A$2:$A$42,0)),"ID?"))</f>
        <v/>
      </c>
      <c r="G835" s="21" t="str">
        <f aca="false">IF(E835="","",IFERROR(INDEX(02_INDICADORES!$C$2:$C$42,MATCH(E835,02_INDICADORES!$A$2:$A$42,0)),"ID?"))</f>
        <v/>
      </c>
      <c r="H835" s="22" t="str">
        <f aca="false">IF(E835="","",IFERROR(INDEX(02_INDICADORES!$D$2:$D$42,MATCH(E835,02_INDICADORES!$A$2:$A$42,0)),""))</f>
        <v/>
      </c>
      <c r="I835" s="9"/>
      <c r="J835" s="16" t="str">
        <f aca="false">IF(OR(I835="",H835=""),"",I835*H835)</f>
        <v/>
      </c>
      <c r="K835" s="9"/>
      <c r="L835" s="9"/>
      <c r="M835" s="9"/>
    </row>
    <row r="836" customFormat="false" ht="15" hidden="false" customHeight="false" outlineLevel="0" collapsed="false">
      <c r="A836" s="9"/>
      <c r="B836" s="9"/>
      <c r="C836" s="11"/>
      <c r="D836" s="9"/>
      <c r="E836" s="9"/>
      <c r="F836" s="22" t="str">
        <f aca="false">IF(E836="","",IFERROR(INDEX(02_INDICADORES!$B$2:$B$42,MATCH(E836,02_INDICADORES!$A$2:$A$42,0)),"ID?"))</f>
        <v/>
      </c>
      <c r="G836" s="21" t="str">
        <f aca="false">IF(E836="","",IFERROR(INDEX(02_INDICADORES!$C$2:$C$42,MATCH(E836,02_INDICADORES!$A$2:$A$42,0)),"ID?"))</f>
        <v/>
      </c>
      <c r="H836" s="22" t="str">
        <f aca="false">IF(E836="","",IFERROR(INDEX(02_INDICADORES!$D$2:$D$42,MATCH(E836,02_INDICADORES!$A$2:$A$42,0)),""))</f>
        <v/>
      </c>
      <c r="I836" s="9"/>
      <c r="J836" s="16" t="str">
        <f aca="false">IF(OR(I836="",H836=""),"",I836*H836)</f>
        <v/>
      </c>
      <c r="K836" s="9"/>
      <c r="L836" s="9"/>
      <c r="M836" s="9"/>
    </row>
    <row r="837" customFormat="false" ht="15" hidden="false" customHeight="false" outlineLevel="0" collapsed="false">
      <c r="A837" s="9"/>
      <c r="B837" s="9"/>
      <c r="C837" s="11"/>
      <c r="D837" s="9"/>
      <c r="E837" s="9"/>
      <c r="F837" s="22" t="str">
        <f aca="false">IF(E837="","",IFERROR(INDEX(02_INDICADORES!$B$2:$B$42,MATCH(E837,02_INDICADORES!$A$2:$A$42,0)),"ID?"))</f>
        <v/>
      </c>
      <c r="G837" s="21" t="str">
        <f aca="false">IF(E837="","",IFERROR(INDEX(02_INDICADORES!$C$2:$C$42,MATCH(E837,02_INDICADORES!$A$2:$A$42,0)),"ID?"))</f>
        <v/>
      </c>
      <c r="H837" s="22" t="str">
        <f aca="false">IF(E837="","",IFERROR(INDEX(02_INDICADORES!$D$2:$D$42,MATCH(E837,02_INDICADORES!$A$2:$A$42,0)),""))</f>
        <v/>
      </c>
      <c r="I837" s="9"/>
      <c r="J837" s="16" t="str">
        <f aca="false">IF(OR(I837="",H837=""),"",I837*H837)</f>
        <v/>
      </c>
      <c r="K837" s="9"/>
      <c r="L837" s="9"/>
      <c r="M837" s="9"/>
    </row>
    <row r="838" customFormat="false" ht="15" hidden="false" customHeight="false" outlineLevel="0" collapsed="false">
      <c r="A838" s="9"/>
      <c r="B838" s="9"/>
      <c r="C838" s="11"/>
      <c r="D838" s="9"/>
      <c r="E838" s="9"/>
      <c r="F838" s="22" t="str">
        <f aca="false">IF(E838="","",IFERROR(INDEX(02_INDICADORES!$B$2:$B$42,MATCH(E838,02_INDICADORES!$A$2:$A$42,0)),"ID?"))</f>
        <v/>
      </c>
      <c r="G838" s="21" t="str">
        <f aca="false">IF(E838="","",IFERROR(INDEX(02_INDICADORES!$C$2:$C$42,MATCH(E838,02_INDICADORES!$A$2:$A$42,0)),"ID?"))</f>
        <v/>
      </c>
      <c r="H838" s="22" t="str">
        <f aca="false">IF(E838="","",IFERROR(INDEX(02_INDICADORES!$D$2:$D$42,MATCH(E838,02_INDICADORES!$A$2:$A$42,0)),""))</f>
        <v/>
      </c>
      <c r="I838" s="9"/>
      <c r="J838" s="16" t="str">
        <f aca="false">IF(OR(I838="",H838=""),"",I838*H838)</f>
        <v/>
      </c>
      <c r="K838" s="9"/>
      <c r="L838" s="9"/>
      <c r="M838" s="9"/>
    </row>
    <row r="839" customFormat="false" ht="15" hidden="false" customHeight="false" outlineLevel="0" collapsed="false">
      <c r="A839" s="9"/>
      <c r="B839" s="9"/>
      <c r="C839" s="11"/>
      <c r="D839" s="9"/>
      <c r="E839" s="9"/>
      <c r="F839" s="22" t="str">
        <f aca="false">IF(E839="","",IFERROR(INDEX(02_INDICADORES!$B$2:$B$42,MATCH(E839,02_INDICADORES!$A$2:$A$42,0)),"ID?"))</f>
        <v/>
      </c>
      <c r="G839" s="21" t="str">
        <f aca="false">IF(E839="","",IFERROR(INDEX(02_INDICADORES!$C$2:$C$42,MATCH(E839,02_INDICADORES!$A$2:$A$42,0)),"ID?"))</f>
        <v/>
      </c>
      <c r="H839" s="22" t="str">
        <f aca="false">IF(E839="","",IFERROR(INDEX(02_INDICADORES!$D$2:$D$42,MATCH(E839,02_INDICADORES!$A$2:$A$42,0)),""))</f>
        <v/>
      </c>
      <c r="I839" s="9"/>
      <c r="J839" s="16" t="str">
        <f aca="false">IF(OR(I839="",H839=""),"",I839*H839)</f>
        <v/>
      </c>
      <c r="K839" s="9"/>
      <c r="L839" s="9"/>
      <c r="M839" s="9"/>
    </row>
    <row r="840" customFormat="false" ht="15" hidden="false" customHeight="false" outlineLevel="0" collapsed="false">
      <c r="A840" s="9"/>
      <c r="B840" s="9"/>
      <c r="C840" s="11"/>
      <c r="D840" s="9"/>
      <c r="E840" s="9"/>
      <c r="F840" s="22" t="str">
        <f aca="false">IF(E840="","",IFERROR(INDEX(02_INDICADORES!$B$2:$B$42,MATCH(E840,02_INDICADORES!$A$2:$A$42,0)),"ID?"))</f>
        <v/>
      </c>
      <c r="G840" s="21" t="str">
        <f aca="false">IF(E840="","",IFERROR(INDEX(02_INDICADORES!$C$2:$C$42,MATCH(E840,02_INDICADORES!$A$2:$A$42,0)),"ID?"))</f>
        <v/>
      </c>
      <c r="H840" s="22" t="str">
        <f aca="false">IF(E840="","",IFERROR(INDEX(02_INDICADORES!$D$2:$D$42,MATCH(E840,02_INDICADORES!$A$2:$A$42,0)),""))</f>
        <v/>
      </c>
      <c r="I840" s="9"/>
      <c r="J840" s="16" t="str">
        <f aca="false">IF(OR(I840="",H840=""),"",I840*H840)</f>
        <v/>
      </c>
      <c r="K840" s="9"/>
      <c r="L840" s="9"/>
      <c r="M840" s="9"/>
    </row>
    <row r="841" customFormat="false" ht="15" hidden="false" customHeight="false" outlineLevel="0" collapsed="false">
      <c r="A841" s="9"/>
      <c r="B841" s="9"/>
      <c r="C841" s="11"/>
      <c r="D841" s="9"/>
      <c r="E841" s="9"/>
      <c r="F841" s="22" t="str">
        <f aca="false">IF(E841="","",IFERROR(INDEX(02_INDICADORES!$B$2:$B$42,MATCH(E841,02_INDICADORES!$A$2:$A$42,0)),"ID?"))</f>
        <v/>
      </c>
      <c r="G841" s="21" t="str">
        <f aca="false">IF(E841="","",IFERROR(INDEX(02_INDICADORES!$C$2:$C$42,MATCH(E841,02_INDICADORES!$A$2:$A$42,0)),"ID?"))</f>
        <v/>
      </c>
      <c r="H841" s="22" t="str">
        <f aca="false">IF(E841="","",IFERROR(INDEX(02_INDICADORES!$D$2:$D$42,MATCH(E841,02_INDICADORES!$A$2:$A$42,0)),""))</f>
        <v/>
      </c>
      <c r="I841" s="9"/>
      <c r="J841" s="16" t="str">
        <f aca="false">IF(OR(I841="",H841=""),"",I841*H841)</f>
        <v/>
      </c>
      <c r="K841" s="9"/>
      <c r="L841" s="9"/>
      <c r="M841" s="9"/>
    </row>
    <row r="842" customFormat="false" ht="15" hidden="false" customHeight="false" outlineLevel="0" collapsed="false">
      <c r="A842" s="9"/>
      <c r="B842" s="9"/>
      <c r="C842" s="11"/>
      <c r="D842" s="9"/>
      <c r="E842" s="9"/>
      <c r="F842" s="22" t="str">
        <f aca="false">IF(E842="","",IFERROR(INDEX(02_INDICADORES!$B$2:$B$42,MATCH(E842,02_INDICADORES!$A$2:$A$42,0)),"ID?"))</f>
        <v/>
      </c>
      <c r="G842" s="21" t="str">
        <f aca="false">IF(E842="","",IFERROR(INDEX(02_INDICADORES!$C$2:$C$42,MATCH(E842,02_INDICADORES!$A$2:$A$42,0)),"ID?"))</f>
        <v/>
      </c>
      <c r="H842" s="22" t="str">
        <f aca="false">IF(E842="","",IFERROR(INDEX(02_INDICADORES!$D$2:$D$42,MATCH(E842,02_INDICADORES!$A$2:$A$42,0)),""))</f>
        <v/>
      </c>
      <c r="I842" s="9"/>
      <c r="J842" s="16" t="str">
        <f aca="false">IF(OR(I842="",H842=""),"",I842*H842)</f>
        <v/>
      </c>
      <c r="K842" s="9"/>
      <c r="L842" s="9"/>
      <c r="M842" s="9"/>
    </row>
    <row r="843" customFormat="false" ht="15" hidden="false" customHeight="false" outlineLevel="0" collapsed="false">
      <c r="A843" s="9"/>
      <c r="B843" s="9"/>
      <c r="C843" s="11"/>
      <c r="D843" s="9"/>
      <c r="E843" s="9"/>
      <c r="F843" s="22" t="str">
        <f aca="false">IF(E843="","",IFERROR(INDEX(02_INDICADORES!$B$2:$B$42,MATCH(E843,02_INDICADORES!$A$2:$A$42,0)),"ID?"))</f>
        <v/>
      </c>
      <c r="G843" s="21" t="str">
        <f aca="false">IF(E843="","",IFERROR(INDEX(02_INDICADORES!$C$2:$C$42,MATCH(E843,02_INDICADORES!$A$2:$A$42,0)),"ID?"))</f>
        <v/>
      </c>
      <c r="H843" s="22" t="str">
        <f aca="false">IF(E843="","",IFERROR(INDEX(02_INDICADORES!$D$2:$D$42,MATCH(E843,02_INDICADORES!$A$2:$A$42,0)),""))</f>
        <v/>
      </c>
      <c r="I843" s="9"/>
      <c r="J843" s="16" t="str">
        <f aca="false">IF(OR(I843="",H843=""),"",I843*H843)</f>
        <v/>
      </c>
      <c r="K843" s="9"/>
      <c r="L843" s="9"/>
      <c r="M843" s="9"/>
    </row>
    <row r="844" customFormat="false" ht="15" hidden="false" customHeight="false" outlineLevel="0" collapsed="false">
      <c r="A844" s="9"/>
      <c r="B844" s="9"/>
      <c r="C844" s="11"/>
      <c r="D844" s="9"/>
      <c r="E844" s="9"/>
      <c r="F844" s="22" t="str">
        <f aca="false">IF(E844="","",IFERROR(INDEX(02_INDICADORES!$B$2:$B$42,MATCH(E844,02_INDICADORES!$A$2:$A$42,0)),"ID?"))</f>
        <v/>
      </c>
      <c r="G844" s="21" t="str">
        <f aca="false">IF(E844="","",IFERROR(INDEX(02_INDICADORES!$C$2:$C$42,MATCH(E844,02_INDICADORES!$A$2:$A$42,0)),"ID?"))</f>
        <v/>
      </c>
      <c r="H844" s="22" t="str">
        <f aca="false">IF(E844="","",IFERROR(INDEX(02_INDICADORES!$D$2:$D$42,MATCH(E844,02_INDICADORES!$A$2:$A$42,0)),""))</f>
        <v/>
      </c>
      <c r="I844" s="9"/>
      <c r="J844" s="16" t="str">
        <f aca="false">IF(OR(I844="",H844=""),"",I844*H844)</f>
        <v/>
      </c>
      <c r="K844" s="9"/>
      <c r="L844" s="9"/>
      <c r="M844" s="9"/>
    </row>
    <row r="845" customFormat="false" ht="15" hidden="false" customHeight="false" outlineLevel="0" collapsed="false">
      <c r="A845" s="9"/>
      <c r="B845" s="9"/>
      <c r="C845" s="11"/>
      <c r="D845" s="9"/>
      <c r="E845" s="9"/>
      <c r="F845" s="22" t="str">
        <f aca="false">IF(E845="","",IFERROR(INDEX(02_INDICADORES!$B$2:$B$42,MATCH(E845,02_INDICADORES!$A$2:$A$42,0)),"ID?"))</f>
        <v/>
      </c>
      <c r="G845" s="21" t="str">
        <f aca="false">IF(E845="","",IFERROR(INDEX(02_INDICADORES!$C$2:$C$42,MATCH(E845,02_INDICADORES!$A$2:$A$42,0)),"ID?"))</f>
        <v/>
      </c>
      <c r="H845" s="22" t="str">
        <f aca="false">IF(E845="","",IFERROR(INDEX(02_INDICADORES!$D$2:$D$42,MATCH(E845,02_INDICADORES!$A$2:$A$42,0)),""))</f>
        <v/>
      </c>
      <c r="I845" s="9"/>
      <c r="J845" s="16" t="str">
        <f aca="false">IF(OR(I845="",H845=""),"",I845*H845)</f>
        <v/>
      </c>
      <c r="K845" s="9"/>
      <c r="L845" s="9"/>
      <c r="M845" s="9"/>
    </row>
    <row r="846" customFormat="false" ht="15" hidden="false" customHeight="false" outlineLevel="0" collapsed="false">
      <c r="A846" s="9"/>
      <c r="B846" s="9"/>
      <c r="C846" s="11"/>
      <c r="D846" s="9"/>
      <c r="E846" s="9"/>
      <c r="F846" s="22" t="str">
        <f aca="false">IF(E846="","",IFERROR(INDEX(02_INDICADORES!$B$2:$B$42,MATCH(E846,02_INDICADORES!$A$2:$A$42,0)),"ID?"))</f>
        <v/>
      </c>
      <c r="G846" s="21" t="str">
        <f aca="false">IF(E846="","",IFERROR(INDEX(02_INDICADORES!$C$2:$C$42,MATCH(E846,02_INDICADORES!$A$2:$A$42,0)),"ID?"))</f>
        <v/>
      </c>
      <c r="H846" s="22" t="str">
        <f aca="false">IF(E846="","",IFERROR(INDEX(02_INDICADORES!$D$2:$D$42,MATCH(E846,02_INDICADORES!$A$2:$A$42,0)),""))</f>
        <v/>
      </c>
      <c r="I846" s="9"/>
      <c r="J846" s="16" t="str">
        <f aca="false">IF(OR(I846="",H846=""),"",I846*H846)</f>
        <v/>
      </c>
      <c r="K846" s="9"/>
      <c r="L846" s="9"/>
      <c r="M846" s="9"/>
    </row>
    <row r="847" customFormat="false" ht="15" hidden="false" customHeight="false" outlineLevel="0" collapsed="false">
      <c r="A847" s="9"/>
      <c r="B847" s="9"/>
      <c r="C847" s="11"/>
      <c r="D847" s="9"/>
      <c r="E847" s="9"/>
      <c r="F847" s="22" t="str">
        <f aca="false">IF(E847="","",IFERROR(INDEX(02_INDICADORES!$B$2:$B$42,MATCH(E847,02_INDICADORES!$A$2:$A$42,0)),"ID?"))</f>
        <v/>
      </c>
      <c r="G847" s="21" t="str">
        <f aca="false">IF(E847="","",IFERROR(INDEX(02_INDICADORES!$C$2:$C$42,MATCH(E847,02_INDICADORES!$A$2:$A$42,0)),"ID?"))</f>
        <v/>
      </c>
      <c r="H847" s="22" t="str">
        <f aca="false">IF(E847="","",IFERROR(INDEX(02_INDICADORES!$D$2:$D$42,MATCH(E847,02_INDICADORES!$A$2:$A$42,0)),""))</f>
        <v/>
      </c>
      <c r="I847" s="9"/>
      <c r="J847" s="16" t="str">
        <f aca="false">IF(OR(I847="",H847=""),"",I847*H847)</f>
        <v/>
      </c>
      <c r="K847" s="9"/>
      <c r="L847" s="9"/>
      <c r="M847" s="9"/>
    </row>
    <row r="848" customFormat="false" ht="15" hidden="false" customHeight="false" outlineLevel="0" collapsed="false">
      <c r="A848" s="9"/>
      <c r="B848" s="9"/>
      <c r="C848" s="11"/>
      <c r="D848" s="9"/>
      <c r="E848" s="9"/>
      <c r="F848" s="22" t="str">
        <f aca="false">IF(E848="","",IFERROR(INDEX(02_INDICADORES!$B$2:$B$42,MATCH(E848,02_INDICADORES!$A$2:$A$42,0)),"ID?"))</f>
        <v/>
      </c>
      <c r="G848" s="21" t="str">
        <f aca="false">IF(E848="","",IFERROR(INDEX(02_INDICADORES!$C$2:$C$42,MATCH(E848,02_INDICADORES!$A$2:$A$42,0)),"ID?"))</f>
        <v/>
      </c>
      <c r="H848" s="22" t="str">
        <f aca="false">IF(E848="","",IFERROR(INDEX(02_INDICADORES!$D$2:$D$42,MATCH(E848,02_INDICADORES!$A$2:$A$42,0)),""))</f>
        <v/>
      </c>
      <c r="I848" s="9"/>
      <c r="J848" s="16" t="str">
        <f aca="false">IF(OR(I848="",H848=""),"",I848*H848)</f>
        <v/>
      </c>
      <c r="K848" s="9"/>
      <c r="L848" s="9"/>
      <c r="M848" s="9"/>
    </row>
    <row r="849" customFormat="false" ht="15" hidden="false" customHeight="false" outlineLevel="0" collapsed="false">
      <c r="A849" s="9"/>
      <c r="B849" s="9"/>
      <c r="C849" s="11"/>
      <c r="D849" s="9"/>
      <c r="E849" s="9"/>
      <c r="F849" s="22" t="str">
        <f aca="false">IF(E849="","",IFERROR(INDEX(02_INDICADORES!$B$2:$B$42,MATCH(E849,02_INDICADORES!$A$2:$A$42,0)),"ID?"))</f>
        <v/>
      </c>
      <c r="G849" s="21" t="str">
        <f aca="false">IF(E849="","",IFERROR(INDEX(02_INDICADORES!$C$2:$C$42,MATCH(E849,02_INDICADORES!$A$2:$A$42,0)),"ID?"))</f>
        <v/>
      </c>
      <c r="H849" s="22" t="str">
        <f aca="false">IF(E849="","",IFERROR(INDEX(02_INDICADORES!$D$2:$D$42,MATCH(E849,02_INDICADORES!$A$2:$A$42,0)),""))</f>
        <v/>
      </c>
      <c r="I849" s="9"/>
      <c r="J849" s="16" t="str">
        <f aca="false">IF(OR(I849="",H849=""),"",I849*H849)</f>
        <v/>
      </c>
      <c r="K849" s="9"/>
      <c r="L849" s="9"/>
      <c r="M849" s="9"/>
    </row>
    <row r="850" customFormat="false" ht="15" hidden="false" customHeight="false" outlineLevel="0" collapsed="false">
      <c r="A850" s="9"/>
      <c r="B850" s="9"/>
      <c r="C850" s="11"/>
      <c r="D850" s="9"/>
      <c r="E850" s="9"/>
      <c r="F850" s="22" t="str">
        <f aca="false">IF(E850="","",IFERROR(INDEX(02_INDICADORES!$B$2:$B$42,MATCH(E850,02_INDICADORES!$A$2:$A$42,0)),"ID?"))</f>
        <v/>
      </c>
      <c r="G850" s="21" t="str">
        <f aca="false">IF(E850="","",IFERROR(INDEX(02_INDICADORES!$C$2:$C$42,MATCH(E850,02_INDICADORES!$A$2:$A$42,0)),"ID?"))</f>
        <v/>
      </c>
      <c r="H850" s="22" t="str">
        <f aca="false">IF(E850="","",IFERROR(INDEX(02_INDICADORES!$D$2:$D$42,MATCH(E850,02_INDICADORES!$A$2:$A$42,0)),""))</f>
        <v/>
      </c>
      <c r="I850" s="9"/>
      <c r="J850" s="16" t="str">
        <f aca="false">IF(OR(I850="",H850=""),"",I850*H850)</f>
        <v/>
      </c>
      <c r="K850" s="9"/>
      <c r="L850" s="9"/>
      <c r="M850" s="9"/>
    </row>
    <row r="851" customFormat="false" ht="15" hidden="false" customHeight="false" outlineLevel="0" collapsed="false">
      <c r="A851" s="9"/>
      <c r="B851" s="9"/>
      <c r="C851" s="11"/>
      <c r="D851" s="9"/>
      <c r="E851" s="9"/>
      <c r="F851" s="22" t="str">
        <f aca="false">IF(E851="","",IFERROR(INDEX(02_INDICADORES!$B$2:$B$42,MATCH(E851,02_INDICADORES!$A$2:$A$42,0)),"ID?"))</f>
        <v/>
      </c>
      <c r="G851" s="21" t="str">
        <f aca="false">IF(E851="","",IFERROR(INDEX(02_INDICADORES!$C$2:$C$42,MATCH(E851,02_INDICADORES!$A$2:$A$42,0)),"ID?"))</f>
        <v/>
      </c>
      <c r="H851" s="22" t="str">
        <f aca="false">IF(E851="","",IFERROR(INDEX(02_INDICADORES!$D$2:$D$42,MATCH(E851,02_INDICADORES!$A$2:$A$42,0)),""))</f>
        <v/>
      </c>
      <c r="I851" s="9"/>
      <c r="J851" s="16" t="str">
        <f aca="false">IF(OR(I851="",H851=""),"",I851*H851)</f>
        <v/>
      </c>
      <c r="K851" s="9"/>
      <c r="L851" s="9"/>
      <c r="M851" s="9"/>
    </row>
    <row r="852" customFormat="false" ht="15" hidden="false" customHeight="false" outlineLevel="0" collapsed="false">
      <c r="A852" s="9"/>
      <c r="B852" s="9"/>
      <c r="C852" s="11"/>
      <c r="D852" s="9"/>
      <c r="E852" s="9"/>
      <c r="F852" s="22" t="str">
        <f aca="false">IF(E852="","",IFERROR(INDEX(02_INDICADORES!$B$2:$B$42,MATCH(E852,02_INDICADORES!$A$2:$A$42,0)),"ID?"))</f>
        <v/>
      </c>
      <c r="G852" s="21" t="str">
        <f aca="false">IF(E852="","",IFERROR(INDEX(02_INDICADORES!$C$2:$C$42,MATCH(E852,02_INDICADORES!$A$2:$A$42,0)),"ID?"))</f>
        <v/>
      </c>
      <c r="H852" s="22" t="str">
        <f aca="false">IF(E852="","",IFERROR(INDEX(02_INDICADORES!$D$2:$D$42,MATCH(E852,02_INDICADORES!$A$2:$A$42,0)),""))</f>
        <v/>
      </c>
      <c r="I852" s="9"/>
      <c r="J852" s="16" t="str">
        <f aca="false">IF(OR(I852="",H852=""),"",I852*H852)</f>
        <v/>
      </c>
      <c r="K852" s="9"/>
      <c r="L852" s="9"/>
      <c r="M852" s="9"/>
    </row>
    <row r="853" customFormat="false" ht="15" hidden="false" customHeight="false" outlineLevel="0" collapsed="false">
      <c r="A853" s="9"/>
      <c r="B853" s="9"/>
      <c r="C853" s="11"/>
      <c r="D853" s="9"/>
      <c r="E853" s="9"/>
      <c r="F853" s="22" t="str">
        <f aca="false">IF(E853="","",IFERROR(INDEX(02_INDICADORES!$B$2:$B$42,MATCH(E853,02_INDICADORES!$A$2:$A$42,0)),"ID?"))</f>
        <v/>
      </c>
      <c r="G853" s="21" t="str">
        <f aca="false">IF(E853="","",IFERROR(INDEX(02_INDICADORES!$C$2:$C$42,MATCH(E853,02_INDICADORES!$A$2:$A$42,0)),"ID?"))</f>
        <v/>
      </c>
      <c r="H853" s="22" t="str">
        <f aca="false">IF(E853="","",IFERROR(INDEX(02_INDICADORES!$D$2:$D$42,MATCH(E853,02_INDICADORES!$A$2:$A$42,0)),""))</f>
        <v/>
      </c>
      <c r="I853" s="9"/>
      <c r="J853" s="16" t="str">
        <f aca="false">IF(OR(I853="",H853=""),"",I853*H853)</f>
        <v/>
      </c>
      <c r="K853" s="9"/>
      <c r="L853" s="9"/>
      <c r="M853" s="9"/>
    </row>
    <row r="854" customFormat="false" ht="15" hidden="false" customHeight="false" outlineLevel="0" collapsed="false">
      <c r="A854" s="9"/>
      <c r="B854" s="9"/>
      <c r="C854" s="11"/>
      <c r="D854" s="9"/>
      <c r="E854" s="9"/>
      <c r="F854" s="22" t="str">
        <f aca="false">IF(E854="","",IFERROR(INDEX(02_INDICADORES!$B$2:$B$42,MATCH(E854,02_INDICADORES!$A$2:$A$42,0)),"ID?"))</f>
        <v/>
      </c>
      <c r="G854" s="21" t="str">
        <f aca="false">IF(E854="","",IFERROR(INDEX(02_INDICADORES!$C$2:$C$42,MATCH(E854,02_INDICADORES!$A$2:$A$42,0)),"ID?"))</f>
        <v/>
      </c>
      <c r="H854" s="22" t="str">
        <f aca="false">IF(E854="","",IFERROR(INDEX(02_INDICADORES!$D$2:$D$42,MATCH(E854,02_INDICADORES!$A$2:$A$42,0)),""))</f>
        <v/>
      </c>
      <c r="I854" s="9"/>
      <c r="J854" s="16" t="str">
        <f aca="false">IF(OR(I854="",H854=""),"",I854*H854)</f>
        <v/>
      </c>
      <c r="K854" s="9"/>
      <c r="L854" s="9"/>
      <c r="M854" s="9"/>
    </row>
    <row r="855" customFormat="false" ht="15" hidden="false" customHeight="false" outlineLevel="0" collapsed="false">
      <c r="A855" s="9"/>
      <c r="B855" s="9"/>
      <c r="C855" s="11"/>
      <c r="D855" s="9"/>
      <c r="E855" s="9"/>
      <c r="F855" s="22" t="str">
        <f aca="false">IF(E855="","",IFERROR(INDEX(02_INDICADORES!$B$2:$B$42,MATCH(E855,02_INDICADORES!$A$2:$A$42,0)),"ID?"))</f>
        <v/>
      </c>
      <c r="G855" s="21" t="str">
        <f aca="false">IF(E855="","",IFERROR(INDEX(02_INDICADORES!$C$2:$C$42,MATCH(E855,02_INDICADORES!$A$2:$A$42,0)),"ID?"))</f>
        <v/>
      </c>
      <c r="H855" s="22" t="str">
        <f aca="false">IF(E855="","",IFERROR(INDEX(02_INDICADORES!$D$2:$D$42,MATCH(E855,02_INDICADORES!$A$2:$A$42,0)),""))</f>
        <v/>
      </c>
      <c r="I855" s="9"/>
      <c r="J855" s="16" t="str">
        <f aca="false">IF(OR(I855="",H855=""),"",I855*H855)</f>
        <v/>
      </c>
      <c r="K855" s="9"/>
      <c r="L855" s="9"/>
      <c r="M855" s="9"/>
    </row>
    <row r="856" customFormat="false" ht="15" hidden="false" customHeight="false" outlineLevel="0" collapsed="false">
      <c r="A856" s="9"/>
      <c r="B856" s="9"/>
      <c r="C856" s="11"/>
      <c r="D856" s="9"/>
      <c r="E856" s="9"/>
      <c r="F856" s="22" t="str">
        <f aca="false">IF(E856="","",IFERROR(INDEX(02_INDICADORES!$B$2:$B$42,MATCH(E856,02_INDICADORES!$A$2:$A$42,0)),"ID?"))</f>
        <v/>
      </c>
      <c r="G856" s="21" t="str">
        <f aca="false">IF(E856="","",IFERROR(INDEX(02_INDICADORES!$C$2:$C$42,MATCH(E856,02_INDICADORES!$A$2:$A$42,0)),"ID?"))</f>
        <v/>
      </c>
      <c r="H856" s="22" t="str">
        <f aca="false">IF(E856="","",IFERROR(INDEX(02_INDICADORES!$D$2:$D$42,MATCH(E856,02_INDICADORES!$A$2:$A$42,0)),""))</f>
        <v/>
      </c>
      <c r="I856" s="9"/>
      <c r="J856" s="16" t="str">
        <f aca="false">IF(OR(I856="",H856=""),"",I856*H856)</f>
        <v/>
      </c>
      <c r="K856" s="9"/>
      <c r="L856" s="9"/>
      <c r="M856" s="9"/>
    </row>
    <row r="857" customFormat="false" ht="15" hidden="false" customHeight="false" outlineLevel="0" collapsed="false">
      <c r="A857" s="9"/>
      <c r="B857" s="9"/>
      <c r="C857" s="11"/>
      <c r="D857" s="9"/>
      <c r="E857" s="9"/>
      <c r="F857" s="22" t="str">
        <f aca="false">IF(E857="","",IFERROR(INDEX(02_INDICADORES!$B$2:$B$42,MATCH(E857,02_INDICADORES!$A$2:$A$42,0)),"ID?"))</f>
        <v/>
      </c>
      <c r="G857" s="21" t="str">
        <f aca="false">IF(E857="","",IFERROR(INDEX(02_INDICADORES!$C$2:$C$42,MATCH(E857,02_INDICADORES!$A$2:$A$42,0)),"ID?"))</f>
        <v/>
      </c>
      <c r="H857" s="22" t="str">
        <f aca="false">IF(E857="","",IFERROR(INDEX(02_INDICADORES!$D$2:$D$42,MATCH(E857,02_INDICADORES!$A$2:$A$42,0)),""))</f>
        <v/>
      </c>
      <c r="I857" s="9"/>
      <c r="J857" s="16" t="str">
        <f aca="false">IF(OR(I857="",H857=""),"",I857*H857)</f>
        <v/>
      </c>
      <c r="K857" s="9"/>
      <c r="L857" s="9"/>
      <c r="M857" s="9"/>
    </row>
    <row r="858" customFormat="false" ht="15" hidden="false" customHeight="false" outlineLevel="0" collapsed="false">
      <c r="A858" s="9"/>
      <c r="B858" s="9"/>
      <c r="C858" s="11"/>
      <c r="D858" s="9"/>
      <c r="E858" s="9"/>
      <c r="F858" s="22" t="str">
        <f aca="false">IF(E858="","",IFERROR(INDEX(02_INDICADORES!$B$2:$B$42,MATCH(E858,02_INDICADORES!$A$2:$A$42,0)),"ID?"))</f>
        <v/>
      </c>
      <c r="G858" s="21" t="str">
        <f aca="false">IF(E858="","",IFERROR(INDEX(02_INDICADORES!$C$2:$C$42,MATCH(E858,02_INDICADORES!$A$2:$A$42,0)),"ID?"))</f>
        <v/>
      </c>
      <c r="H858" s="22" t="str">
        <f aca="false">IF(E858="","",IFERROR(INDEX(02_INDICADORES!$D$2:$D$42,MATCH(E858,02_INDICADORES!$A$2:$A$42,0)),""))</f>
        <v/>
      </c>
      <c r="I858" s="9"/>
      <c r="J858" s="16" t="str">
        <f aca="false">IF(OR(I858="",H858=""),"",I858*H858)</f>
        <v/>
      </c>
      <c r="K858" s="9"/>
      <c r="L858" s="9"/>
      <c r="M858" s="9"/>
    </row>
    <row r="859" customFormat="false" ht="15" hidden="false" customHeight="false" outlineLevel="0" collapsed="false">
      <c r="A859" s="9"/>
      <c r="B859" s="9"/>
      <c r="C859" s="11"/>
      <c r="D859" s="9"/>
      <c r="E859" s="9"/>
      <c r="F859" s="22" t="str">
        <f aca="false">IF(E859="","",IFERROR(INDEX(02_INDICADORES!$B$2:$B$42,MATCH(E859,02_INDICADORES!$A$2:$A$42,0)),"ID?"))</f>
        <v/>
      </c>
      <c r="G859" s="21" t="str">
        <f aca="false">IF(E859="","",IFERROR(INDEX(02_INDICADORES!$C$2:$C$42,MATCH(E859,02_INDICADORES!$A$2:$A$42,0)),"ID?"))</f>
        <v/>
      </c>
      <c r="H859" s="22" t="str">
        <f aca="false">IF(E859="","",IFERROR(INDEX(02_INDICADORES!$D$2:$D$42,MATCH(E859,02_INDICADORES!$A$2:$A$42,0)),""))</f>
        <v/>
      </c>
      <c r="I859" s="9"/>
      <c r="J859" s="16" t="str">
        <f aca="false">IF(OR(I859="",H859=""),"",I859*H859)</f>
        <v/>
      </c>
      <c r="K859" s="9"/>
      <c r="L859" s="9"/>
      <c r="M859" s="9"/>
    </row>
    <row r="860" customFormat="false" ht="15" hidden="false" customHeight="false" outlineLevel="0" collapsed="false">
      <c r="A860" s="9"/>
      <c r="B860" s="9"/>
      <c r="C860" s="11"/>
      <c r="D860" s="9"/>
      <c r="E860" s="9"/>
      <c r="F860" s="22" t="str">
        <f aca="false">IF(E860="","",IFERROR(INDEX(02_INDICADORES!$B$2:$B$42,MATCH(E860,02_INDICADORES!$A$2:$A$42,0)),"ID?"))</f>
        <v/>
      </c>
      <c r="G860" s="21" t="str">
        <f aca="false">IF(E860="","",IFERROR(INDEX(02_INDICADORES!$C$2:$C$42,MATCH(E860,02_INDICADORES!$A$2:$A$42,0)),"ID?"))</f>
        <v/>
      </c>
      <c r="H860" s="22" t="str">
        <f aca="false">IF(E860="","",IFERROR(INDEX(02_INDICADORES!$D$2:$D$42,MATCH(E860,02_INDICADORES!$A$2:$A$42,0)),""))</f>
        <v/>
      </c>
      <c r="I860" s="9"/>
      <c r="J860" s="16" t="str">
        <f aca="false">IF(OR(I860="",H860=""),"",I860*H860)</f>
        <v/>
      </c>
      <c r="K860" s="9"/>
      <c r="L860" s="9"/>
      <c r="M860" s="9"/>
    </row>
    <row r="861" customFormat="false" ht="15" hidden="false" customHeight="false" outlineLevel="0" collapsed="false">
      <c r="A861" s="9"/>
      <c r="B861" s="9"/>
      <c r="C861" s="11"/>
      <c r="D861" s="9"/>
      <c r="E861" s="9"/>
      <c r="F861" s="22" t="str">
        <f aca="false">IF(E861="","",IFERROR(INDEX(02_INDICADORES!$B$2:$B$42,MATCH(E861,02_INDICADORES!$A$2:$A$42,0)),"ID?"))</f>
        <v/>
      </c>
      <c r="G861" s="21" t="str">
        <f aca="false">IF(E861="","",IFERROR(INDEX(02_INDICADORES!$C$2:$C$42,MATCH(E861,02_INDICADORES!$A$2:$A$42,0)),"ID?"))</f>
        <v/>
      </c>
      <c r="H861" s="22" t="str">
        <f aca="false">IF(E861="","",IFERROR(INDEX(02_INDICADORES!$D$2:$D$42,MATCH(E861,02_INDICADORES!$A$2:$A$42,0)),""))</f>
        <v/>
      </c>
      <c r="I861" s="9"/>
      <c r="J861" s="16" t="str">
        <f aca="false">IF(OR(I861="",H861=""),"",I861*H861)</f>
        <v/>
      </c>
      <c r="K861" s="9"/>
      <c r="L861" s="9"/>
      <c r="M861" s="9"/>
    </row>
    <row r="862" customFormat="false" ht="15" hidden="false" customHeight="false" outlineLevel="0" collapsed="false">
      <c r="A862" s="9"/>
      <c r="B862" s="9"/>
      <c r="C862" s="11"/>
      <c r="D862" s="9"/>
      <c r="E862" s="9"/>
      <c r="F862" s="22" t="str">
        <f aca="false">IF(E862="","",IFERROR(INDEX(02_INDICADORES!$B$2:$B$42,MATCH(E862,02_INDICADORES!$A$2:$A$42,0)),"ID?"))</f>
        <v/>
      </c>
      <c r="G862" s="21" t="str">
        <f aca="false">IF(E862="","",IFERROR(INDEX(02_INDICADORES!$C$2:$C$42,MATCH(E862,02_INDICADORES!$A$2:$A$42,0)),"ID?"))</f>
        <v/>
      </c>
      <c r="H862" s="22" t="str">
        <f aca="false">IF(E862="","",IFERROR(INDEX(02_INDICADORES!$D$2:$D$42,MATCH(E862,02_INDICADORES!$A$2:$A$42,0)),""))</f>
        <v/>
      </c>
      <c r="I862" s="9"/>
      <c r="J862" s="16" t="str">
        <f aca="false">IF(OR(I862="",H862=""),"",I862*H862)</f>
        <v/>
      </c>
      <c r="K862" s="9"/>
      <c r="L862" s="9"/>
      <c r="M862" s="9"/>
    </row>
    <row r="863" customFormat="false" ht="15" hidden="false" customHeight="false" outlineLevel="0" collapsed="false">
      <c r="A863" s="9"/>
      <c r="B863" s="9"/>
      <c r="C863" s="11"/>
      <c r="D863" s="9"/>
      <c r="E863" s="9"/>
      <c r="F863" s="22" t="str">
        <f aca="false">IF(E863="","",IFERROR(INDEX(02_INDICADORES!$B$2:$B$42,MATCH(E863,02_INDICADORES!$A$2:$A$42,0)),"ID?"))</f>
        <v/>
      </c>
      <c r="G863" s="21" t="str">
        <f aca="false">IF(E863="","",IFERROR(INDEX(02_INDICADORES!$C$2:$C$42,MATCH(E863,02_INDICADORES!$A$2:$A$42,0)),"ID?"))</f>
        <v/>
      </c>
      <c r="H863" s="22" t="str">
        <f aca="false">IF(E863="","",IFERROR(INDEX(02_INDICADORES!$D$2:$D$42,MATCH(E863,02_INDICADORES!$A$2:$A$42,0)),""))</f>
        <v/>
      </c>
      <c r="I863" s="9"/>
      <c r="J863" s="16" t="str">
        <f aca="false">IF(OR(I863="",H863=""),"",I863*H863)</f>
        <v/>
      </c>
      <c r="K863" s="9"/>
      <c r="L863" s="9"/>
      <c r="M863" s="9"/>
    </row>
    <row r="864" customFormat="false" ht="15" hidden="false" customHeight="false" outlineLevel="0" collapsed="false">
      <c r="A864" s="9"/>
      <c r="B864" s="9"/>
      <c r="C864" s="11"/>
      <c r="D864" s="9"/>
      <c r="E864" s="9"/>
      <c r="F864" s="22" t="str">
        <f aca="false">IF(E864="","",IFERROR(INDEX(02_INDICADORES!$B$2:$B$42,MATCH(E864,02_INDICADORES!$A$2:$A$42,0)),"ID?"))</f>
        <v/>
      </c>
      <c r="G864" s="21" t="str">
        <f aca="false">IF(E864="","",IFERROR(INDEX(02_INDICADORES!$C$2:$C$42,MATCH(E864,02_INDICADORES!$A$2:$A$42,0)),"ID?"))</f>
        <v/>
      </c>
      <c r="H864" s="22" t="str">
        <f aca="false">IF(E864="","",IFERROR(INDEX(02_INDICADORES!$D$2:$D$42,MATCH(E864,02_INDICADORES!$A$2:$A$42,0)),""))</f>
        <v/>
      </c>
      <c r="I864" s="9"/>
      <c r="J864" s="16" t="str">
        <f aca="false">IF(OR(I864="",H864=""),"",I864*H864)</f>
        <v/>
      </c>
      <c r="K864" s="9"/>
      <c r="L864" s="9"/>
      <c r="M864" s="9"/>
    </row>
    <row r="865" customFormat="false" ht="15" hidden="false" customHeight="false" outlineLevel="0" collapsed="false">
      <c r="A865" s="9"/>
      <c r="B865" s="9"/>
      <c r="C865" s="11"/>
      <c r="D865" s="9"/>
      <c r="E865" s="9"/>
      <c r="F865" s="22" t="str">
        <f aca="false">IF(E865="","",IFERROR(INDEX(02_INDICADORES!$B$2:$B$42,MATCH(E865,02_INDICADORES!$A$2:$A$42,0)),"ID?"))</f>
        <v/>
      </c>
      <c r="G865" s="21" t="str">
        <f aca="false">IF(E865="","",IFERROR(INDEX(02_INDICADORES!$C$2:$C$42,MATCH(E865,02_INDICADORES!$A$2:$A$42,0)),"ID?"))</f>
        <v/>
      </c>
      <c r="H865" s="22" t="str">
        <f aca="false">IF(E865="","",IFERROR(INDEX(02_INDICADORES!$D$2:$D$42,MATCH(E865,02_INDICADORES!$A$2:$A$42,0)),""))</f>
        <v/>
      </c>
      <c r="I865" s="9"/>
      <c r="J865" s="16" t="str">
        <f aca="false">IF(OR(I865="",H865=""),"",I865*H865)</f>
        <v/>
      </c>
      <c r="K865" s="9"/>
      <c r="L865" s="9"/>
      <c r="M865" s="9"/>
    </row>
    <row r="866" customFormat="false" ht="15" hidden="false" customHeight="false" outlineLevel="0" collapsed="false">
      <c r="A866" s="9"/>
      <c r="B866" s="9"/>
      <c r="C866" s="11"/>
      <c r="D866" s="9"/>
      <c r="E866" s="9"/>
      <c r="F866" s="22" t="str">
        <f aca="false">IF(E866="","",IFERROR(INDEX(02_INDICADORES!$B$2:$B$42,MATCH(E866,02_INDICADORES!$A$2:$A$42,0)),"ID?"))</f>
        <v/>
      </c>
      <c r="G866" s="21" t="str">
        <f aca="false">IF(E866="","",IFERROR(INDEX(02_INDICADORES!$C$2:$C$42,MATCH(E866,02_INDICADORES!$A$2:$A$42,0)),"ID?"))</f>
        <v/>
      </c>
      <c r="H866" s="22" t="str">
        <f aca="false">IF(E866="","",IFERROR(INDEX(02_INDICADORES!$D$2:$D$42,MATCH(E866,02_INDICADORES!$A$2:$A$42,0)),""))</f>
        <v/>
      </c>
      <c r="I866" s="9"/>
      <c r="J866" s="16" t="str">
        <f aca="false">IF(OR(I866="",H866=""),"",I866*H866)</f>
        <v/>
      </c>
      <c r="K866" s="9"/>
      <c r="L866" s="9"/>
      <c r="M866" s="9"/>
    </row>
    <row r="867" customFormat="false" ht="15" hidden="false" customHeight="false" outlineLevel="0" collapsed="false">
      <c r="A867" s="9"/>
      <c r="B867" s="9"/>
      <c r="C867" s="11"/>
      <c r="D867" s="9"/>
      <c r="E867" s="9"/>
      <c r="F867" s="22" t="str">
        <f aca="false">IF(E867="","",IFERROR(INDEX(02_INDICADORES!$B$2:$B$42,MATCH(E867,02_INDICADORES!$A$2:$A$42,0)),"ID?"))</f>
        <v/>
      </c>
      <c r="G867" s="21" t="str">
        <f aca="false">IF(E867="","",IFERROR(INDEX(02_INDICADORES!$C$2:$C$42,MATCH(E867,02_INDICADORES!$A$2:$A$42,0)),"ID?"))</f>
        <v/>
      </c>
      <c r="H867" s="22" t="str">
        <f aca="false">IF(E867="","",IFERROR(INDEX(02_INDICADORES!$D$2:$D$42,MATCH(E867,02_INDICADORES!$A$2:$A$42,0)),""))</f>
        <v/>
      </c>
      <c r="I867" s="9"/>
      <c r="J867" s="16" t="str">
        <f aca="false">IF(OR(I867="",H867=""),"",I867*H867)</f>
        <v/>
      </c>
      <c r="K867" s="9"/>
      <c r="L867" s="9"/>
      <c r="M867" s="9"/>
    </row>
    <row r="868" customFormat="false" ht="15" hidden="false" customHeight="false" outlineLevel="0" collapsed="false">
      <c r="A868" s="9"/>
      <c r="B868" s="9"/>
      <c r="C868" s="11"/>
      <c r="D868" s="9"/>
      <c r="E868" s="9"/>
      <c r="F868" s="22" t="str">
        <f aca="false">IF(E868="","",IFERROR(INDEX(02_INDICADORES!$B$2:$B$42,MATCH(E868,02_INDICADORES!$A$2:$A$42,0)),"ID?"))</f>
        <v/>
      </c>
      <c r="G868" s="21" t="str">
        <f aca="false">IF(E868="","",IFERROR(INDEX(02_INDICADORES!$C$2:$C$42,MATCH(E868,02_INDICADORES!$A$2:$A$42,0)),"ID?"))</f>
        <v/>
      </c>
      <c r="H868" s="22" t="str">
        <f aca="false">IF(E868="","",IFERROR(INDEX(02_INDICADORES!$D$2:$D$42,MATCH(E868,02_INDICADORES!$A$2:$A$42,0)),""))</f>
        <v/>
      </c>
      <c r="I868" s="9"/>
      <c r="J868" s="16" t="str">
        <f aca="false">IF(OR(I868="",H868=""),"",I868*H868)</f>
        <v/>
      </c>
      <c r="K868" s="9"/>
      <c r="L868" s="9"/>
      <c r="M868" s="9"/>
    </row>
    <row r="869" customFormat="false" ht="15" hidden="false" customHeight="false" outlineLevel="0" collapsed="false">
      <c r="A869" s="9"/>
      <c r="B869" s="9"/>
      <c r="C869" s="11"/>
      <c r="D869" s="9"/>
      <c r="E869" s="9"/>
      <c r="F869" s="22" t="str">
        <f aca="false">IF(E869="","",IFERROR(INDEX(02_INDICADORES!$B$2:$B$42,MATCH(E869,02_INDICADORES!$A$2:$A$42,0)),"ID?"))</f>
        <v/>
      </c>
      <c r="G869" s="21" t="str">
        <f aca="false">IF(E869="","",IFERROR(INDEX(02_INDICADORES!$C$2:$C$42,MATCH(E869,02_INDICADORES!$A$2:$A$42,0)),"ID?"))</f>
        <v/>
      </c>
      <c r="H869" s="22" t="str">
        <f aca="false">IF(E869="","",IFERROR(INDEX(02_INDICADORES!$D$2:$D$42,MATCH(E869,02_INDICADORES!$A$2:$A$42,0)),""))</f>
        <v/>
      </c>
      <c r="I869" s="9"/>
      <c r="J869" s="16" t="str">
        <f aca="false">IF(OR(I869="",H869=""),"",I869*H869)</f>
        <v/>
      </c>
      <c r="K869" s="9"/>
      <c r="L869" s="9"/>
      <c r="M869" s="9"/>
    </row>
    <row r="870" customFormat="false" ht="15" hidden="false" customHeight="false" outlineLevel="0" collapsed="false">
      <c r="A870" s="9"/>
      <c r="B870" s="9"/>
      <c r="C870" s="11"/>
      <c r="D870" s="9"/>
      <c r="E870" s="9"/>
      <c r="F870" s="22" t="str">
        <f aca="false">IF(E870="","",IFERROR(INDEX(02_INDICADORES!$B$2:$B$42,MATCH(E870,02_INDICADORES!$A$2:$A$42,0)),"ID?"))</f>
        <v/>
      </c>
      <c r="G870" s="21" t="str">
        <f aca="false">IF(E870="","",IFERROR(INDEX(02_INDICADORES!$C$2:$C$42,MATCH(E870,02_INDICADORES!$A$2:$A$42,0)),"ID?"))</f>
        <v/>
      </c>
      <c r="H870" s="22" t="str">
        <f aca="false">IF(E870="","",IFERROR(INDEX(02_INDICADORES!$D$2:$D$42,MATCH(E870,02_INDICADORES!$A$2:$A$42,0)),""))</f>
        <v/>
      </c>
      <c r="I870" s="9"/>
      <c r="J870" s="16" t="str">
        <f aca="false">IF(OR(I870="",H870=""),"",I870*H870)</f>
        <v/>
      </c>
      <c r="K870" s="9"/>
      <c r="L870" s="9"/>
      <c r="M870" s="9"/>
    </row>
    <row r="871" customFormat="false" ht="15" hidden="false" customHeight="false" outlineLevel="0" collapsed="false">
      <c r="A871" s="9"/>
      <c r="B871" s="9"/>
      <c r="C871" s="11"/>
      <c r="D871" s="9"/>
      <c r="E871" s="9"/>
      <c r="F871" s="22" t="str">
        <f aca="false">IF(E871="","",IFERROR(INDEX(02_INDICADORES!$B$2:$B$42,MATCH(E871,02_INDICADORES!$A$2:$A$42,0)),"ID?"))</f>
        <v/>
      </c>
      <c r="G871" s="21" t="str">
        <f aca="false">IF(E871="","",IFERROR(INDEX(02_INDICADORES!$C$2:$C$42,MATCH(E871,02_INDICADORES!$A$2:$A$42,0)),"ID?"))</f>
        <v/>
      </c>
      <c r="H871" s="22" t="str">
        <f aca="false">IF(E871="","",IFERROR(INDEX(02_INDICADORES!$D$2:$D$42,MATCH(E871,02_INDICADORES!$A$2:$A$42,0)),""))</f>
        <v/>
      </c>
      <c r="I871" s="9"/>
      <c r="J871" s="16" t="str">
        <f aca="false">IF(OR(I871="",H871=""),"",I871*H871)</f>
        <v/>
      </c>
      <c r="K871" s="9"/>
      <c r="L871" s="9"/>
      <c r="M871" s="9"/>
    </row>
    <row r="872" customFormat="false" ht="15" hidden="false" customHeight="false" outlineLevel="0" collapsed="false">
      <c r="A872" s="9"/>
      <c r="B872" s="9"/>
      <c r="C872" s="11"/>
      <c r="D872" s="9"/>
      <c r="E872" s="9"/>
      <c r="F872" s="22" t="str">
        <f aca="false">IF(E872="","",IFERROR(INDEX(02_INDICADORES!$B$2:$B$42,MATCH(E872,02_INDICADORES!$A$2:$A$42,0)),"ID?"))</f>
        <v/>
      </c>
      <c r="G872" s="21" t="str">
        <f aca="false">IF(E872="","",IFERROR(INDEX(02_INDICADORES!$C$2:$C$42,MATCH(E872,02_INDICADORES!$A$2:$A$42,0)),"ID?"))</f>
        <v/>
      </c>
      <c r="H872" s="22" t="str">
        <f aca="false">IF(E872="","",IFERROR(INDEX(02_INDICADORES!$D$2:$D$42,MATCH(E872,02_INDICADORES!$A$2:$A$42,0)),""))</f>
        <v/>
      </c>
      <c r="I872" s="9"/>
      <c r="J872" s="16" t="str">
        <f aca="false">IF(OR(I872="",H872=""),"",I872*H872)</f>
        <v/>
      </c>
      <c r="K872" s="9"/>
      <c r="L872" s="9"/>
      <c r="M872" s="9"/>
    </row>
    <row r="873" customFormat="false" ht="15" hidden="false" customHeight="false" outlineLevel="0" collapsed="false">
      <c r="A873" s="9"/>
      <c r="B873" s="9"/>
      <c r="C873" s="11"/>
      <c r="D873" s="9"/>
      <c r="E873" s="9"/>
      <c r="F873" s="22" t="str">
        <f aca="false">IF(E873="","",IFERROR(INDEX(02_INDICADORES!$B$2:$B$42,MATCH(E873,02_INDICADORES!$A$2:$A$42,0)),"ID?"))</f>
        <v/>
      </c>
      <c r="G873" s="21" t="str">
        <f aca="false">IF(E873="","",IFERROR(INDEX(02_INDICADORES!$C$2:$C$42,MATCH(E873,02_INDICADORES!$A$2:$A$42,0)),"ID?"))</f>
        <v/>
      </c>
      <c r="H873" s="22" t="str">
        <f aca="false">IF(E873="","",IFERROR(INDEX(02_INDICADORES!$D$2:$D$42,MATCH(E873,02_INDICADORES!$A$2:$A$42,0)),""))</f>
        <v/>
      </c>
      <c r="I873" s="9"/>
      <c r="J873" s="16" t="str">
        <f aca="false">IF(OR(I873="",H873=""),"",I873*H873)</f>
        <v/>
      </c>
      <c r="K873" s="9"/>
      <c r="L873" s="9"/>
      <c r="M873" s="9"/>
    </row>
    <row r="874" customFormat="false" ht="15" hidden="false" customHeight="false" outlineLevel="0" collapsed="false">
      <c r="A874" s="9"/>
      <c r="B874" s="9"/>
      <c r="C874" s="11"/>
      <c r="D874" s="9"/>
      <c r="E874" s="9"/>
      <c r="F874" s="22" t="str">
        <f aca="false">IF(E874="","",IFERROR(INDEX(02_INDICADORES!$B$2:$B$42,MATCH(E874,02_INDICADORES!$A$2:$A$42,0)),"ID?"))</f>
        <v/>
      </c>
      <c r="G874" s="21" t="str">
        <f aca="false">IF(E874="","",IFERROR(INDEX(02_INDICADORES!$C$2:$C$42,MATCH(E874,02_INDICADORES!$A$2:$A$42,0)),"ID?"))</f>
        <v/>
      </c>
      <c r="H874" s="22" t="str">
        <f aca="false">IF(E874="","",IFERROR(INDEX(02_INDICADORES!$D$2:$D$42,MATCH(E874,02_INDICADORES!$A$2:$A$42,0)),""))</f>
        <v/>
      </c>
      <c r="I874" s="9"/>
      <c r="J874" s="16" t="str">
        <f aca="false">IF(OR(I874="",H874=""),"",I874*H874)</f>
        <v/>
      </c>
      <c r="K874" s="9"/>
      <c r="L874" s="9"/>
      <c r="M874" s="9"/>
    </row>
    <row r="875" customFormat="false" ht="15" hidden="false" customHeight="false" outlineLevel="0" collapsed="false">
      <c r="A875" s="9"/>
      <c r="B875" s="9"/>
      <c r="C875" s="11"/>
      <c r="D875" s="9"/>
      <c r="E875" s="9"/>
      <c r="F875" s="22" t="str">
        <f aca="false">IF(E875="","",IFERROR(INDEX(02_INDICADORES!$B$2:$B$42,MATCH(E875,02_INDICADORES!$A$2:$A$42,0)),"ID?"))</f>
        <v/>
      </c>
      <c r="G875" s="21" t="str">
        <f aca="false">IF(E875="","",IFERROR(INDEX(02_INDICADORES!$C$2:$C$42,MATCH(E875,02_INDICADORES!$A$2:$A$42,0)),"ID?"))</f>
        <v/>
      </c>
      <c r="H875" s="22" t="str">
        <f aca="false">IF(E875="","",IFERROR(INDEX(02_INDICADORES!$D$2:$D$42,MATCH(E875,02_INDICADORES!$A$2:$A$42,0)),""))</f>
        <v/>
      </c>
      <c r="I875" s="9"/>
      <c r="J875" s="16" t="str">
        <f aca="false">IF(OR(I875="",H875=""),"",I875*H875)</f>
        <v/>
      </c>
      <c r="K875" s="9"/>
      <c r="L875" s="9"/>
      <c r="M875" s="9"/>
    </row>
    <row r="876" customFormat="false" ht="15" hidden="false" customHeight="false" outlineLevel="0" collapsed="false">
      <c r="A876" s="9"/>
      <c r="B876" s="9"/>
      <c r="C876" s="11"/>
      <c r="D876" s="9"/>
      <c r="E876" s="9"/>
      <c r="F876" s="22" t="str">
        <f aca="false">IF(E876="","",IFERROR(INDEX(02_INDICADORES!$B$2:$B$42,MATCH(E876,02_INDICADORES!$A$2:$A$42,0)),"ID?"))</f>
        <v/>
      </c>
      <c r="G876" s="21" t="str">
        <f aca="false">IF(E876="","",IFERROR(INDEX(02_INDICADORES!$C$2:$C$42,MATCH(E876,02_INDICADORES!$A$2:$A$42,0)),"ID?"))</f>
        <v/>
      </c>
      <c r="H876" s="22" t="str">
        <f aca="false">IF(E876="","",IFERROR(INDEX(02_INDICADORES!$D$2:$D$42,MATCH(E876,02_INDICADORES!$A$2:$A$42,0)),""))</f>
        <v/>
      </c>
      <c r="I876" s="9"/>
      <c r="J876" s="16" t="str">
        <f aca="false">IF(OR(I876="",H876=""),"",I876*H876)</f>
        <v/>
      </c>
      <c r="K876" s="9"/>
      <c r="L876" s="9"/>
      <c r="M876" s="9"/>
    </row>
    <row r="877" customFormat="false" ht="15" hidden="false" customHeight="false" outlineLevel="0" collapsed="false">
      <c r="A877" s="9"/>
      <c r="B877" s="9"/>
      <c r="C877" s="11"/>
      <c r="D877" s="9"/>
      <c r="E877" s="9"/>
      <c r="F877" s="22" t="str">
        <f aca="false">IF(E877="","",IFERROR(INDEX(02_INDICADORES!$B$2:$B$42,MATCH(E877,02_INDICADORES!$A$2:$A$42,0)),"ID?"))</f>
        <v/>
      </c>
      <c r="G877" s="21" t="str">
        <f aca="false">IF(E877="","",IFERROR(INDEX(02_INDICADORES!$C$2:$C$42,MATCH(E877,02_INDICADORES!$A$2:$A$42,0)),"ID?"))</f>
        <v/>
      </c>
      <c r="H877" s="22" t="str">
        <f aca="false">IF(E877="","",IFERROR(INDEX(02_INDICADORES!$D$2:$D$42,MATCH(E877,02_INDICADORES!$A$2:$A$42,0)),""))</f>
        <v/>
      </c>
      <c r="I877" s="9"/>
      <c r="J877" s="16" t="str">
        <f aca="false">IF(OR(I877="",H877=""),"",I877*H877)</f>
        <v/>
      </c>
      <c r="K877" s="9"/>
      <c r="L877" s="9"/>
      <c r="M877" s="9"/>
    </row>
    <row r="878" customFormat="false" ht="15" hidden="false" customHeight="false" outlineLevel="0" collapsed="false">
      <c r="A878" s="9"/>
      <c r="B878" s="9"/>
      <c r="C878" s="11"/>
      <c r="D878" s="9"/>
      <c r="E878" s="9"/>
      <c r="F878" s="22" t="str">
        <f aca="false">IF(E878="","",IFERROR(INDEX(02_INDICADORES!$B$2:$B$42,MATCH(E878,02_INDICADORES!$A$2:$A$42,0)),"ID?"))</f>
        <v/>
      </c>
      <c r="G878" s="21" t="str">
        <f aca="false">IF(E878="","",IFERROR(INDEX(02_INDICADORES!$C$2:$C$42,MATCH(E878,02_INDICADORES!$A$2:$A$42,0)),"ID?"))</f>
        <v/>
      </c>
      <c r="H878" s="22" t="str">
        <f aca="false">IF(E878="","",IFERROR(INDEX(02_INDICADORES!$D$2:$D$42,MATCH(E878,02_INDICADORES!$A$2:$A$42,0)),""))</f>
        <v/>
      </c>
      <c r="I878" s="9"/>
      <c r="J878" s="16" t="str">
        <f aca="false">IF(OR(I878="",H878=""),"",I878*H878)</f>
        <v/>
      </c>
      <c r="K878" s="9"/>
      <c r="L878" s="9"/>
      <c r="M878" s="9"/>
    </row>
    <row r="879" customFormat="false" ht="15" hidden="false" customHeight="false" outlineLevel="0" collapsed="false">
      <c r="A879" s="9"/>
      <c r="B879" s="9"/>
      <c r="C879" s="11"/>
      <c r="D879" s="9"/>
      <c r="E879" s="9"/>
      <c r="F879" s="22" t="str">
        <f aca="false">IF(E879="","",IFERROR(INDEX(02_INDICADORES!$B$2:$B$42,MATCH(E879,02_INDICADORES!$A$2:$A$42,0)),"ID?"))</f>
        <v/>
      </c>
      <c r="G879" s="21" t="str">
        <f aca="false">IF(E879="","",IFERROR(INDEX(02_INDICADORES!$C$2:$C$42,MATCH(E879,02_INDICADORES!$A$2:$A$42,0)),"ID?"))</f>
        <v/>
      </c>
      <c r="H879" s="22" t="str">
        <f aca="false">IF(E879="","",IFERROR(INDEX(02_INDICADORES!$D$2:$D$42,MATCH(E879,02_INDICADORES!$A$2:$A$42,0)),""))</f>
        <v/>
      </c>
      <c r="I879" s="9"/>
      <c r="J879" s="16" t="str">
        <f aca="false">IF(OR(I879="",H879=""),"",I879*H879)</f>
        <v/>
      </c>
      <c r="K879" s="9"/>
      <c r="L879" s="9"/>
      <c r="M879" s="9"/>
    </row>
    <row r="880" customFormat="false" ht="15" hidden="false" customHeight="false" outlineLevel="0" collapsed="false">
      <c r="A880" s="9"/>
      <c r="B880" s="9"/>
      <c r="C880" s="11"/>
      <c r="D880" s="9"/>
      <c r="E880" s="9"/>
      <c r="F880" s="22" t="str">
        <f aca="false">IF(E880="","",IFERROR(INDEX(02_INDICADORES!$B$2:$B$42,MATCH(E880,02_INDICADORES!$A$2:$A$42,0)),"ID?"))</f>
        <v/>
      </c>
      <c r="G880" s="21" t="str">
        <f aca="false">IF(E880="","",IFERROR(INDEX(02_INDICADORES!$C$2:$C$42,MATCH(E880,02_INDICADORES!$A$2:$A$42,0)),"ID?"))</f>
        <v/>
      </c>
      <c r="H880" s="22" t="str">
        <f aca="false">IF(E880="","",IFERROR(INDEX(02_INDICADORES!$D$2:$D$42,MATCH(E880,02_INDICADORES!$A$2:$A$42,0)),""))</f>
        <v/>
      </c>
      <c r="I880" s="9"/>
      <c r="J880" s="16" t="str">
        <f aca="false">IF(OR(I880="",H880=""),"",I880*H880)</f>
        <v/>
      </c>
      <c r="K880" s="9"/>
      <c r="L880" s="9"/>
      <c r="M880" s="9"/>
    </row>
    <row r="881" customFormat="false" ht="15" hidden="false" customHeight="false" outlineLevel="0" collapsed="false">
      <c r="A881" s="9"/>
      <c r="B881" s="9"/>
      <c r="C881" s="11"/>
      <c r="D881" s="9"/>
      <c r="E881" s="9"/>
      <c r="F881" s="22" t="str">
        <f aca="false">IF(E881="","",IFERROR(INDEX(02_INDICADORES!$B$2:$B$42,MATCH(E881,02_INDICADORES!$A$2:$A$42,0)),"ID?"))</f>
        <v/>
      </c>
      <c r="G881" s="21" t="str">
        <f aca="false">IF(E881="","",IFERROR(INDEX(02_INDICADORES!$C$2:$C$42,MATCH(E881,02_INDICADORES!$A$2:$A$42,0)),"ID?"))</f>
        <v/>
      </c>
      <c r="H881" s="22" t="str">
        <f aca="false">IF(E881="","",IFERROR(INDEX(02_INDICADORES!$D$2:$D$42,MATCH(E881,02_INDICADORES!$A$2:$A$42,0)),""))</f>
        <v/>
      </c>
      <c r="I881" s="9"/>
      <c r="J881" s="16" t="str">
        <f aca="false">IF(OR(I881="",H881=""),"",I881*H881)</f>
        <v/>
      </c>
      <c r="K881" s="9"/>
      <c r="L881" s="9"/>
      <c r="M881" s="9"/>
    </row>
    <row r="882" customFormat="false" ht="15" hidden="false" customHeight="false" outlineLevel="0" collapsed="false">
      <c r="A882" s="9"/>
      <c r="B882" s="9"/>
      <c r="C882" s="11"/>
      <c r="D882" s="9"/>
      <c r="E882" s="9"/>
      <c r="F882" s="22" t="str">
        <f aca="false">IF(E882="","",IFERROR(INDEX(02_INDICADORES!$B$2:$B$42,MATCH(E882,02_INDICADORES!$A$2:$A$42,0)),"ID?"))</f>
        <v/>
      </c>
      <c r="G882" s="21" t="str">
        <f aca="false">IF(E882="","",IFERROR(INDEX(02_INDICADORES!$C$2:$C$42,MATCH(E882,02_INDICADORES!$A$2:$A$42,0)),"ID?"))</f>
        <v/>
      </c>
      <c r="H882" s="22" t="str">
        <f aca="false">IF(E882="","",IFERROR(INDEX(02_INDICADORES!$D$2:$D$42,MATCH(E882,02_INDICADORES!$A$2:$A$42,0)),""))</f>
        <v/>
      </c>
      <c r="I882" s="9"/>
      <c r="J882" s="16" t="str">
        <f aca="false">IF(OR(I882="",H882=""),"",I882*H882)</f>
        <v/>
      </c>
      <c r="K882" s="9"/>
      <c r="L882" s="9"/>
      <c r="M882" s="9"/>
    </row>
    <row r="883" customFormat="false" ht="15" hidden="false" customHeight="false" outlineLevel="0" collapsed="false">
      <c r="A883" s="9"/>
      <c r="B883" s="9"/>
      <c r="C883" s="11"/>
      <c r="D883" s="9"/>
      <c r="E883" s="9"/>
      <c r="F883" s="22" t="str">
        <f aca="false">IF(E883="","",IFERROR(INDEX(02_INDICADORES!$B$2:$B$42,MATCH(E883,02_INDICADORES!$A$2:$A$42,0)),"ID?"))</f>
        <v/>
      </c>
      <c r="G883" s="21" t="str">
        <f aca="false">IF(E883="","",IFERROR(INDEX(02_INDICADORES!$C$2:$C$42,MATCH(E883,02_INDICADORES!$A$2:$A$42,0)),"ID?"))</f>
        <v/>
      </c>
      <c r="H883" s="22" t="str">
        <f aca="false">IF(E883="","",IFERROR(INDEX(02_INDICADORES!$D$2:$D$42,MATCH(E883,02_INDICADORES!$A$2:$A$42,0)),""))</f>
        <v/>
      </c>
      <c r="I883" s="9"/>
      <c r="J883" s="16" t="str">
        <f aca="false">IF(OR(I883="",H883=""),"",I883*H883)</f>
        <v/>
      </c>
      <c r="K883" s="9"/>
      <c r="L883" s="9"/>
      <c r="M883" s="9"/>
    </row>
    <row r="884" customFormat="false" ht="15" hidden="false" customHeight="false" outlineLevel="0" collapsed="false">
      <c r="A884" s="9"/>
      <c r="B884" s="9"/>
      <c r="C884" s="11"/>
      <c r="D884" s="9"/>
      <c r="E884" s="9"/>
      <c r="F884" s="22" t="str">
        <f aca="false">IF(E884="","",IFERROR(INDEX(02_INDICADORES!$B$2:$B$42,MATCH(E884,02_INDICADORES!$A$2:$A$42,0)),"ID?"))</f>
        <v/>
      </c>
      <c r="G884" s="21" t="str">
        <f aca="false">IF(E884="","",IFERROR(INDEX(02_INDICADORES!$C$2:$C$42,MATCH(E884,02_INDICADORES!$A$2:$A$42,0)),"ID?"))</f>
        <v/>
      </c>
      <c r="H884" s="22" t="str">
        <f aca="false">IF(E884="","",IFERROR(INDEX(02_INDICADORES!$D$2:$D$42,MATCH(E884,02_INDICADORES!$A$2:$A$42,0)),""))</f>
        <v/>
      </c>
      <c r="I884" s="9"/>
      <c r="J884" s="16" t="str">
        <f aca="false">IF(OR(I884="",H884=""),"",I884*H884)</f>
        <v/>
      </c>
      <c r="K884" s="9"/>
      <c r="L884" s="9"/>
      <c r="M884" s="9"/>
    </row>
    <row r="885" customFormat="false" ht="15" hidden="false" customHeight="false" outlineLevel="0" collapsed="false">
      <c r="A885" s="9"/>
      <c r="B885" s="9"/>
      <c r="C885" s="11"/>
      <c r="D885" s="9"/>
      <c r="E885" s="9"/>
      <c r="F885" s="22" t="str">
        <f aca="false">IF(E885="","",IFERROR(INDEX(02_INDICADORES!$B$2:$B$42,MATCH(E885,02_INDICADORES!$A$2:$A$42,0)),"ID?"))</f>
        <v/>
      </c>
      <c r="G885" s="21" t="str">
        <f aca="false">IF(E885="","",IFERROR(INDEX(02_INDICADORES!$C$2:$C$42,MATCH(E885,02_INDICADORES!$A$2:$A$42,0)),"ID?"))</f>
        <v/>
      </c>
      <c r="H885" s="22" t="str">
        <f aca="false">IF(E885="","",IFERROR(INDEX(02_INDICADORES!$D$2:$D$42,MATCH(E885,02_INDICADORES!$A$2:$A$42,0)),""))</f>
        <v/>
      </c>
      <c r="I885" s="9"/>
      <c r="J885" s="16" t="str">
        <f aca="false">IF(OR(I885="",H885=""),"",I885*H885)</f>
        <v/>
      </c>
      <c r="K885" s="9"/>
      <c r="L885" s="9"/>
      <c r="M885" s="9"/>
    </row>
    <row r="886" customFormat="false" ht="15" hidden="false" customHeight="false" outlineLevel="0" collapsed="false">
      <c r="A886" s="9"/>
      <c r="B886" s="9"/>
      <c r="C886" s="11"/>
      <c r="D886" s="9"/>
      <c r="E886" s="9"/>
      <c r="F886" s="22" t="str">
        <f aca="false">IF(E886="","",IFERROR(INDEX(02_INDICADORES!$B$2:$B$42,MATCH(E886,02_INDICADORES!$A$2:$A$42,0)),"ID?"))</f>
        <v/>
      </c>
      <c r="G886" s="21" t="str">
        <f aca="false">IF(E886="","",IFERROR(INDEX(02_INDICADORES!$C$2:$C$42,MATCH(E886,02_INDICADORES!$A$2:$A$42,0)),"ID?"))</f>
        <v/>
      </c>
      <c r="H886" s="22" t="str">
        <f aca="false">IF(E886="","",IFERROR(INDEX(02_INDICADORES!$D$2:$D$42,MATCH(E886,02_INDICADORES!$A$2:$A$42,0)),""))</f>
        <v/>
      </c>
      <c r="I886" s="9"/>
      <c r="J886" s="16" t="str">
        <f aca="false">IF(OR(I886="",H886=""),"",I886*H886)</f>
        <v/>
      </c>
      <c r="K886" s="9"/>
      <c r="L886" s="9"/>
      <c r="M886" s="9"/>
    </row>
    <row r="887" customFormat="false" ht="15" hidden="false" customHeight="false" outlineLevel="0" collapsed="false">
      <c r="A887" s="9"/>
      <c r="B887" s="9"/>
      <c r="C887" s="11"/>
      <c r="D887" s="9"/>
      <c r="E887" s="9"/>
      <c r="F887" s="22" t="str">
        <f aca="false">IF(E887="","",IFERROR(INDEX(02_INDICADORES!$B$2:$B$42,MATCH(E887,02_INDICADORES!$A$2:$A$42,0)),"ID?"))</f>
        <v/>
      </c>
      <c r="G887" s="21" t="str">
        <f aca="false">IF(E887="","",IFERROR(INDEX(02_INDICADORES!$C$2:$C$42,MATCH(E887,02_INDICADORES!$A$2:$A$42,0)),"ID?"))</f>
        <v/>
      </c>
      <c r="H887" s="22" t="str">
        <f aca="false">IF(E887="","",IFERROR(INDEX(02_INDICADORES!$D$2:$D$42,MATCH(E887,02_INDICADORES!$A$2:$A$42,0)),""))</f>
        <v/>
      </c>
      <c r="I887" s="9"/>
      <c r="J887" s="16" t="str">
        <f aca="false">IF(OR(I887="",H887=""),"",I887*H887)</f>
        <v/>
      </c>
      <c r="K887" s="9"/>
      <c r="L887" s="9"/>
      <c r="M887" s="9"/>
    </row>
    <row r="888" customFormat="false" ht="15" hidden="false" customHeight="false" outlineLevel="0" collapsed="false">
      <c r="A888" s="9"/>
      <c r="B888" s="9"/>
      <c r="C888" s="11"/>
      <c r="D888" s="9"/>
      <c r="E888" s="9"/>
      <c r="F888" s="22" t="str">
        <f aca="false">IF(E888="","",IFERROR(INDEX(02_INDICADORES!$B$2:$B$42,MATCH(E888,02_INDICADORES!$A$2:$A$42,0)),"ID?"))</f>
        <v/>
      </c>
      <c r="G888" s="21" t="str">
        <f aca="false">IF(E888="","",IFERROR(INDEX(02_INDICADORES!$C$2:$C$42,MATCH(E888,02_INDICADORES!$A$2:$A$42,0)),"ID?"))</f>
        <v/>
      </c>
      <c r="H888" s="22" t="str">
        <f aca="false">IF(E888="","",IFERROR(INDEX(02_INDICADORES!$D$2:$D$42,MATCH(E888,02_INDICADORES!$A$2:$A$42,0)),""))</f>
        <v/>
      </c>
      <c r="I888" s="9"/>
      <c r="J888" s="16" t="str">
        <f aca="false">IF(OR(I888="",H888=""),"",I888*H888)</f>
        <v/>
      </c>
      <c r="K888" s="9"/>
      <c r="L888" s="9"/>
      <c r="M888" s="9"/>
    </row>
    <row r="889" customFormat="false" ht="15" hidden="false" customHeight="false" outlineLevel="0" collapsed="false">
      <c r="A889" s="9"/>
      <c r="B889" s="9"/>
      <c r="C889" s="11"/>
      <c r="D889" s="9"/>
      <c r="E889" s="9"/>
      <c r="F889" s="22" t="str">
        <f aca="false">IF(E889="","",IFERROR(INDEX(02_INDICADORES!$B$2:$B$42,MATCH(E889,02_INDICADORES!$A$2:$A$42,0)),"ID?"))</f>
        <v/>
      </c>
      <c r="G889" s="21" t="str">
        <f aca="false">IF(E889="","",IFERROR(INDEX(02_INDICADORES!$C$2:$C$42,MATCH(E889,02_INDICADORES!$A$2:$A$42,0)),"ID?"))</f>
        <v/>
      </c>
      <c r="H889" s="22" t="str">
        <f aca="false">IF(E889="","",IFERROR(INDEX(02_INDICADORES!$D$2:$D$42,MATCH(E889,02_INDICADORES!$A$2:$A$42,0)),""))</f>
        <v/>
      </c>
      <c r="I889" s="9"/>
      <c r="J889" s="16" t="str">
        <f aca="false">IF(OR(I889="",H889=""),"",I889*H889)</f>
        <v/>
      </c>
      <c r="K889" s="9"/>
      <c r="L889" s="9"/>
      <c r="M889" s="9"/>
    </row>
    <row r="890" customFormat="false" ht="15" hidden="false" customHeight="false" outlineLevel="0" collapsed="false">
      <c r="A890" s="9"/>
      <c r="B890" s="9"/>
      <c r="C890" s="11"/>
      <c r="D890" s="9"/>
      <c r="E890" s="9"/>
      <c r="F890" s="22" t="str">
        <f aca="false">IF(E890="","",IFERROR(INDEX(02_INDICADORES!$B$2:$B$42,MATCH(E890,02_INDICADORES!$A$2:$A$42,0)),"ID?"))</f>
        <v/>
      </c>
      <c r="G890" s="21" t="str">
        <f aca="false">IF(E890="","",IFERROR(INDEX(02_INDICADORES!$C$2:$C$42,MATCH(E890,02_INDICADORES!$A$2:$A$42,0)),"ID?"))</f>
        <v/>
      </c>
      <c r="H890" s="22" t="str">
        <f aca="false">IF(E890="","",IFERROR(INDEX(02_INDICADORES!$D$2:$D$42,MATCH(E890,02_INDICADORES!$A$2:$A$42,0)),""))</f>
        <v/>
      </c>
      <c r="I890" s="9"/>
      <c r="J890" s="16" t="str">
        <f aca="false">IF(OR(I890="",H890=""),"",I890*H890)</f>
        <v/>
      </c>
      <c r="K890" s="9"/>
      <c r="L890" s="9"/>
      <c r="M890" s="9"/>
    </row>
    <row r="891" customFormat="false" ht="15" hidden="false" customHeight="false" outlineLevel="0" collapsed="false">
      <c r="A891" s="9"/>
      <c r="B891" s="9"/>
      <c r="C891" s="11"/>
      <c r="D891" s="9"/>
      <c r="E891" s="9"/>
      <c r="F891" s="22" t="str">
        <f aca="false">IF(E891="","",IFERROR(INDEX(02_INDICADORES!$B$2:$B$42,MATCH(E891,02_INDICADORES!$A$2:$A$42,0)),"ID?"))</f>
        <v/>
      </c>
      <c r="G891" s="21" t="str">
        <f aca="false">IF(E891="","",IFERROR(INDEX(02_INDICADORES!$C$2:$C$42,MATCH(E891,02_INDICADORES!$A$2:$A$42,0)),"ID?"))</f>
        <v/>
      </c>
      <c r="H891" s="22" t="str">
        <f aca="false">IF(E891="","",IFERROR(INDEX(02_INDICADORES!$D$2:$D$42,MATCH(E891,02_INDICADORES!$A$2:$A$42,0)),""))</f>
        <v/>
      </c>
      <c r="I891" s="9"/>
      <c r="J891" s="16" t="str">
        <f aca="false">IF(OR(I891="",H891=""),"",I891*H891)</f>
        <v/>
      </c>
      <c r="K891" s="9"/>
      <c r="L891" s="9"/>
      <c r="M891" s="9"/>
    </row>
    <row r="892" customFormat="false" ht="15" hidden="false" customHeight="false" outlineLevel="0" collapsed="false">
      <c r="A892" s="9"/>
      <c r="B892" s="9"/>
      <c r="C892" s="11"/>
      <c r="D892" s="9"/>
      <c r="E892" s="9"/>
      <c r="F892" s="22" t="str">
        <f aca="false">IF(E892="","",IFERROR(INDEX(02_INDICADORES!$B$2:$B$42,MATCH(E892,02_INDICADORES!$A$2:$A$42,0)),"ID?"))</f>
        <v/>
      </c>
      <c r="G892" s="21" t="str">
        <f aca="false">IF(E892="","",IFERROR(INDEX(02_INDICADORES!$C$2:$C$42,MATCH(E892,02_INDICADORES!$A$2:$A$42,0)),"ID?"))</f>
        <v/>
      </c>
      <c r="H892" s="22" t="str">
        <f aca="false">IF(E892="","",IFERROR(INDEX(02_INDICADORES!$D$2:$D$42,MATCH(E892,02_INDICADORES!$A$2:$A$42,0)),""))</f>
        <v/>
      </c>
      <c r="I892" s="9"/>
      <c r="J892" s="16" t="str">
        <f aca="false">IF(OR(I892="",H892=""),"",I892*H892)</f>
        <v/>
      </c>
      <c r="K892" s="9"/>
      <c r="L892" s="9"/>
      <c r="M892" s="9"/>
    </row>
    <row r="893" customFormat="false" ht="15" hidden="false" customHeight="false" outlineLevel="0" collapsed="false">
      <c r="A893" s="9"/>
      <c r="B893" s="9"/>
      <c r="C893" s="11"/>
      <c r="D893" s="9"/>
      <c r="E893" s="9"/>
      <c r="F893" s="22" t="str">
        <f aca="false">IF(E893="","",IFERROR(INDEX(02_INDICADORES!$B$2:$B$42,MATCH(E893,02_INDICADORES!$A$2:$A$42,0)),"ID?"))</f>
        <v/>
      </c>
      <c r="G893" s="21" t="str">
        <f aca="false">IF(E893="","",IFERROR(INDEX(02_INDICADORES!$C$2:$C$42,MATCH(E893,02_INDICADORES!$A$2:$A$42,0)),"ID?"))</f>
        <v/>
      </c>
      <c r="H893" s="22" t="str">
        <f aca="false">IF(E893="","",IFERROR(INDEX(02_INDICADORES!$D$2:$D$42,MATCH(E893,02_INDICADORES!$A$2:$A$42,0)),""))</f>
        <v/>
      </c>
      <c r="I893" s="9"/>
      <c r="J893" s="16" t="str">
        <f aca="false">IF(OR(I893="",H893=""),"",I893*H893)</f>
        <v/>
      </c>
      <c r="K893" s="9"/>
      <c r="L893" s="9"/>
      <c r="M893" s="9"/>
    </row>
    <row r="894" customFormat="false" ht="15" hidden="false" customHeight="false" outlineLevel="0" collapsed="false">
      <c r="A894" s="9"/>
      <c r="B894" s="9"/>
      <c r="C894" s="11"/>
      <c r="D894" s="9"/>
      <c r="E894" s="9"/>
      <c r="F894" s="22" t="str">
        <f aca="false">IF(E894="","",IFERROR(INDEX(02_INDICADORES!$B$2:$B$42,MATCH(E894,02_INDICADORES!$A$2:$A$42,0)),"ID?"))</f>
        <v/>
      </c>
      <c r="G894" s="21" t="str">
        <f aca="false">IF(E894="","",IFERROR(INDEX(02_INDICADORES!$C$2:$C$42,MATCH(E894,02_INDICADORES!$A$2:$A$42,0)),"ID?"))</f>
        <v/>
      </c>
      <c r="H894" s="22" t="str">
        <f aca="false">IF(E894="","",IFERROR(INDEX(02_INDICADORES!$D$2:$D$42,MATCH(E894,02_INDICADORES!$A$2:$A$42,0)),""))</f>
        <v/>
      </c>
      <c r="I894" s="9"/>
      <c r="J894" s="16" t="str">
        <f aca="false">IF(OR(I894="",H894=""),"",I894*H894)</f>
        <v/>
      </c>
      <c r="K894" s="9"/>
      <c r="L894" s="9"/>
      <c r="M894" s="9"/>
    </row>
    <row r="895" customFormat="false" ht="15" hidden="false" customHeight="false" outlineLevel="0" collapsed="false">
      <c r="A895" s="9"/>
      <c r="B895" s="9"/>
      <c r="C895" s="11"/>
      <c r="D895" s="9"/>
      <c r="E895" s="9"/>
      <c r="F895" s="22" t="str">
        <f aca="false">IF(E895="","",IFERROR(INDEX(02_INDICADORES!$B$2:$B$42,MATCH(E895,02_INDICADORES!$A$2:$A$42,0)),"ID?"))</f>
        <v/>
      </c>
      <c r="G895" s="21" t="str">
        <f aca="false">IF(E895="","",IFERROR(INDEX(02_INDICADORES!$C$2:$C$42,MATCH(E895,02_INDICADORES!$A$2:$A$42,0)),"ID?"))</f>
        <v/>
      </c>
      <c r="H895" s="22" t="str">
        <f aca="false">IF(E895="","",IFERROR(INDEX(02_INDICADORES!$D$2:$D$42,MATCH(E895,02_INDICADORES!$A$2:$A$42,0)),""))</f>
        <v/>
      </c>
      <c r="I895" s="9"/>
      <c r="J895" s="16" t="str">
        <f aca="false">IF(OR(I895="",H895=""),"",I895*H895)</f>
        <v/>
      </c>
      <c r="K895" s="9"/>
      <c r="L895" s="9"/>
      <c r="M895" s="9"/>
    </row>
    <row r="896" customFormat="false" ht="15" hidden="false" customHeight="false" outlineLevel="0" collapsed="false">
      <c r="A896" s="9"/>
      <c r="B896" s="9"/>
      <c r="C896" s="11"/>
      <c r="D896" s="9"/>
      <c r="E896" s="9"/>
      <c r="F896" s="22" t="str">
        <f aca="false">IF(E896="","",IFERROR(INDEX(02_INDICADORES!$B$2:$B$42,MATCH(E896,02_INDICADORES!$A$2:$A$42,0)),"ID?"))</f>
        <v/>
      </c>
      <c r="G896" s="21" t="str">
        <f aca="false">IF(E896="","",IFERROR(INDEX(02_INDICADORES!$C$2:$C$42,MATCH(E896,02_INDICADORES!$A$2:$A$42,0)),"ID?"))</f>
        <v/>
      </c>
      <c r="H896" s="22" t="str">
        <f aca="false">IF(E896="","",IFERROR(INDEX(02_INDICADORES!$D$2:$D$42,MATCH(E896,02_INDICADORES!$A$2:$A$42,0)),""))</f>
        <v/>
      </c>
      <c r="I896" s="9"/>
      <c r="J896" s="16" t="str">
        <f aca="false">IF(OR(I896="",H896=""),"",I896*H896)</f>
        <v/>
      </c>
      <c r="K896" s="9"/>
      <c r="L896" s="9"/>
      <c r="M896" s="9"/>
    </row>
    <row r="897" customFormat="false" ht="15" hidden="false" customHeight="false" outlineLevel="0" collapsed="false">
      <c r="A897" s="9"/>
      <c r="B897" s="9"/>
      <c r="C897" s="11"/>
      <c r="D897" s="9"/>
      <c r="E897" s="9"/>
      <c r="F897" s="22" t="str">
        <f aca="false">IF(E897="","",IFERROR(INDEX(02_INDICADORES!$B$2:$B$42,MATCH(E897,02_INDICADORES!$A$2:$A$42,0)),"ID?"))</f>
        <v/>
      </c>
      <c r="G897" s="21" t="str">
        <f aca="false">IF(E897="","",IFERROR(INDEX(02_INDICADORES!$C$2:$C$42,MATCH(E897,02_INDICADORES!$A$2:$A$42,0)),"ID?"))</f>
        <v/>
      </c>
      <c r="H897" s="22" t="str">
        <f aca="false">IF(E897="","",IFERROR(INDEX(02_INDICADORES!$D$2:$D$42,MATCH(E897,02_INDICADORES!$A$2:$A$42,0)),""))</f>
        <v/>
      </c>
      <c r="I897" s="9"/>
      <c r="J897" s="16" t="str">
        <f aca="false">IF(OR(I897="",H897=""),"",I897*H897)</f>
        <v/>
      </c>
      <c r="K897" s="9"/>
      <c r="L897" s="9"/>
      <c r="M897" s="9"/>
    </row>
    <row r="898" customFormat="false" ht="15" hidden="false" customHeight="false" outlineLevel="0" collapsed="false">
      <c r="A898" s="9"/>
      <c r="B898" s="9"/>
      <c r="C898" s="11"/>
      <c r="D898" s="9"/>
      <c r="E898" s="9"/>
      <c r="F898" s="22" t="str">
        <f aca="false">IF(E898="","",IFERROR(INDEX(02_INDICADORES!$B$2:$B$42,MATCH(E898,02_INDICADORES!$A$2:$A$42,0)),"ID?"))</f>
        <v/>
      </c>
      <c r="G898" s="21" t="str">
        <f aca="false">IF(E898="","",IFERROR(INDEX(02_INDICADORES!$C$2:$C$42,MATCH(E898,02_INDICADORES!$A$2:$A$42,0)),"ID?"))</f>
        <v/>
      </c>
      <c r="H898" s="22" t="str">
        <f aca="false">IF(E898="","",IFERROR(INDEX(02_INDICADORES!$D$2:$D$42,MATCH(E898,02_INDICADORES!$A$2:$A$42,0)),""))</f>
        <v/>
      </c>
      <c r="I898" s="9"/>
      <c r="J898" s="16" t="str">
        <f aca="false">IF(OR(I898="",H898=""),"",I898*H898)</f>
        <v/>
      </c>
      <c r="K898" s="9"/>
      <c r="L898" s="9"/>
      <c r="M898" s="9"/>
    </row>
    <row r="899" customFormat="false" ht="15" hidden="false" customHeight="false" outlineLevel="0" collapsed="false">
      <c r="A899" s="9"/>
      <c r="B899" s="9"/>
      <c r="C899" s="11"/>
      <c r="D899" s="9"/>
      <c r="E899" s="9"/>
      <c r="F899" s="22" t="str">
        <f aca="false">IF(E899="","",IFERROR(INDEX(02_INDICADORES!$B$2:$B$42,MATCH(E899,02_INDICADORES!$A$2:$A$42,0)),"ID?"))</f>
        <v/>
      </c>
      <c r="G899" s="21" t="str">
        <f aca="false">IF(E899="","",IFERROR(INDEX(02_INDICADORES!$C$2:$C$42,MATCH(E899,02_INDICADORES!$A$2:$A$42,0)),"ID?"))</f>
        <v/>
      </c>
      <c r="H899" s="22" t="str">
        <f aca="false">IF(E899="","",IFERROR(INDEX(02_INDICADORES!$D$2:$D$42,MATCH(E899,02_INDICADORES!$A$2:$A$42,0)),""))</f>
        <v/>
      </c>
      <c r="I899" s="9"/>
      <c r="J899" s="16" t="str">
        <f aca="false">IF(OR(I899="",H899=""),"",I899*H899)</f>
        <v/>
      </c>
      <c r="K899" s="9"/>
      <c r="L899" s="9"/>
      <c r="M899" s="9"/>
    </row>
    <row r="900" customFormat="false" ht="15" hidden="false" customHeight="false" outlineLevel="0" collapsed="false">
      <c r="A900" s="9"/>
      <c r="B900" s="9"/>
      <c r="C900" s="11"/>
      <c r="D900" s="9"/>
      <c r="E900" s="9"/>
      <c r="F900" s="22" t="str">
        <f aca="false">IF(E900="","",IFERROR(INDEX(02_INDICADORES!$B$2:$B$42,MATCH(E900,02_INDICADORES!$A$2:$A$42,0)),"ID?"))</f>
        <v/>
      </c>
      <c r="G900" s="21" t="str">
        <f aca="false">IF(E900="","",IFERROR(INDEX(02_INDICADORES!$C$2:$C$42,MATCH(E900,02_INDICADORES!$A$2:$A$42,0)),"ID?"))</f>
        <v/>
      </c>
      <c r="H900" s="22" t="str">
        <f aca="false">IF(E900="","",IFERROR(INDEX(02_INDICADORES!$D$2:$D$42,MATCH(E900,02_INDICADORES!$A$2:$A$42,0)),""))</f>
        <v/>
      </c>
      <c r="I900" s="9"/>
      <c r="J900" s="16" t="str">
        <f aca="false">IF(OR(I900="",H900=""),"",I900*H900)</f>
        <v/>
      </c>
      <c r="K900" s="9"/>
      <c r="L900" s="9"/>
      <c r="M900" s="9"/>
    </row>
    <row r="901" customFormat="false" ht="15" hidden="false" customHeight="false" outlineLevel="0" collapsed="false">
      <c r="A901" s="9"/>
      <c r="B901" s="9"/>
      <c r="C901" s="11"/>
      <c r="D901" s="9"/>
      <c r="E901" s="9"/>
      <c r="F901" s="22" t="str">
        <f aca="false">IF(E901="","",IFERROR(INDEX(02_INDICADORES!$B$2:$B$42,MATCH(E901,02_INDICADORES!$A$2:$A$42,0)),"ID?"))</f>
        <v/>
      </c>
      <c r="G901" s="21" t="str">
        <f aca="false">IF(E901="","",IFERROR(INDEX(02_INDICADORES!$C$2:$C$42,MATCH(E901,02_INDICADORES!$A$2:$A$42,0)),"ID?"))</f>
        <v/>
      </c>
      <c r="H901" s="22" t="str">
        <f aca="false">IF(E901="","",IFERROR(INDEX(02_INDICADORES!$D$2:$D$42,MATCH(E901,02_INDICADORES!$A$2:$A$42,0)),""))</f>
        <v/>
      </c>
      <c r="I901" s="9"/>
      <c r="J901" s="16" t="str">
        <f aca="false">IF(OR(I901="",H901=""),"",I901*H901)</f>
        <v/>
      </c>
      <c r="K901" s="9"/>
      <c r="L901" s="9"/>
      <c r="M901" s="9"/>
    </row>
    <row r="902" customFormat="false" ht="15" hidden="false" customHeight="false" outlineLevel="0" collapsed="false">
      <c r="A902" s="9"/>
      <c r="B902" s="9"/>
      <c r="C902" s="11"/>
      <c r="D902" s="9"/>
      <c r="E902" s="9"/>
      <c r="F902" s="22" t="str">
        <f aca="false">IF(E902="","",IFERROR(INDEX(02_INDICADORES!$B$2:$B$42,MATCH(E902,02_INDICADORES!$A$2:$A$42,0)),"ID?"))</f>
        <v/>
      </c>
      <c r="G902" s="21" t="str">
        <f aca="false">IF(E902="","",IFERROR(INDEX(02_INDICADORES!$C$2:$C$42,MATCH(E902,02_INDICADORES!$A$2:$A$42,0)),"ID?"))</f>
        <v/>
      </c>
      <c r="H902" s="22" t="str">
        <f aca="false">IF(E902="","",IFERROR(INDEX(02_INDICADORES!$D$2:$D$42,MATCH(E902,02_INDICADORES!$A$2:$A$42,0)),""))</f>
        <v/>
      </c>
      <c r="I902" s="9"/>
      <c r="J902" s="16" t="str">
        <f aca="false">IF(OR(I902="",H902=""),"",I902*H902)</f>
        <v/>
      </c>
      <c r="K902" s="9"/>
      <c r="L902" s="9"/>
      <c r="M902" s="9"/>
    </row>
    <row r="903" customFormat="false" ht="15" hidden="false" customHeight="false" outlineLevel="0" collapsed="false">
      <c r="A903" s="9"/>
      <c r="B903" s="9"/>
      <c r="C903" s="11"/>
      <c r="D903" s="9"/>
      <c r="E903" s="9"/>
      <c r="F903" s="22" t="str">
        <f aca="false">IF(E903="","",IFERROR(INDEX(02_INDICADORES!$B$2:$B$42,MATCH(E903,02_INDICADORES!$A$2:$A$42,0)),"ID?"))</f>
        <v/>
      </c>
      <c r="G903" s="21" t="str">
        <f aca="false">IF(E903="","",IFERROR(INDEX(02_INDICADORES!$C$2:$C$42,MATCH(E903,02_INDICADORES!$A$2:$A$42,0)),"ID?"))</f>
        <v/>
      </c>
      <c r="H903" s="22" t="str">
        <f aca="false">IF(E903="","",IFERROR(INDEX(02_INDICADORES!$D$2:$D$42,MATCH(E903,02_INDICADORES!$A$2:$A$42,0)),""))</f>
        <v/>
      </c>
      <c r="I903" s="9"/>
      <c r="J903" s="16" t="str">
        <f aca="false">IF(OR(I903="",H903=""),"",I903*H903)</f>
        <v/>
      </c>
      <c r="K903" s="9"/>
      <c r="L903" s="9"/>
      <c r="M903" s="9"/>
    </row>
    <row r="904" customFormat="false" ht="15" hidden="false" customHeight="false" outlineLevel="0" collapsed="false">
      <c r="A904" s="9"/>
      <c r="B904" s="9"/>
      <c r="C904" s="11"/>
      <c r="D904" s="9"/>
      <c r="E904" s="9"/>
      <c r="F904" s="22" t="str">
        <f aca="false">IF(E904="","",IFERROR(INDEX(02_INDICADORES!$B$2:$B$42,MATCH(E904,02_INDICADORES!$A$2:$A$42,0)),"ID?"))</f>
        <v/>
      </c>
      <c r="G904" s="21" t="str">
        <f aca="false">IF(E904="","",IFERROR(INDEX(02_INDICADORES!$C$2:$C$42,MATCH(E904,02_INDICADORES!$A$2:$A$42,0)),"ID?"))</f>
        <v/>
      </c>
      <c r="H904" s="22" t="str">
        <f aca="false">IF(E904="","",IFERROR(INDEX(02_INDICADORES!$D$2:$D$42,MATCH(E904,02_INDICADORES!$A$2:$A$42,0)),""))</f>
        <v/>
      </c>
      <c r="I904" s="9"/>
      <c r="J904" s="16" t="str">
        <f aca="false">IF(OR(I904="",H904=""),"",I904*H904)</f>
        <v/>
      </c>
      <c r="K904" s="9"/>
      <c r="L904" s="9"/>
      <c r="M904" s="9"/>
    </row>
    <row r="905" customFormat="false" ht="15" hidden="false" customHeight="false" outlineLevel="0" collapsed="false">
      <c r="A905" s="9"/>
      <c r="B905" s="9"/>
      <c r="C905" s="11"/>
      <c r="D905" s="9"/>
      <c r="E905" s="9"/>
      <c r="F905" s="22" t="str">
        <f aca="false">IF(E905="","",IFERROR(INDEX(02_INDICADORES!$B$2:$B$42,MATCH(E905,02_INDICADORES!$A$2:$A$42,0)),"ID?"))</f>
        <v/>
      </c>
      <c r="G905" s="21" t="str">
        <f aca="false">IF(E905="","",IFERROR(INDEX(02_INDICADORES!$C$2:$C$42,MATCH(E905,02_INDICADORES!$A$2:$A$42,0)),"ID?"))</f>
        <v/>
      </c>
      <c r="H905" s="22" t="str">
        <f aca="false">IF(E905="","",IFERROR(INDEX(02_INDICADORES!$D$2:$D$42,MATCH(E905,02_INDICADORES!$A$2:$A$42,0)),""))</f>
        <v/>
      </c>
      <c r="I905" s="9"/>
      <c r="J905" s="16" t="str">
        <f aca="false">IF(OR(I905="",H905=""),"",I905*H905)</f>
        <v/>
      </c>
      <c r="K905" s="9"/>
      <c r="L905" s="9"/>
      <c r="M905" s="9"/>
    </row>
    <row r="906" customFormat="false" ht="15" hidden="false" customHeight="false" outlineLevel="0" collapsed="false">
      <c r="A906" s="9"/>
      <c r="B906" s="9"/>
      <c r="C906" s="11"/>
      <c r="D906" s="9"/>
      <c r="E906" s="9"/>
      <c r="F906" s="22" t="str">
        <f aca="false">IF(E906="","",IFERROR(INDEX(02_INDICADORES!$B$2:$B$42,MATCH(E906,02_INDICADORES!$A$2:$A$42,0)),"ID?"))</f>
        <v/>
      </c>
      <c r="G906" s="21" t="str">
        <f aca="false">IF(E906="","",IFERROR(INDEX(02_INDICADORES!$C$2:$C$42,MATCH(E906,02_INDICADORES!$A$2:$A$42,0)),"ID?"))</f>
        <v/>
      </c>
      <c r="H906" s="22" t="str">
        <f aca="false">IF(E906="","",IFERROR(INDEX(02_INDICADORES!$D$2:$D$42,MATCH(E906,02_INDICADORES!$A$2:$A$42,0)),""))</f>
        <v/>
      </c>
      <c r="I906" s="9"/>
      <c r="J906" s="16" t="str">
        <f aca="false">IF(OR(I906="",H906=""),"",I906*H906)</f>
        <v/>
      </c>
      <c r="K906" s="9"/>
      <c r="L906" s="9"/>
      <c r="M906" s="9"/>
    </row>
    <row r="907" customFormat="false" ht="15" hidden="false" customHeight="false" outlineLevel="0" collapsed="false">
      <c r="A907" s="9"/>
      <c r="B907" s="9"/>
      <c r="C907" s="11"/>
      <c r="D907" s="9"/>
      <c r="E907" s="9"/>
      <c r="F907" s="22" t="str">
        <f aca="false">IF(E907="","",IFERROR(INDEX(02_INDICADORES!$B$2:$B$42,MATCH(E907,02_INDICADORES!$A$2:$A$42,0)),"ID?"))</f>
        <v/>
      </c>
      <c r="G907" s="21" t="str">
        <f aca="false">IF(E907="","",IFERROR(INDEX(02_INDICADORES!$C$2:$C$42,MATCH(E907,02_INDICADORES!$A$2:$A$42,0)),"ID?"))</f>
        <v/>
      </c>
      <c r="H907" s="22" t="str">
        <f aca="false">IF(E907="","",IFERROR(INDEX(02_INDICADORES!$D$2:$D$42,MATCH(E907,02_INDICADORES!$A$2:$A$42,0)),""))</f>
        <v/>
      </c>
      <c r="I907" s="9"/>
      <c r="J907" s="16" t="str">
        <f aca="false">IF(OR(I907="",H907=""),"",I907*H907)</f>
        <v/>
      </c>
      <c r="K907" s="9"/>
      <c r="L907" s="9"/>
      <c r="M907" s="9"/>
    </row>
    <row r="908" customFormat="false" ht="15" hidden="false" customHeight="false" outlineLevel="0" collapsed="false">
      <c r="A908" s="9"/>
      <c r="B908" s="9"/>
      <c r="C908" s="11"/>
      <c r="D908" s="9"/>
      <c r="E908" s="9"/>
      <c r="F908" s="22" t="str">
        <f aca="false">IF(E908="","",IFERROR(INDEX(02_INDICADORES!$B$2:$B$42,MATCH(E908,02_INDICADORES!$A$2:$A$42,0)),"ID?"))</f>
        <v/>
      </c>
      <c r="G908" s="21" t="str">
        <f aca="false">IF(E908="","",IFERROR(INDEX(02_INDICADORES!$C$2:$C$42,MATCH(E908,02_INDICADORES!$A$2:$A$42,0)),"ID?"))</f>
        <v/>
      </c>
      <c r="H908" s="22" t="str">
        <f aca="false">IF(E908="","",IFERROR(INDEX(02_INDICADORES!$D$2:$D$42,MATCH(E908,02_INDICADORES!$A$2:$A$42,0)),""))</f>
        <v/>
      </c>
      <c r="I908" s="9"/>
      <c r="J908" s="16" t="str">
        <f aca="false">IF(OR(I908="",H908=""),"",I908*H908)</f>
        <v/>
      </c>
      <c r="K908" s="9"/>
      <c r="L908" s="9"/>
      <c r="M908" s="9"/>
    </row>
    <row r="909" customFormat="false" ht="15" hidden="false" customHeight="false" outlineLevel="0" collapsed="false">
      <c r="A909" s="9"/>
      <c r="B909" s="9"/>
      <c r="C909" s="11"/>
      <c r="D909" s="9"/>
      <c r="E909" s="9"/>
      <c r="F909" s="22" t="str">
        <f aca="false">IF(E909="","",IFERROR(INDEX(02_INDICADORES!$B$2:$B$42,MATCH(E909,02_INDICADORES!$A$2:$A$42,0)),"ID?"))</f>
        <v/>
      </c>
      <c r="G909" s="21" t="str">
        <f aca="false">IF(E909="","",IFERROR(INDEX(02_INDICADORES!$C$2:$C$42,MATCH(E909,02_INDICADORES!$A$2:$A$42,0)),"ID?"))</f>
        <v/>
      </c>
      <c r="H909" s="22" t="str">
        <f aca="false">IF(E909="","",IFERROR(INDEX(02_INDICADORES!$D$2:$D$42,MATCH(E909,02_INDICADORES!$A$2:$A$42,0)),""))</f>
        <v/>
      </c>
      <c r="I909" s="9"/>
      <c r="J909" s="16" t="str">
        <f aca="false">IF(OR(I909="",H909=""),"",I909*H909)</f>
        <v/>
      </c>
      <c r="K909" s="9"/>
      <c r="L909" s="9"/>
      <c r="M909" s="9"/>
    </row>
    <row r="910" customFormat="false" ht="15" hidden="false" customHeight="false" outlineLevel="0" collapsed="false">
      <c r="A910" s="9"/>
      <c r="B910" s="9"/>
      <c r="C910" s="11"/>
      <c r="D910" s="9"/>
      <c r="E910" s="9"/>
      <c r="F910" s="22" t="str">
        <f aca="false">IF(E910="","",IFERROR(INDEX(02_INDICADORES!$B$2:$B$42,MATCH(E910,02_INDICADORES!$A$2:$A$42,0)),"ID?"))</f>
        <v/>
      </c>
      <c r="G910" s="21" t="str">
        <f aca="false">IF(E910="","",IFERROR(INDEX(02_INDICADORES!$C$2:$C$42,MATCH(E910,02_INDICADORES!$A$2:$A$42,0)),"ID?"))</f>
        <v/>
      </c>
      <c r="H910" s="22" t="str">
        <f aca="false">IF(E910="","",IFERROR(INDEX(02_INDICADORES!$D$2:$D$42,MATCH(E910,02_INDICADORES!$A$2:$A$42,0)),""))</f>
        <v/>
      </c>
      <c r="I910" s="9"/>
      <c r="J910" s="16" t="str">
        <f aca="false">IF(OR(I910="",H910=""),"",I910*H910)</f>
        <v/>
      </c>
      <c r="K910" s="9"/>
      <c r="L910" s="9"/>
      <c r="M910" s="9"/>
    </row>
    <row r="911" customFormat="false" ht="15" hidden="false" customHeight="false" outlineLevel="0" collapsed="false">
      <c r="A911" s="9"/>
      <c r="B911" s="9"/>
      <c r="C911" s="11"/>
      <c r="D911" s="9"/>
      <c r="E911" s="9"/>
      <c r="F911" s="22" t="str">
        <f aca="false">IF(E911="","",IFERROR(INDEX(02_INDICADORES!$B$2:$B$42,MATCH(E911,02_INDICADORES!$A$2:$A$42,0)),"ID?"))</f>
        <v/>
      </c>
      <c r="G911" s="21" t="str">
        <f aca="false">IF(E911="","",IFERROR(INDEX(02_INDICADORES!$C$2:$C$42,MATCH(E911,02_INDICADORES!$A$2:$A$42,0)),"ID?"))</f>
        <v/>
      </c>
      <c r="H911" s="22" t="str">
        <f aca="false">IF(E911="","",IFERROR(INDEX(02_INDICADORES!$D$2:$D$42,MATCH(E911,02_INDICADORES!$A$2:$A$42,0)),""))</f>
        <v/>
      </c>
      <c r="I911" s="9"/>
      <c r="J911" s="16" t="str">
        <f aca="false">IF(OR(I911="",H911=""),"",I911*H911)</f>
        <v/>
      </c>
      <c r="K911" s="9"/>
      <c r="L911" s="9"/>
      <c r="M911" s="9"/>
    </row>
    <row r="912" customFormat="false" ht="15" hidden="false" customHeight="false" outlineLevel="0" collapsed="false">
      <c r="A912" s="9"/>
      <c r="B912" s="9"/>
      <c r="C912" s="11"/>
      <c r="D912" s="9"/>
      <c r="E912" s="9"/>
      <c r="F912" s="22" t="str">
        <f aca="false">IF(E912="","",IFERROR(INDEX(02_INDICADORES!$B$2:$B$42,MATCH(E912,02_INDICADORES!$A$2:$A$42,0)),"ID?"))</f>
        <v/>
      </c>
      <c r="G912" s="21" t="str">
        <f aca="false">IF(E912="","",IFERROR(INDEX(02_INDICADORES!$C$2:$C$42,MATCH(E912,02_INDICADORES!$A$2:$A$42,0)),"ID?"))</f>
        <v/>
      </c>
      <c r="H912" s="22" t="str">
        <f aca="false">IF(E912="","",IFERROR(INDEX(02_INDICADORES!$D$2:$D$42,MATCH(E912,02_INDICADORES!$A$2:$A$42,0)),""))</f>
        <v/>
      </c>
      <c r="I912" s="9"/>
      <c r="J912" s="16" t="str">
        <f aca="false">IF(OR(I912="",H912=""),"",I912*H912)</f>
        <v/>
      </c>
      <c r="K912" s="9"/>
      <c r="L912" s="9"/>
      <c r="M912" s="9"/>
    </row>
    <row r="913" customFormat="false" ht="15" hidden="false" customHeight="false" outlineLevel="0" collapsed="false">
      <c r="A913" s="9"/>
      <c r="B913" s="9"/>
      <c r="C913" s="11"/>
      <c r="D913" s="9"/>
      <c r="E913" s="9"/>
      <c r="F913" s="22" t="str">
        <f aca="false">IF(E913="","",IFERROR(INDEX(02_INDICADORES!$B$2:$B$42,MATCH(E913,02_INDICADORES!$A$2:$A$42,0)),"ID?"))</f>
        <v/>
      </c>
      <c r="G913" s="21" t="str">
        <f aca="false">IF(E913="","",IFERROR(INDEX(02_INDICADORES!$C$2:$C$42,MATCH(E913,02_INDICADORES!$A$2:$A$42,0)),"ID?"))</f>
        <v/>
      </c>
      <c r="H913" s="22" t="str">
        <f aca="false">IF(E913="","",IFERROR(INDEX(02_INDICADORES!$D$2:$D$42,MATCH(E913,02_INDICADORES!$A$2:$A$42,0)),""))</f>
        <v/>
      </c>
      <c r="I913" s="9"/>
      <c r="J913" s="16" t="str">
        <f aca="false">IF(OR(I913="",H913=""),"",I913*H913)</f>
        <v/>
      </c>
      <c r="K913" s="9"/>
      <c r="L913" s="9"/>
      <c r="M913" s="9"/>
    </row>
    <row r="914" customFormat="false" ht="15" hidden="false" customHeight="false" outlineLevel="0" collapsed="false">
      <c r="A914" s="9"/>
      <c r="B914" s="9"/>
      <c r="C914" s="11"/>
      <c r="D914" s="9"/>
      <c r="E914" s="9"/>
      <c r="F914" s="22" t="str">
        <f aca="false">IF(E914="","",IFERROR(INDEX(02_INDICADORES!$B$2:$B$42,MATCH(E914,02_INDICADORES!$A$2:$A$42,0)),"ID?"))</f>
        <v/>
      </c>
      <c r="G914" s="21" t="str">
        <f aca="false">IF(E914="","",IFERROR(INDEX(02_INDICADORES!$C$2:$C$42,MATCH(E914,02_INDICADORES!$A$2:$A$42,0)),"ID?"))</f>
        <v/>
      </c>
      <c r="H914" s="22" t="str">
        <f aca="false">IF(E914="","",IFERROR(INDEX(02_INDICADORES!$D$2:$D$42,MATCH(E914,02_INDICADORES!$A$2:$A$42,0)),""))</f>
        <v/>
      </c>
      <c r="I914" s="9"/>
      <c r="J914" s="16" t="str">
        <f aca="false">IF(OR(I914="",H914=""),"",I914*H914)</f>
        <v/>
      </c>
      <c r="K914" s="9"/>
      <c r="L914" s="9"/>
      <c r="M914" s="9"/>
    </row>
    <row r="915" customFormat="false" ht="15" hidden="false" customHeight="false" outlineLevel="0" collapsed="false">
      <c r="A915" s="9"/>
      <c r="B915" s="9"/>
      <c r="C915" s="11"/>
      <c r="D915" s="9"/>
      <c r="E915" s="9"/>
      <c r="F915" s="22" t="str">
        <f aca="false">IF(E915="","",IFERROR(INDEX(02_INDICADORES!$B$2:$B$42,MATCH(E915,02_INDICADORES!$A$2:$A$42,0)),"ID?"))</f>
        <v/>
      </c>
      <c r="G915" s="21" t="str">
        <f aca="false">IF(E915="","",IFERROR(INDEX(02_INDICADORES!$C$2:$C$42,MATCH(E915,02_INDICADORES!$A$2:$A$42,0)),"ID?"))</f>
        <v/>
      </c>
      <c r="H915" s="22" t="str">
        <f aca="false">IF(E915="","",IFERROR(INDEX(02_INDICADORES!$D$2:$D$42,MATCH(E915,02_INDICADORES!$A$2:$A$42,0)),""))</f>
        <v/>
      </c>
      <c r="I915" s="9"/>
      <c r="J915" s="16" t="str">
        <f aca="false">IF(OR(I915="",H915=""),"",I915*H915)</f>
        <v/>
      </c>
      <c r="K915" s="9"/>
      <c r="L915" s="9"/>
      <c r="M915" s="9"/>
    </row>
    <row r="916" customFormat="false" ht="15" hidden="false" customHeight="false" outlineLevel="0" collapsed="false">
      <c r="A916" s="9"/>
      <c r="B916" s="9"/>
      <c r="C916" s="11"/>
      <c r="D916" s="9"/>
      <c r="E916" s="9"/>
      <c r="F916" s="22" t="str">
        <f aca="false">IF(E916="","",IFERROR(INDEX(02_INDICADORES!$B$2:$B$42,MATCH(E916,02_INDICADORES!$A$2:$A$42,0)),"ID?"))</f>
        <v/>
      </c>
      <c r="G916" s="21" t="str">
        <f aca="false">IF(E916="","",IFERROR(INDEX(02_INDICADORES!$C$2:$C$42,MATCH(E916,02_INDICADORES!$A$2:$A$42,0)),"ID?"))</f>
        <v/>
      </c>
      <c r="H916" s="22" t="str">
        <f aca="false">IF(E916="","",IFERROR(INDEX(02_INDICADORES!$D$2:$D$42,MATCH(E916,02_INDICADORES!$A$2:$A$42,0)),""))</f>
        <v/>
      </c>
      <c r="I916" s="9"/>
      <c r="J916" s="16" t="str">
        <f aca="false">IF(OR(I916="",H916=""),"",I916*H916)</f>
        <v/>
      </c>
      <c r="K916" s="9"/>
      <c r="L916" s="9"/>
      <c r="M916" s="9"/>
    </row>
    <row r="917" customFormat="false" ht="15" hidden="false" customHeight="false" outlineLevel="0" collapsed="false">
      <c r="A917" s="9"/>
      <c r="B917" s="9"/>
      <c r="C917" s="11"/>
      <c r="D917" s="9"/>
      <c r="E917" s="9"/>
      <c r="F917" s="22" t="str">
        <f aca="false">IF(E917="","",IFERROR(INDEX(02_INDICADORES!$B$2:$B$42,MATCH(E917,02_INDICADORES!$A$2:$A$42,0)),"ID?"))</f>
        <v/>
      </c>
      <c r="G917" s="21" t="str">
        <f aca="false">IF(E917="","",IFERROR(INDEX(02_INDICADORES!$C$2:$C$42,MATCH(E917,02_INDICADORES!$A$2:$A$42,0)),"ID?"))</f>
        <v/>
      </c>
      <c r="H917" s="22" t="str">
        <f aca="false">IF(E917="","",IFERROR(INDEX(02_INDICADORES!$D$2:$D$42,MATCH(E917,02_INDICADORES!$A$2:$A$42,0)),""))</f>
        <v/>
      </c>
      <c r="I917" s="9"/>
      <c r="J917" s="16" t="str">
        <f aca="false">IF(OR(I917="",H917=""),"",I917*H917)</f>
        <v/>
      </c>
      <c r="K917" s="9"/>
      <c r="L917" s="9"/>
      <c r="M917" s="9"/>
    </row>
    <row r="918" customFormat="false" ht="15" hidden="false" customHeight="false" outlineLevel="0" collapsed="false">
      <c r="A918" s="9"/>
      <c r="B918" s="9"/>
      <c r="C918" s="11"/>
      <c r="D918" s="9"/>
      <c r="E918" s="9"/>
      <c r="F918" s="22" t="str">
        <f aca="false">IF(E918="","",IFERROR(INDEX(02_INDICADORES!$B$2:$B$42,MATCH(E918,02_INDICADORES!$A$2:$A$42,0)),"ID?"))</f>
        <v/>
      </c>
      <c r="G918" s="21" t="str">
        <f aca="false">IF(E918="","",IFERROR(INDEX(02_INDICADORES!$C$2:$C$42,MATCH(E918,02_INDICADORES!$A$2:$A$42,0)),"ID?"))</f>
        <v/>
      </c>
      <c r="H918" s="22" t="str">
        <f aca="false">IF(E918="","",IFERROR(INDEX(02_INDICADORES!$D$2:$D$42,MATCH(E918,02_INDICADORES!$A$2:$A$42,0)),""))</f>
        <v/>
      </c>
      <c r="I918" s="9"/>
      <c r="J918" s="16" t="str">
        <f aca="false">IF(OR(I918="",H918=""),"",I918*H918)</f>
        <v/>
      </c>
      <c r="K918" s="9"/>
      <c r="L918" s="9"/>
      <c r="M918" s="9"/>
    </row>
    <row r="919" customFormat="false" ht="15" hidden="false" customHeight="false" outlineLevel="0" collapsed="false">
      <c r="A919" s="9"/>
      <c r="B919" s="9"/>
      <c r="C919" s="11"/>
      <c r="D919" s="9"/>
      <c r="E919" s="9"/>
      <c r="F919" s="22" t="str">
        <f aca="false">IF(E919="","",IFERROR(INDEX(02_INDICADORES!$B$2:$B$42,MATCH(E919,02_INDICADORES!$A$2:$A$42,0)),"ID?"))</f>
        <v/>
      </c>
      <c r="G919" s="21" t="str">
        <f aca="false">IF(E919="","",IFERROR(INDEX(02_INDICADORES!$C$2:$C$42,MATCH(E919,02_INDICADORES!$A$2:$A$42,0)),"ID?"))</f>
        <v/>
      </c>
      <c r="H919" s="22" t="str">
        <f aca="false">IF(E919="","",IFERROR(INDEX(02_INDICADORES!$D$2:$D$42,MATCH(E919,02_INDICADORES!$A$2:$A$42,0)),""))</f>
        <v/>
      </c>
      <c r="I919" s="9"/>
      <c r="J919" s="16" t="str">
        <f aca="false">IF(OR(I919="",H919=""),"",I919*H919)</f>
        <v/>
      </c>
      <c r="K919" s="9"/>
      <c r="L919" s="9"/>
      <c r="M919" s="9"/>
    </row>
    <row r="920" customFormat="false" ht="15" hidden="false" customHeight="false" outlineLevel="0" collapsed="false">
      <c r="A920" s="9"/>
      <c r="B920" s="9"/>
      <c r="C920" s="11"/>
      <c r="D920" s="9"/>
      <c r="E920" s="9"/>
      <c r="F920" s="22" t="str">
        <f aca="false">IF(E920="","",IFERROR(INDEX(02_INDICADORES!$B$2:$B$42,MATCH(E920,02_INDICADORES!$A$2:$A$42,0)),"ID?"))</f>
        <v/>
      </c>
      <c r="G920" s="21" t="str">
        <f aca="false">IF(E920="","",IFERROR(INDEX(02_INDICADORES!$C$2:$C$42,MATCH(E920,02_INDICADORES!$A$2:$A$42,0)),"ID?"))</f>
        <v/>
      </c>
      <c r="H920" s="22" t="str">
        <f aca="false">IF(E920="","",IFERROR(INDEX(02_INDICADORES!$D$2:$D$42,MATCH(E920,02_INDICADORES!$A$2:$A$42,0)),""))</f>
        <v/>
      </c>
      <c r="I920" s="9"/>
      <c r="J920" s="16" t="str">
        <f aca="false">IF(OR(I920="",H920=""),"",I920*H920)</f>
        <v/>
      </c>
      <c r="K920" s="9"/>
      <c r="L920" s="9"/>
      <c r="M920" s="9"/>
    </row>
    <row r="921" customFormat="false" ht="15" hidden="false" customHeight="false" outlineLevel="0" collapsed="false">
      <c r="A921" s="9"/>
      <c r="B921" s="9"/>
      <c r="C921" s="11"/>
      <c r="D921" s="9"/>
      <c r="E921" s="9"/>
      <c r="F921" s="22" t="str">
        <f aca="false">IF(E921="","",IFERROR(INDEX(02_INDICADORES!$B$2:$B$42,MATCH(E921,02_INDICADORES!$A$2:$A$42,0)),"ID?"))</f>
        <v/>
      </c>
      <c r="G921" s="21" t="str">
        <f aca="false">IF(E921="","",IFERROR(INDEX(02_INDICADORES!$C$2:$C$42,MATCH(E921,02_INDICADORES!$A$2:$A$42,0)),"ID?"))</f>
        <v/>
      </c>
      <c r="H921" s="22" t="str">
        <f aca="false">IF(E921="","",IFERROR(INDEX(02_INDICADORES!$D$2:$D$42,MATCH(E921,02_INDICADORES!$A$2:$A$42,0)),""))</f>
        <v/>
      </c>
      <c r="I921" s="9"/>
      <c r="J921" s="16" t="str">
        <f aca="false">IF(OR(I921="",H921=""),"",I921*H921)</f>
        <v/>
      </c>
      <c r="K921" s="9"/>
      <c r="L921" s="9"/>
      <c r="M921" s="9"/>
    </row>
    <row r="922" customFormat="false" ht="15" hidden="false" customHeight="false" outlineLevel="0" collapsed="false">
      <c r="A922" s="9"/>
      <c r="B922" s="9"/>
      <c r="C922" s="11"/>
      <c r="D922" s="9"/>
      <c r="E922" s="9"/>
      <c r="F922" s="22" t="str">
        <f aca="false">IF(E922="","",IFERROR(INDEX(02_INDICADORES!$B$2:$B$42,MATCH(E922,02_INDICADORES!$A$2:$A$42,0)),"ID?"))</f>
        <v/>
      </c>
      <c r="G922" s="21" t="str">
        <f aca="false">IF(E922="","",IFERROR(INDEX(02_INDICADORES!$C$2:$C$42,MATCH(E922,02_INDICADORES!$A$2:$A$42,0)),"ID?"))</f>
        <v/>
      </c>
      <c r="H922" s="22" t="str">
        <f aca="false">IF(E922="","",IFERROR(INDEX(02_INDICADORES!$D$2:$D$42,MATCH(E922,02_INDICADORES!$A$2:$A$42,0)),""))</f>
        <v/>
      </c>
      <c r="I922" s="9"/>
      <c r="J922" s="16" t="str">
        <f aca="false">IF(OR(I922="",H922=""),"",I922*H922)</f>
        <v/>
      </c>
      <c r="K922" s="9"/>
      <c r="L922" s="9"/>
      <c r="M922" s="9"/>
    </row>
    <row r="923" customFormat="false" ht="15" hidden="false" customHeight="false" outlineLevel="0" collapsed="false">
      <c r="A923" s="9"/>
      <c r="B923" s="9"/>
      <c r="C923" s="11"/>
      <c r="D923" s="9"/>
      <c r="E923" s="9"/>
      <c r="F923" s="22" t="str">
        <f aca="false">IF(E923="","",IFERROR(INDEX(02_INDICADORES!$B$2:$B$42,MATCH(E923,02_INDICADORES!$A$2:$A$42,0)),"ID?"))</f>
        <v/>
      </c>
      <c r="G923" s="21" t="str">
        <f aca="false">IF(E923="","",IFERROR(INDEX(02_INDICADORES!$C$2:$C$42,MATCH(E923,02_INDICADORES!$A$2:$A$42,0)),"ID?"))</f>
        <v/>
      </c>
      <c r="H923" s="22" t="str">
        <f aca="false">IF(E923="","",IFERROR(INDEX(02_INDICADORES!$D$2:$D$42,MATCH(E923,02_INDICADORES!$A$2:$A$42,0)),""))</f>
        <v/>
      </c>
      <c r="I923" s="9"/>
      <c r="J923" s="16" t="str">
        <f aca="false">IF(OR(I923="",H923=""),"",I923*H923)</f>
        <v/>
      </c>
      <c r="K923" s="9"/>
      <c r="L923" s="9"/>
      <c r="M923" s="9"/>
    </row>
    <row r="924" customFormat="false" ht="15" hidden="false" customHeight="false" outlineLevel="0" collapsed="false">
      <c r="A924" s="9"/>
      <c r="B924" s="9"/>
      <c r="C924" s="11"/>
      <c r="D924" s="9"/>
      <c r="E924" s="9"/>
      <c r="F924" s="22" t="str">
        <f aca="false">IF(E924="","",IFERROR(INDEX(02_INDICADORES!$B$2:$B$42,MATCH(E924,02_INDICADORES!$A$2:$A$42,0)),"ID?"))</f>
        <v/>
      </c>
      <c r="G924" s="21" t="str">
        <f aca="false">IF(E924="","",IFERROR(INDEX(02_INDICADORES!$C$2:$C$42,MATCH(E924,02_INDICADORES!$A$2:$A$42,0)),"ID?"))</f>
        <v/>
      </c>
      <c r="H924" s="22" t="str">
        <f aca="false">IF(E924="","",IFERROR(INDEX(02_INDICADORES!$D$2:$D$42,MATCH(E924,02_INDICADORES!$A$2:$A$42,0)),""))</f>
        <v/>
      </c>
      <c r="I924" s="9"/>
      <c r="J924" s="16" t="str">
        <f aca="false">IF(OR(I924="",H924=""),"",I924*H924)</f>
        <v/>
      </c>
      <c r="K924" s="9"/>
      <c r="L924" s="9"/>
      <c r="M924" s="9"/>
    </row>
    <row r="925" customFormat="false" ht="15" hidden="false" customHeight="false" outlineLevel="0" collapsed="false">
      <c r="A925" s="9"/>
      <c r="B925" s="9"/>
      <c r="C925" s="11"/>
      <c r="D925" s="9"/>
      <c r="E925" s="9"/>
      <c r="F925" s="22" t="str">
        <f aca="false">IF(E925="","",IFERROR(INDEX(02_INDICADORES!$B$2:$B$42,MATCH(E925,02_INDICADORES!$A$2:$A$42,0)),"ID?"))</f>
        <v/>
      </c>
      <c r="G925" s="21" t="str">
        <f aca="false">IF(E925="","",IFERROR(INDEX(02_INDICADORES!$C$2:$C$42,MATCH(E925,02_INDICADORES!$A$2:$A$42,0)),"ID?"))</f>
        <v/>
      </c>
      <c r="H925" s="22" t="str">
        <f aca="false">IF(E925="","",IFERROR(INDEX(02_INDICADORES!$D$2:$D$42,MATCH(E925,02_INDICADORES!$A$2:$A$42,0)),""))</f>
        <v/>
      </c>
      <c r="I925" s="9"/>
      <c r="J925" s="16" t="str">
        <f aca="false">IF(OR(I925="",H925=""),"",I925*H925)</f>
        <v/>
      </c>
      <c r="K925" s="9"/>
      <c r="L925" s="9"/>
      <c r="M925" s="9"/>
    </row>
    <row r="926" customFormat="false" ht="15" hidden="false" customHeight="false" outlineLevel="0" collapsed="false">
      <c r="A926" s="9"/>
      <c r="B926" s="9"/>
      <c r="C926" s="11"/>
      <c r="D926" s="9"/>
      <c r="E926" s="9"/>
      <c r="F926" s="22" t="str">
        <f aca="false">IF(E926="","",IFERROR(INDEX(02_INDICADORES!$B$2:$B$42,MATCH(E926,02_INDICADORES!$A$2:$A$42,0)),"ID?"))</f>
        <v/>
      </c>
      <c r="G926" s="21" t="str">
        <f aca="false">IF(E926="","",IFERROR(INDEX(02_INDICADORES!$C$2:$C$42,MATCH(E926,02_INDICADORES!$A$2:$A$42,0)),"ID?"))</f>
        <v/>
      </c>
      <c r="H926" s="22" t="str">
        <f aca="false">IF(E926="","",IFERROR(INDEX(02_INDICADORES!$D$2:$D$42,MATCH(E926,02_INDICADORES!$A$2:$A$42,0)),""))</f>
        <v/>
      </c>
      <c r="I926" s="9"/>
      <c r="J926" s="16" t="str">
        <f aca="false">IF(OR(I926="",H926=""),"",I926*H926)</f>
        <v/>
      </c>
      <c r="K926" s="9"/>
      <c r="L926" s="9"/>
      <c r="M926" s="9"/>
    </row>
    <row r="927" customFormat="false" ht="15" hidden="false" customHeight="false" outlineLevel="0" collapsed="false">
      <c r="A927" s="9"/>
      <c r="B927" s="9"/>
      <c r="C927" s="11"/>
      <c r="D927" s="9"/>
      <c r="E927" s="9"/>
      <c r="F927" s="22" t="str">
        <f aca="false">IF(E927="","",IFERROR(INDEX(02_INDICADORES!$B$2:$B$42,MATCH(E927,02_INDICADORES!$A$2:$A$42,0)),"ID?"))</f>
        <v/>
      </c>
      <c r="G927" s="21" t="str">
        <f aca="false">IF(E927="","",IFERROR(INDEX(02_INDICADORES!$C$2:$C$42,MATCH(E927,02_INDICADORES!$A$2:$A$42,0)),"ID?"))</f>
        <v/>
      </c>
      <c r="H927" s="22" t="str">
        <f aca="false">IF(E927="","",IFERROR(INDEX(02_INDICADORES!$D$2:$D$42,MATCH(E927,02_INDICADORES!$A$2:$A$42,0)),""))</f>
        <v/>
      </c>
      <c r="I927" s="9"/>
      <c r="J927" s="16" t="str">
        <f aca="false">IF(OR(I927="",H927=""),"",I927*H927)</f>
        <v/>
      </c>
      <c r="K927" s="9"/>
      <c r="L927" s="9"/>
      <c r="M927" s="9"/>
    </row>
    <row r="928" customFormat="false" ht="15" hidden="false" customHeight="false" outlineLevel="0" collapsed="false">
      <c r="A928" s="9"/>
      <c r="B928" s="9"/>
      <c r="C928" s="11"/>
      <c r="D928" s="9"/>
      <c r="E928" s="9"/>
      <c r="F928" s="22" t="str">
        <f aca="false">IF(E928="","",IFERROR(INDEX(02_INDICADORES!$B$2:$B$42,MATCH(E928,02_INDICADORES!$A$2:$A$42,0)),"ID?"))</f>
        <v/>
      </c>
      <c r="G928" s="21" t="str">
        <f aca="false">IF(E928="","",IFERROR(INDEX(02_INDICADORES!$C$2:$C$42,MATCH(E928,02_INDICADORES!$A$2:$A$42,0)),"ID?"))</f>
        <v/>
      </c>
      <c r="H928" s="22" t="str">
        <f aca="false">IF(E928="","",IFERROR(INDEX(02_INDICADORES!$D$2:$D$42,MATCH(E928,02_INDICADORES!$A$2:$A$42,0)),""))</f>
        <v/>
      </c>
      <c r="I928" s="9"/>
      <c r="J928" s="16" t="str">
        <f aca="false">IF(OR(I928="",H928=""),"",I928*H928)</f>
        <v/>
      </c>
      <c r="K928" s="9"/>
      <c r="L928" s="9"/>
      <c r="M928" s="9"/>
    </row>
    <row r="929" customFormat="false" ht="15" hidden="false" customHeight="false" outlineLevel="0" collapsed="false">
      <c r="A929" s="9"/>
      <c r="B929" s="9"/>
      <c r="C929" s="11"/>
      <c r="D929" s="9"/>
      <c r="E929" s="9"/>
      <c r="F929" s="22" t="str">
        <f aca="false">IF(E929="","",IFERROR(INDEX(02_INDICADORES!$B$2:$B$42,MATCH(E929,02_INDICADORES!$A$2:$A$42,0)),"ID?"))</f>
        <v/>
      </c>
      <c r="G929" s="21" t="str">
        <f aca="false">IF(E929="","",IFERROR(INDEX(02_INDICADORES!$C$2:$C$42,MATCH(E929,02_INDICADORES!$A$2:$A$42,0)),"ID?"))</f>
        <v/>
      </c>
      <c r="H929" s="22" t="str">
        <f aca="false">IF(E929="","",IFERROR(INDEX(02_INDICADORES!$D$2:$D$42,MATCH(E929,02_INDICADORES!$A$2:$A$42,0)),""))</f>
        <v/>
      </c>
      <c r="I929" s="9"/>
      <c r="J929" s="16" t="str">
        <f aca="false">IF(OR(I929="",H929=""),"",I929*H929)</f>
        <v/>
      </c>
      <c r="K929" s="9"/>
      <c r="L929" s="9"/>
      <c r="M929" s="9"/>
    </row>
    <row r="930" customFormat="false" ht="15" hidden="false" customHeight="false" outlineLevel="0" collapsed="false">
      <c r="A930" s="9"/>
      <c r="B930" s="9"/>
      <c r="C930" s="11"/>
      <c r="D930" s="9"/>
      <c r="E930" s="9"/>
      <c r="F930" s="22" t="str">
        <f aca="false">IF(E930="","",IFERROR(INDEX(02_INDICADORES!$B$2:$B$42,MATCH(E930,02_INDICADORES!$A$2:$A$42,0)),"ID?"))</f>
        <v/>
      </c>
      <c r="G930" s="21" t="str">
        <f aca="false">IF(E930="","",IFERROR(INDEX(02_INDICADORES!$C$2:$C$42,MATCH(E930,02_INDICADORES!$A$2:$A$42,0)),"ID?"))</f>
        <v/>
      </c>
      <c r="H930" s="22" t="str">
        <f aca="false">IF(E930="","",IFERROR(INDEX(02_INDICADORES!$D$2:$D$42,MATCH(E930,02_INDICADORES!$A$2:$A$42,0)),""))</f>
        <v/>
      </c>
      <c r="I930" s="9"/>
      <c r="J930" s="16" t="str">
        <f aca="false">IF(OR(I930="",H930=""),"",I930*H930)</f>
        <v/>
      </c>
      <c r="K930" s="9"/>
      <c r="L930" s="9"/>
      <c r="M930" s="9"/>
    </row>
    <row r="931" customFormat="false" ht="15" hidden="false" customHeight="false" outlineLevel="0" collapsed="false">
      <c r="A931" s="9"/>
      <c r="B931" s="9"/>
      <c r="C931" s="11"/>
      <c r="D931" s="9"/>
      <c r="E931" s="9"/>
      <c r="F931" s="22" t="str">
        <f aca="false">IF(E931="","",IFERROR(INDEX(02_INDICADORES!$B$2:$B$42,MATCH(E931,02_INDICADORES!$A$2:$A$42,0)),"ID?"))</f>
        <v/>
      </c>
      <c r="G931" s="21" t="str">
        <f aca="false">IF(E931="","",IFERROR(INDEX(02_INDICADORES!$C$2:$C$42,MATCH(E931,02_INDICADORES!$A$2:$A$42,0)),"ID?"))</f>
        <v/>
      </c>
      <c r="H931" s="22" t="str">
        <f aca="false">IF(E931="","",IFERROR(INDEX(02_INDICADORES!$D$2:$D$42,MATCH(E931,02_INDICADORES!$A$2:$A$42,0)),""))</f>
        <v/>
      </c>
      <c r="I931" s="9"/>
      <c r="J931" s="16" t="str">
        <f aca="false">IF(OR(I931="",H931=""),"",I931*H931)</f>
        <v/>
      </c>
      <c r="K931" s="9"/>
      <c r="L931" s="9"/>
      <c r="M931" s="9"/>
    </row>
    <row r="932" customFormat="false" ht="15" hidden="false" customHeight="false" outlineLevel="0" collapsed="false">
      <c r="A932" s="9"/>
      <c r="B932" s="9"/>
      <c r="C932" s="11"/>
      <c r="D932" s="9"/>
      <c r="E932" s="9"/>
      <c r="F932" s="22" t="str">
        <f aca="false">IF(E932="","",IFERROR(INDEX(02_INDICADORES!$B$2:$B$42,MATCH(E932,02_INDICADORES!$A$2:$A$42,0)),"ID?"))</f>
        <v/>
      </c>
      <c r="G932" s="21" t="str">
        <f aca="false">IF(E932="","",IFERROR(INDEX(02_INDICADORES!$C$2:$C$42,MATCH(E932,02_INDICADORES!$A$2:$A$42,0)),"ID?"))</f>
        <v/>
      </c>
      <c r="H932" s="22" t="str">
        <f aca="false">IF(E932="","",IFERROR(INDEX(02_INDICADORES!$D$2:$D$42,MATCH(E932,02_INDICADORES!$A$2:$A$42,0)),""))</f>
        <v/>
      </c>
      <c r="I932" s="9"/>
      <c r="J932" s="16" t="str">
        <f aca="false">IF(OR(I932="",H932=""),"",I932*H932)</f>
        <v/>
      </c>
      <c r="K932" s="9"/>
      <c r="L932" s="9"/>
      <c r="M932" s="9"/>
    </row>
    <row r="933" customFormat="false" ht="15" hidden="false" customHeight="false" outlineLevel="0" collapsed="false">
      <c r="A933" s="9"/>
      <c r="B933" s="9"/>
      <c r="C933" s="11"/>
      <c r="D933" s="9"/>
      <c r="E933" s="9"/>
      <c r="F933" s="22" t="str">
        <f aca="false">IF(E933="","",IFERROR(INDEX(02_INDICADORES!$B$2:$B$42,MATCH(E933,02_INDICADORES!$A$2:$A$42,0)),"ID?"))</f>
        <v/>
      </c>
      <c r="G933" s="21" t="str">
        <f aca="false">IF(E933="","",IFERROR(INDEX(02_INDICADORES!$C$2:$C$42,MATCH(E933,02_INDICADORES!$A$2:$A$42,0)),"ID?"))</f>
        <v/>
      </c>
      <c r="H933" s="22" t="str">
        <f aca="false">IF(E933="","",IFERROR(INDEX(02_INDICADORES!$D$2:$D$42,MATCH(E933,02_INDICADORES!$A$2:$A$42,0)),""))</f>
        <v/>
      </c>
      <c r="I933" s="9"/>
      <c r="J933" s="16" t="str">
        <f aca="false">IF(OR(I933="",H933=""),"",I933*H933)</f>
        <v/>
      </c>
      <c r="K933" s="9"/>
      <c r="L933" s="9"/>
      <c r="M933" s="9"/>
    </row>
    <row r="934" customFormat="false" ht="15" hidden="false" customHeight="false" outlineLevel="0" collapsed="false">
      <c r="A934" s="9"/>
      <c r="B934" s="9"/>
      <c r="C934" s="11"/>
      <c r="D934" s="9"/>
      <c r="E934" s="9"/>
      <c r="F934" s="22" t="str">
        <f aca="false">IF(E934="","",IFERROR(INDEX(02_INDICADORES!$B$2:$B$42,MATCH(E934,02_INDICADORES!$A$2:$A$42,0)),"ID?"))</f>
        <v/>
      </c>
      <c r="G934" s="21" t="str">
        <f aca="false">IF(E934="","",IFERROR(INDEX(02_INDICADORES!$C$2:$C$42,MATCH(E934,02_INDICADORES!$A$2:$A$42,0)),"ID?"))</f>
        <v/>
      </c>
      <c r="H934" s="22" t="str">
        <f aca="false">IF(E934="","",IFERROR(INDEX(02_INDICADORES!$D$2:$D$42,MATCH(E934,02_INDICADORES!$A$2:$A$42,0)),""))</f>
        <v/>
      </c>
      <c r="I934" s="9"/>
      <c r="J934" s="16" t="str">
        <f aca="false">IF(OR(I934="",H934=""),"",I934*H934)</f>
        <v/>
      </c>
      <c r="K934" s="9"/>
      <c r="L934" s="9"/>
      <c r="M934" s="9"/>
    </row>
    <row r="935" customFormat="false" ht="15" hidden="false" customHeight="false" outlineLevel="0" collapsed="false">
      <c r="A935" s="9"/>
      <c r="B935" s="9"/>
      <c r="C935" s="11"/>
      <c r="D935" s="9"/>
      <c r="E935" s="9"/>
      <c r="F935" s="22" t="str">
        <f aca="false">IF(E935="","",IFERROR(INDEX(02_INDICADORES!$B$2:$B$42,MATCH(E935,02_INDICADORES!$A$2:$A$42,0)),"ID?"))</f>
        <v/>
      </c>
      <c r="G935" s="21" t="str">
        <f aca="false">IF(E935="","",IFERROR(INDEX(02_INDICADORES!$C$2:$C$42,MATCH(E935,02_INDICADORES!$A$2:$A$42,0)),"ID?"))</f>
        <v/>
      </c>
      <c r="H935" s="22" t="str">
        <f aca="false">IF(E935="","",IFERROR(INDEX(02_INDICADORES!$D$2:$D$42,MATCH(E935,02_INDICADORES!$A$2:$A$42,0)),""))</f>
        <v/>
      </c>
      <c r="I935" s="9"/>
      <c r="J935" s="16" t="str">
        <f aca="false">IF(OR(I935="",H935=""),"",I935*H935)</f>
        <v/>
      </c>
      <c r="K935" s="9"/>
      <c r="L935" s="9"/>
      <c r="M935" s="9"/>
    </row>
    <row r="936" customFormat="false" ht="15" hidden="false" customHeight="false" outlineLevel="0" collapsed="false">
      <c r="A936" s="9"/>
      <c r="B936" s="9"/>
      <c r="C936" s="11"/>
      <c r="D936" s="9"/>
      <c r="E936" s="9"/>
      <c r="F936" s="22" t="str">
        <f aca="false">IF(E936="","",IFERROR(INDEX(02_INDICADORES!$B$2:$B$42,MATCH(E936,02_INDICADORES!$A$2:$A$42,0)),"ID?"))</f>
        <v/>
      </c>
      <c r="G936" s="21" t="str">
        <f aca="false">IF(E936="","",IFERROR(INDEX(02_INDICADORES!$C$2:$C$42,MATCH(E936,02_INDICADORES!$A$2:$A$42,0)),"ID?"))</f>
        <v/>
      </c>
      <c r="H936" s="22" t="str">
        <f aca="false">IF(E936="","",IFERROR(INDEX(02_INDICADORES!$D$2:$D$42,MATCH(E936,02_INDICADORES!$A$2:$A$42,0)),""))</f>
        <v/>
      </c>
      <c r="I936" s="9"/>
      <c r="J936" s="16" t="str">
        <f aca="false">IF(OR(I936="",H936=""),"",I936*H936)</f>
        <v/>
      </c>
      <c r="K936" s="9"/>
      <c r="L936" s="9"/>
      <c r="M936" s="9"/>
    </row>
    <row r="937" customFormat="false" ht="15" hidden="false" customHeight="false" outlineLevel="0" collapsed="false">
      <c r="A937" s="9"/>
      <c r="B937" s="9"/>
      <c r="C937" s="11"/>
      <c r="D937" s="9"/>
      <c r="E937" s="9"/>
      <c r="F937" s="22" t="str">
        <f aca="false">IF(E937="","",IFERROR(INDEX(02_INDICADORES!$B$2:$B$42,MATCH(E937,02_INDICADORES!$A$2:$A$42,0)),"ID?"))</f>
        <v/>
      </c>
      <c r="G937" s="21" t="str">
        <f aca="false">IF(E937="","",IFERROR(INDEX(02_INDICADORES!$C$2:$C$42,MATCH(E937,02_INDICADORES!$A$2:$A$42,0)),"ID?"))</f>
        <v/>
      </c>
      <c r="H937" s="22" t="str">
        <f aca="false">IF(E937="","",IFERROR(INDEX(02_INDICADORES!$D$2:$D$42,MATCH(E937,02_INDICADORES!$A$2:$A$42,0)),""))</f>
        <v/>
      </c>
      <c r="I937" s="9"/>
      <c r="J937" s="16" t="str">
        <f aca="false">IF(OR(I937="",H937=""),"",I937*H937)</f>
        <v/>
      </c>
      <c r="K937" s="9"/>
      <c r="L937" s="9"/>
      <c r="M937" s="9"/>
    </row>
    <row r="938" customFormat="false" ht="15" hidden="false" customHeight="false" outlineLevel="0" collapsed="false">
      <c r="A938" s="9"/>
      <c r="B938" s="9"/>
      <c r="C938" s="11"/>
      <c r="D938" s="9"/>
      <c r="E938" s="9"/>
      <c r="F938" s="22" t="str">
        <f aca="false">IF(E938="","",IFERROR(INDEX(02_INDICADORES!$B$2:$B$42,MATCH(E938,02_INDICADORES!$A$2:$A$42,0)),"ID?"))</f>
        <v/>
      </c>
      <c r="G938" s="21" t="str">
        <f aca="false">IF(E938="","",IFERROR(INDEX(02_INDICADORES!$C$2:$C$42,MATCH(E938,02_INDICADORES!$A$2:$A$42,0)),"ID?"))</f>
        <v/>
      </c>
      <c r="H938" s="22" t="str">
        <f aca="false">IF(E938="","",IFERROR(INDEX(02_INDICADORES!$D$2:$D$42,MATCH(E938,02_INDICADORES!$A$2:$A$42,0)),""))</f>
        <v/>
      </c>
      <c r="I938" s="9"/>
      <c r="J938" s="16" t="str">
        <f aca="false">IF(OR(I938="",H938=""),"",I938*H938)</f>
        <v/>
      </c>
      <c r="K938" s="9"/>
      <c r="L938" s="9"/>
      <c r="M938" s="9"/>
    </row>
    <row r="939" customFormat="false" ht="15" hidden="false" customHeight="false" outlineLevel="0" collapsed="false">
      <c r="A939" s="9"/>
      <c r="B939" s="9"/>
      <c r="C939" s="11"/>
      <c r="D939" s="9"/>
      <c r="E939" s="9"/>
      <c r="F939" s="22" t="str">
        <f aca="false">IF(E939="","",IFERROR(INDEX(02_INDICADORES!$B$2:$B$42,MATCH(E939,02_INDICADORES!$A$2:$A$42,0)),"ID?"))</f>
        <v/>
      </c>
      <c r="G939" s="21" t="str">
        <f aca="false">IF(E939="","",IFERROR(INDEX(02_INDICADORES!$C$2:$C$42,MATCH(E939,02_INDICADORES!$A$2:$A$42,0)),"ID?"))</f>
        <v/>
      </c>
      <c r="H939" s="22" t="str">
        <f aca="false">IF(E939="","",IFERROR(INDEX(02_INDICADORES!$D$2:$D$42,MATCH(E939,02_INDICADORES!$A$2:$A$42,0)),""))</f>
        <v/>
      </c>
      <c r="I939" s="9"/>
      <c r="J939" s="16" t="str">
        <f aca="false">IF(OR(I939="",H939=""),"",I939*H939)</f>
        <v/>
      </c>
      <c r="K939" s="9"/>
      <c r="L939" s="9"/>
      <c r="M939" s="9"/>
    </row>
    <row r="940" customFormat="false" ht="15" hidden="false" customHeight="false" outlineLevel="0" collapsed="false">
      <c r="A940" s="9"/>
      <c r="B940" s="9"/>
      <c r="C940" s="11"/>
      <c r="D940" s="9"/>
      <c r="E940" s="9"/>
      <c r="F940" s="22" t="str">
        <f aca="false">IF(E940="","",IFERROR(INDEX(02_INDICADORES!$B$2:$B$42,MATCH(E940,02_INDICADORES!$A$2:$A$42,0)),"ID?"))</f>
        <v/>
      </c>
      <c r="G940" s="21" t="str">
        <f aca="false">IF(E940="","",IFERROR(INDEX(02_INDICADORES!$C$2:$C$42,MATCH(E940,02_INDICADORES!$A$2:$A$42,0)),"ID?"))</f>
        <v/>
      </c>
      <c r="H940" s="22" t="str">
        <f aca="false">IF(E940="","",IFERROR(INDEX(02_INDICADORES!$D$2:$D$42,MATCH(E940,02_INDICADORES!$A$2:$A$42,0)),""))</f>
        <v/>
      </c>
      <c r="I940" s="9"/>
      <c r="J940" s="16" t="str">
        <f aca="false">IF(OR(I940="",H940=""),"",I940*H940)</f>
        <v/>
      </c>
      <c r="K940" s="9"/>
      <c r="L940" s="9"/>
      <c r="M940" s="9"/>
    </row>
    <row r="941" customFormat="false" ht="15" hidden="false" customHeight="false" outlineLevel="0" collapsed="false">
      <c r="A941" s="9"/>
      <c r="B941" s="9"/>
      <c r="C941" s="11"/>
      <c r="D941" s="9"/>
      <c r="E941" s="9"/>
      <c r="F941" s="22" t="str">
        <f aca="false">IF(E941="","",IFERROR(INDEX(02_INDICADORES!$B$2:$B$42,MATCH(E941,02_INDICADORES!$A$2:$A$42,0)),"ID?"))</f>
        <v/>
      </c>
      <c r="G941" s="21" t="str">
        <f aca="false">IF(E941="","",IFERROR(INDEX(02_INDICADORES!$C$2:$C$42,MATCH(E941,02_INDICADORES!$A$2:$A$42,0)),"ID?"))</f>
        <v/>
      </c>
      <c r="H941" s="22" t="str">
        <f aca="false">IF(E941="","",IFERROR(INDEX(02_INDICADORES!$D$2:$D$42,MATCH(E941,02_INDICADORES!$A$2:$A$42,0)),""))</f>
        <v/>
      </c>
      <c r="I941" s="9"/>
      <c r="J941" s="16" t="str">
        <f aca="false">IF(OR(I941="",H941=""),"",I941*H941)</f>
        <v/>
      </c>
      <c r="K941" s="9"/>
      <c r="L941" s="9"/>
      <c r="M941" s="9"/>
    </row>
    <row r="942" customFormat="false" ht="15" hidden="false" customHeight="false" outlineLevel="0" collapsed="false">
      <c r="A942" s="9"/>
      <c r="B942" s="9"/>
      <c r="C942" s="11"/>
      <c r="D942" s="9"/>
      <c r="E942" s="9"/>
      <c r="F942" s="22" t="str">
        <f aca="false">IF(E942="","",IFERROR(INDEX(02_INDICADORES!$B$2:$B$42,MATCH(E942,02_INDICADORES!$A$2:$A$42,0)),"ID?"))</f>
        <v/>
      </c>
      <c r="G942" s="21" t="str">
        <f aca="false">IF(E942="","",IFERROR(INDEX(02_INDICADORES!$C$2:$C$42,MATCH(E942,02_INDICADORES!$A$2:$A$42,0)),"ID?"))</f>
        <v/>
      </c>
      <c r="H942" s="22" t="str">
        <f aca="false">IF(E942="","",IFERROR(INDEX(02_INDICADORES!$D$2:$D$42,MATCH(E942,02_INDICADORES!$A$2:$A$42,0)),""))</f>
        <v/>
      </c>
      <c r="I942" s="9"/>
      <c r="J942" s="16" t="str">
        <f aca="false">IF(OR(I942="",H942=""),"",I942*H942)</f>
        <v/>
      </c>
      <c r="K942" s="9"/>
      <c r="L942" s="9"/>
      <c r="M942" s="9"/>
    </row>
    <row r="943" customFormat="false" ht="15" hidden="false" customHeight="false" outlineLevel="0" collapsed="false">
      <c r="A943" s="9"/>
      <c r="B943" s="9"/>
      <c r="C943" s="11"/>
      <c r="D943" s="9"/>
      <c r="E943" s="9"/>
      <c r="F943" s="22" t="str">
        <f aca="false">IF(E943="","",IFERROR(INDEX(02_INDICADORES!$B$2:$B$42,MATCH(E943,02_INDICADORES!$A$2:$A$42,0)),"ID?"))</f>
        <v/>
      </c>
      <c r="G943" s="21" t="str">
        <f aca="false">IF(E943="","",IFERROR(INDEX(02_INDICADORES!$C$2:$C$42,MATCH(E943,02_INDICADORES!$A$2:$A$42,0)),"ID?"))</f>
        <v/>
      </c>
      <c r="H943" s="22" t="str">
        <f aca="false">IF(E943="","",IFERROR(INDEX(02_INDICADORES!$D$2:$D$42,MATCH(E943,02_INDICADORES!$A$2:$A$42,0)),""))</f>
        <v/>
      </c>
      <c r="I943" s="9"/>
      <c r="J943" s="16" t="str">
        <f aca="false">IF(OR(I943="",H943=""),"",I943*H943)</f>
        <v/>
      </c>
      <c r="K943" s="9"/>
      <c r="L943" s="9"/>
      <c r="M943" s="9"/>
    </row>
    <row r="944" customFormat="false" ht="15" hidden="false" customHeight="false" outlineLevel="0" collapsed="false">
      <c r="A944" s="9"/>
      <c r="B944" s="9"/>
      <c r="C944" s="11"/>
      <c r="D944" s="9"/>
      <c r="E944" s="9"/>
      <c r="F944" s="22" t="str">
        <f aca="false">IF(E944="","",IFERROR(INDEX(02_INDICADORES!$B$2:$B$42,MATCH(E944,02_INDICADORES!$A$2:$A$42,0)),"ID?"))</f>
        <v/>
      </c>
      <c r="G944" s="21" t="str">
        <f aca="false">IF(E944="","",IFERROR(INDEX(02_INDICADORES!$C$2:$C$42,MATCH(E944,02_INDICADORES!$A$2:$A$42,0)),"ID?"))</f>
        <v/>
      </c>
      <c r="H944" s="22" t="str">
        <f aca="false">IF(E944="","",IFERROR(INDEX(02_INDICADORES!$D$2:$D$42,MATCH(E944,02_INDICADORES!$A$2:$A$42,0)),""))</f>
        <v/>
      </c>
      <c r="I944" s="9"/>
      <c r="J944" s="16" t="str">
        <f aca="false">IF(OR(I944="",H944=""),"",I944*H944)</f>
        <v/>
      </c>
      <c r="K944" s="9"/>
      <c r="L944" s="9"/>
      <c r="M944" s="9"/>
    </row>
    <row r="945" customFormat="false" ht="15" hidden="false" customHeight="false" outlineLevel="0" collapsed="false">
      <c r="A945" s="9"/>
      <c r="B945" s="9"/>
      <c r="C945" s="11"/>
      <c r="D945" s="9"/>
      <c r="E945" s="9"/>
      <c r="F945" s="22" t="str">
        <f aca="false">IF(E945="","",IFERROR(INDEX(02_INDICADORES!$B$2:$B$42,MATCH(E945,02_INDICADORES!$A$2:$A$42,0)),"ID?"))</f>
        <v/>
      </c>
      <c r="G945" s="21" t="str">
        <f aca="false">IF(E945="","",IFERROR(INDEX(02_INDICADORES!$C$2:$C$42,MATCH(E945,02_INDICADORES!$A$2:$A$42,0)),"ID?"))</f>
        <v/>
      </c>
      <c r="H945" s="22" t="str">
        <f aca="false">IF(E945="","",IFERROR(INDEX(02_INDICADORES!$D$2:$D$42,MATCH(E945,02_INDICADORES!$A$2:$A$42,0)),""))</f>
        <v/>
      </c>
      <c r="I945" s="9"/>
      <c r="J945" s="16" t="str">
        <f aca="false">IF(OR(I945="",H945=""),"",I945*H945)</f>
        <v/>
      </c>
      <c r="K945" s="9"/>
      <c r="L945" s="9"/>
      <c r="M945" s="9"/>
    </row>
    <row r="946" customFormat="false" ht="15" hidden="false" customHeight="false" outlineLevel="0" collapsed="false">
      <c r="A946" s="9"/>
      <c r="B946" s="9"/>
      <c r="C946" s="11"/>
      <c r="D946" s="9"/>
      <c r="E946" s="9"/>
      <c r="F946" s="22" t="str">
        <f aca="false">IF(E946="","",IFERROR(INDEX(02_INDICADORES!$B$2:$B$42,MATCH(E946,02_INDICADORES!$A$2:$A$42,0)),"ID?"))</f>
        <v/>
      </c>
      <c r="G946" s="21" t="str">
        <f aca="false">IF(E946="","",IFERROR(INDEX(02_INDICADORES!$C$2:$C$42,MATCH(E946,02_INDICADORES!$A$2:$A$42,0)),"ID?"))</f>
        <v/>
      </c>
      <c r="H946" s="22" t="str">
        <f aca="false">IF(E946="","",IFERROR(INDEX(02_INDICADORES!$D$2:$D$42,MATCH(E946,02_INDICADORES!$A$2:$A$42,0)),""))</f>
        <v/>
      </c>
      <c r="I946" s="9"/>
      <c r="J946" s="16" t="str">
        <f aca="false">IF(OR(I946="",H946=""),"",I946*H946)</f>
        <v/>
      </c>
      <c r="K946" s="9"/>
      <c r="L946" s="9"/>
      <c r="M946" s="9"/>
    </row>
    <row r="947" customFormat="false" ht="15" hidden="false" customHeight="false" outlineLevel="0" collapsed="false">
      <c r="A947" s="9"/>
      <c r="B947" s="9"/>
      <c r="C947" s="11"/>
      <c r="D947" s="9"/>
      <c r="E947" s="9"/>
      <c r="F947" s="22" t="str">
        <f aca="false">IF(E947="","",IFERROR(INDEX(02_INDICADORES!$B$2:$B$42,MATCH(E947,02_INDICADORES!$A$2:$A$42,0)),"ID?"))</f>
        <v/>
      </c>
      <c r="G947" s="21" t="str">
        <f aca="false">IF(E947="","",IFERROR(INDEX(02_INDICADORES!$C$2:$C$42,MATCH(E947,02_INDICADORES!$A$2:$A$42,0)),"ID?"))</f>
        <v/>
      </c>
      <c r="H947" s="22" t="str">
        <f aca="false">IF(E947="","",IFERROR(INDEX(02_INDICADORES!$D$2:$D$42,MATCH(E947,02_INDICADORES!$A$2:$A$42,0)),""))</f>
        <v/>
      </c>
      <c r="I947" s="9"/>
      <c r="J947" s="16" t="str">
        <f aca="false">IF(OR(I947="",H947=""),"",I947*H947)</f>
        <v/>
      </c>
      <c r="K947" s="9"/>
      <c r="L947" s="9"/>
      <c r="M947" s="9"/>
    </row>
    <row r="948" customFormat="false" ht="15" hidden="false" customHeight="false" outlineLevel="0" collapsed="false">
      <c r="A948" s="9"/>
      <c r="B948" s="9"/>
      <c r="C948" s="11"/>
      <c r="D948" s="9"/>
      <c r="E948" s="9"/>
      <c r="F948" s="22" t="str">
        <f aca="false">IF(E948="","",IFERROR(INDEX(02_INDICADORES!$B$2:$B$42,MATCH(E948,02_INDICADORES!$A$2:$A$42,0)),"ID?"))</f>
        <v/>
      </c>
      <c r="G948" s="21" t="str">
        <f aca="false">IF(E948="","",IFERROR(INDEX(02_INDICADORES!$C$2:$C$42,MATCH(E948,02_INDICADORES!$A$2:$A$42,0)),"ID?"))</f>
        <v/>
      </c>
      <c r="H948" s="22" t="str">
        <f aca="false">IF(E948="","",IFERROR(INDEX(02_INDICADORES!$D$2:$D$42,MATCH(E948,02_INDICADORES!$A$2:$A$42,0)),""))</f>
        <v/>
      </c>
      <c r="I948" s="9"/>
      <c r="J948" s="16" t="str">
        <f aca="false">IF(OR(I948="",H948=""),"",I948*H948)</f>
        <v/>
      </c>
      <c r="K948" s="9"/>
      <c r="L948" s="9"/>
      <c r="M948" s="9"/>
    </row>
    <row r="949" customFormat="false" ht="15" hidden="false" customHeight="false" outlineLevel="0" collapsed="false">
      <c r="A949" s="9"/>
      <c r="B949" s="9"/>
      <c r="C949" s="11"/>
      <c r="D949" s="9"/>
      <c r="E949" s="9"/>
      <c r="F949" s="22" t="str">
        <f aca="false">IF(E949="","",IFERROR(INDEX(02_INDICADORES!$B$2:$B$42,MATCH(E949,02_INDICADORES!$A$2:$A$42,0)),"ID?"))</f>
        <v/>
      </c>
      <c r="G949" s="21" t="str">
        <f aca="false">IF(E949="","",IFERROR(INDEX(02_INDICADORES!$C$2:$C$42,MATCH(E949,02_INDICADORES!$A$2:$A$42,0)),"ID?"))</f>
        <v/>
      </c>
      <c r="H949" s="22" t="str">
        <f aca="false">IF(E949="","",IFERROR(INDEX(02_INDICADORES!$D$2:$D$42,MATCH(E949,02_INDICADORES!$A$2:$A$42,0)),""))</f>
        <v/>
      </c>
      <c r="I949" s="9"/>
      <c r="J949" s="16" t="str">
        <f aca="false">IF(OR(I949="",H949=""),"",I949*H949)</f>
        <v/>
      </c>
      <c r="K949" s="9"/>
      <c r="L949" s="9"/>
      <c r="M949" s="9"/>
    </row>
    <row r="950" customFormat="false" ht="15" hidden="false" customHeight="false" outlineLevel="0" collapsed="false">
      <c r="A950" s="9"/>
      <c r="B950" s="9"/>
      <c r="C950" s="11"/>
      <c r="D950" s="9"/>
      <c r="E950" s="9"/>
      <c r="F950" s="22" t="str">
        <f aca="false">IF(E950="","",IFERROR(INDEX(02_INDICADORES!$B$2:$B$42,MATCH(E950,02_INDICADORES!$A$2:$A$42,0)),"ID?"))</f>
        <v/>
      </c>
      <c r="G950" s="21" t="str">
        <f aca="false">IF(E950="","",IFERROR(INDEX(02_INDICADORES!$C$2:$C$42,MATCH(E950,02_INDICADORES!$A$2:$A$42,0)),"ID?"))</f>
        <v/>
      </c>
      <c r="H950" s="22" t="str">
        <f aca="false">IF(E950="","",IFERROR(INDEX(02_INDICADORES!$D$2:$D$42,MATCH(E950,02_INDICADORES!$A$2:$A$42,0)),""))</f>
        <v/>
      </c>
      <c r="I950" s="9"/>
      <c r="J950" s="16" t="str">
        <f aca="false">IF(OR(I950="",H950=""),"",I950*H950)</f>
        <v/>
      </c>
      <c r="K950" s="9"/>
      <c r="L950" s="9"/>
      <c r="M950" s="9"/>
    </row>
    <row r="951" customFormat="false" ht="15" hidden="false" customHeight="false" outlineLevel="0" collapsed="false">
      <c r="A951" s="9"/>
      <c r="B951" s="9"/>
      <c r="C951" s="11"/>
      <c r="D951" s="9"/>
      <c r="E951" s="9"/>
      <c r="F951" s="22" t="str">
        <f aca="false">IF(E951="","",IFERROR(INDEX(02_INDICADORES!$B$2:$B$42,MATCH(E951,02_INDICADORES!$A$2:$A$42,0)),"ID?"))</f>
        <v/>
      </c>
      <c r="G951" s="21" t="str">
        <f aca="false">IF(E951="","",IFERROR(INDEX(02_INDICADORES!$C$2:$C$42,MATCH(E951,02_INDICADORES!$A$2:$A$42,0)),"ID?"))</f>
        <v/>
      </c>
      <c r="H951" s="22" t="str">
        <f aca="false">IF(E951="","",IFERROR(INDEX(02_INDICADORES!$D$2:$D$42,MATCH(E951,02_INDICADORES!$A$2:$A$42,0)),""))</f>
        <v/>
      </c>
      <c r="I951" s="9"/>
      <c r="J951" s="16" t="str">
        <f aca="false">IF(OR(I951="",H951=""),"",I951*H951)</f>
        <v/>
      </c>
      <c r="K951" s="9"/>
      <c r="L951" s="9"/>
      <c r="M951" s="9"/>
    </row>
    <row r="952" customFormat="false" ht="15" hidden="false" customHeight="false" outlineLevel="0" collapsed="false">
      <c r="A952" s="9"/>
      <c r="B952" s="9"/>
      <c r="C952" s="11"/>
      <c r="D952" s="9"/>
      <c r="E952" s="9"/>
      <c r="F952" s="22" t="str">
        <f aca="false">IF(E952="","",IFERROR(INDEX(02_INDICADORES!$B$2:$B$42,MATCH(E952,02_INDICADORES!$A$2:$A$42,0)),"ID?"))</f>
        <v/>
      </c>
      <c r="G952" s="21" t="str">
        <f aca="false">IF(E952="","",IFERROR(INDEX(02_INDICADORES!$C$2:$C$42,MATCH(E952,02_INDICADORES!$A$2:$A$42,0)),"ID?"))</f>
        <v/>
      </c>
      <c r="H952" s="22" t="str">
        <f aca="false">IF(E952="","",IFERROR(INDEX(02_INDICADORES!$D$2:$D$42,MATCH(E952,02_INDICADORES!$A$2:$A$42,0)),""))</f>
        <v/>
      </c>
      <c r="I952" s="9"/>
      <c r="J952" s="16" t="str">
        <f aca="false">IF(OR(I952="",H952=""),"",I952*H952)</f>
        <v/>
      </c>
      <c r="K952" s="9"/>
      <c r="L952" s="9"/>
      <c r="M952" s="9"/>
    </row>
    <row r="953" customFormat="false" ht="15" hidden="false" customHeight="false" outlineLevel="0" collapsed="false">
      <c r="A953" s="9"/>
      <c r="B953" s="9"/>
      <c r="C953" s="11"/>
      <c r="D953" s="9"/>
      <c r="E953" s="9"/>
      <c r="F953" s="22" t="str">
        <f aca="false">IF(E953="","",IFERROR(INDEX(02_INDICADORES!$B$2:$B$42,MATCH(E953,02_INDICADORES!$A$2:$A$42,0)),"ID?"))</f>
        <v/>
      </c>
      <c r="G953" s="21" t="str">
        <f aca="false">IF(E953="","",IFERROR(INDEX(02_INDICADORES!$C$2:$C$42,MATCH(E953,02_INDICADORES!$A$2:$A$42,0)),"ID?"))</f>
        <v/>
      </c>
      <c r="H953" s="22" t="str">
        <f aca="false">IF(E953="","",IFERROR(INDEX(02_INDICADORES!$D$2:$D$42,MATCH(E953,02_INDICADORES!$A$2:$A$42,0)),""))</f>
        <v/>
      </c>
      <c r="I953" s="9"/>
      <c r="J953" s="16" t="str">
        <f aca="false">IF(OR(I953="",H953=""),"",I953*H953)</f>
        <v/>
      </c>
      <c r="K953" s="9"/>
      <c r="L953" s="9"/>
      <c r="M953" s="9"/>
    </row>
    <row r="954" customFormat="false" ht="15" hidden="false" customHeight="false" outlineLevel="0" collapsed="false">
      <c r="A954" s="9"/>
      <c r="B954" s="9"/>
      <c r="C954" s="11"/>
      <c r="D954" s="9"/>
      <c r="E954" s="9"/>
      <c r="F954" s="22" t="str">
        <f aca="false">IF(E954="","",IFERROR(INDEX(02_INDICADORES!$B$2:$B$42,MATCH(E954,02_INDICADORES!$A$2:$A$42,0)),"ID?"))</f>
        <v/>
      </c>
      <c r="G954" s="21" t="str">
        <f aca="false">IF(E954="","",IFERROR(INDEX(02_INDICADORES!$C$2:$C$42,MATCH(E954,02_INDICADORES!$A$2:$A$42,0)),"ID?"))</f>
        <v/>
      </c>
      <c r="H954" s="22" t="str">
        <f aca="false">IF(E954="","",IFERROR(INDEX(02_INDICADORES!$D$2:$D$42,MATCH(E954,02_INDICADORES!$A$2:$A$42,0)),""))</f>
        <v/>
      </c>
      <c r="I954" s="9"/>
      <c r="J954" s="16" t="str">
        <f aca="false">IF(OR(I954="",H954=""),"",I954*H954)</f>
        <v/>
      </c>
      <c r="K954" s="9"/>
      <c r="L954" s="9"/>
      <c r="M954" s="9"/>
    </row>
    <row r="955" customFormat="false" ht="15" hidden="false" customHeight="false" outlineLevel="0" collapsed="false">
      <c r="A955" s="9"/>
      <c r="B955" s="9"/>
      <c r="C955" s="11"/>
      <c r="D955" s="9"/>
      <c r="E955" s="9"/>
      <c r="F955" s="22" t="str">
        <f aca="false">IF(E955="","",IFERROR(INDEX(02_INDICADORES!$B$2:$B$42,MATCH(E955,02_INDICADORES!$A$2:$A$42,0)),"ID?"))</f>
        <v/>
      </c>
      <c r="G955" s="21" t="str">
        <f aca="false">IF(E955="","",IFERROR(INDEX(02_INDICADORES!$C$2:$C$42,MATCH(E955,02_INDICADORES!$A$2:$A$42,0)),"ID?"))</f>
        <v/>
      </c>
      <c r="H955" s="22" t="str">
        <f aca="false">IF(E955="","",IFERROR(INDEX(02_INDICADORES!$D$2:$D$42,MATCH(E955,02_INDICADORES!$A$2:$A$42,0)),""))</f>
        <v/>
      </c>
      <c r="I955" s="9"/>
      <c r="J955" s="16" t="str">
        <f aca="false">IF(OR(I955="",H955=""),"",I955*H955)</f>
        <v/>
      </c>
      <c r="K955" s="9"/>
      <c r="L955" s="9"/>
      <c r="M955" s="9"/>
    </row>
    <row r="956" customFormat="false" ht="15" hidden="false" customHeight="false" outlineLevel="0" collapsed="false">
      <c r="A956" s="9"/>
      <c r="B956" s="9"/>
      <c r="C956" s="11"/>
      <c r="D956" s="9"/>
      <c r="E956" s="9"/>
      <c r="F956" s="22" t="str">
        <f aca="false">IF(E956="","",IFERROR(INDEX(02_INDICADORES!$B$2:$B$42,MATCH(E956,02_INDICADORES!$A$2:$A$42,0)),"ID?"))</f>
        <v/>
      </c>
      <c r="G956" s="21" t="str">
        <f aca="false">IF(E956="","",IFERROR(INDEX(02_INDICADORES!$C$2:$C$42,MATCH(E956,02_INDICADORES!$A$2:$A$42,0)),"ID?"))</f>
        <v/>
      </c>
      <c r="H956" s="22" t="str">
        <f aca="false">IF(E956="","",IFERROR(INDEX(02_INDICADORES!$D$2:$D$42,MATCH(E956,02_INDICADORES!$A$2:$A$42,0)),""))</f>
        <v/>
      </c>
      <c r="I956" s="9"/>
      <c r="J956" s="16" t="str">
        <f aca="false">IF(OR(I956="",H956=""),"",I956*H956)</f>
        <v/>
      </c>
      <c r="K956" s="9"/>
      <c r="L956" s="9"/>
      <c r="M956" s="9"/>
    </row>
    <row r="957" customFormat="false" ht="15" hidden="false" customHeight="false" outlineLevel="0" collapsed="false">
      <c r="A957" s="9"/>
      <c r="B957" s="9"/>
      <c r="C957" s="11"/>
      <c r="D957" s="9"/>
      <c r="E957" s="9"/>
      <c r="F957" s="22" t="str">
        <f aca="false">IF(E957="","",IFERROR(INDEX(02_INDICADORES!$B$2:$B$42,MATCH(E957,02_INDICADORES!$A$2:$A$42,0)),"ID?"))</f>
        <v/>
      </c>
      <c r="G957" s="21" t="str">
        <f aca="false">IF(E957="","",IFERROR(INDEX(02_INDICADORES!$C$2:$C$42,MATCH(E957,02_INDICADORES!$A$2:$A$42,0)),"ID?"))</f>
        <v/>
      </c>
      <c r="H957" s="22" t="str">
        <f aca="false">IF(E957="","",IFERROR(INDEX(02_INDICADORES!$D$2:$D$42,MATCH(E957,02_INDICADORES!$A$2:$A$42,0)),""))</f>
        <v/>
      </c>
      <c r="I957" s="9"/>
      <c r="J957" s="16" t="str">
        <f aca="false">IF(OR(I957="",H957=""),"",I957*H957)</f>
        <v/>
      </c>
      <c r="K957" s="9"/>
      <c r="L957" s="9"/>
      <c r="M957" s="9"/>
    </row>
    <row r="958" customFormat="false" ht="15" hidden="false" customHeight="false" outlineLevel="0" collapsed="false">
      <c r="A958" s="9"/>
      <c r="B958" s="9"/>
      <c r="C958" s="11"/>
      <c r="D958" s="9"/>
      <c r="E958" s="9"/>
      <c r="F958" s="22" t="str">
        <f aca="false">IF(E958="","",IFERROR(INDEX(02_INDICADORES!$B$2:$B$42,MATCH(E958,02_INDICADORES!$A$2:$A$42,0)),"ID?"))</f>
        <v/>
      </c>
      <c r="G958" s="21" t="str">
        <f aca="false">IF(E958="","",IFERROR(INDEX(02_INDICADORES!$C$2:$C$42,MATCH(E958,02_INDICADORES!$A$2:$A$42,0)),"ID?"))</f>
        <v/>
      </c>
      <c r="H958" s="22" t="str">
        <f aca="false">IF(E958="","",IFERROR(INDEX(02_INDICADORES!$D$2:$D$42,MATCH(E958,02_INDICADORES!$A$2:$A$42,0)),""))</f>
        <v/>
      </c>
      <c r="I958" s="9"/>
      <c r="J958" s="16" t="str">
        <f aca="false">IF(OR(I958="",H958=""),"",I958*H958)</f>
        <v/>
      </c>
      <c r="K958" s="9"/>
      <c r="L958" s="9"/>
      <c r="M958" s="9"/>
    </row>
    <row r="959" customFormat="false" ht="15" hidden="false" customHeight="false" outlineLevel="0" collapsed="false">
      <c r="A959" s="9"/>
      <c r="B959" s="9"/>
      <c r="C959" s="11"/>
      <c r="D959" s="9"/>
      <c r="E959" s="9"/>
      <c r="F959" s="22" t="str">
        <f aca="false">IF(E959="","",IFERROR(INDEX(02_INDICADORES!$B$2:$B$42,MATCH(E959,02_INDICADORES!$A$2:$A$42,0)),"ID?"))</f>
        <v/>
      </c>
      <c r="G959" s="21" t="str">
        <f aca="false">IF(E959="","",IFERROR(INDEX(02_INDICADORES!$C$2:$C$42,MATCH(E959,02_INDICADORES!$A$2:$A$42,0)),"ID?"))</f>
        <v/>
      </c>
      <c r="H959" s="22" t="str">
        <f aca="false">IF(E959="","",IFERROR(INDEX(02_INDICADORES!$D$2:$D$42,MATCH(E959,02_INDICADORES!$A$2:$A$42,0)),""))</f>
        <v/>
      </c>
      <c r="I959" s="9"/>
      <c r="J959" s="16" t="str">
        <f aca="false">IF(OR(I959="",H959=""),"",I959*H959)</f>
        <v/>
      </c>
      <c r="K959" s="9"/>
      <c r="L959" s="9"/>
      <c r="M959" s="9"/>
    </row>
    <row r="960" customFormat="false" ht="15" hidden="false" customHeight="false" outlineLevel="0" collapsed="false">
      <c r="A960" s="9"/>
      <c r="B960" s="9"/>
      <c r="C960" s="11"/>
      <c r="D960" s="9"/>
      <c r="E960" s="9"/>
      <c r="F960" s="22" t="str">
        <f aca="false">IF(E960="","",IFERROR(INDEX(02_INDICADORES!$B$2:$B$42,MATCH(E960,02_INDICADORES!$A$2:$A$42,0)),"ID?"))</f>
        <v/>
      </c>
      <c r="G960" s="21" t="str">
        <f aca="false">IF(E960="","",IFERROR(INDEX(02_INDICADORES!$C$2:$C$42,MATCH(E960,02_INDICADORES!$A$2:$A$42,0)),"ID?"))</f>
        <v/>
      </c>
      <c r="H960" s="22" t="str">
        <f aca="false">IF(E960="","",IFERROR(INDEX(02_INDICADORES!$D$2:$D$42,MATCH(E960,02_INDICADORES!$A$2:$A$42,0)),""))</f>
        <v/>
      </c>
      <c r="I960" s="9"/>
      <c r="J960" s="16" t="str">
        <f aca="false">IF(OR(I960="",H960=""),"",I960*H960)</f>
        <v/>
      </c>
      <c r="K960" s="9"/>
      <c r="L960" s="9"/>
      <c r="M960" s="9"/>
    </row>
    <row r="961" customFormat="false" ht="15" hidden="false" customHeight="false" outlineLevel="0" collapsed="false">
      <c r="A961" s="9"/>
      <c r="B961" s="9"/>
      <c r="C961" s="11"/>
      <c r="D961" s="9"/>
      <c r="E961" s="9"/>
      <c r="F961" s="22" t="str">
        <f aca="false">IF(E961="","",IFERROR(INDEX(02_INDICADORES!$B$2:$B$42,MATCH(E961,02_INDICADORES!$A$2:$A$42,0)),"ID?"))</f>
        <v/>
      </c>
      <c r="G961" s="21" t="str">
        <f aca="false">IF(E961="","",IFERROR(INDEX(02_INDICADORES!$C$2:$C$42,MATCH(E961,02_INDICADORES!$A$2:$A$42,0)),"ID?"))</f>
        <v/>
      </c>
      <c r="H961" s="22" t="str">
        <f aca="false">IF(E961="","",IFERROR(INDEX(02_INDICADORES!$D$2:$D$42,MATCH(E961,02_INDICADORES!$A$2:$A$42,0)),""))</f>
        <v/>
      </c>
      <c r="I961" s="9"/>
      <c r="J961" s="16" t="str">
        <f aca="false">IF(OR(I961="",H961=""),"",I961*H961)</f>
        <v/>
      </c>
      <c r="K961" s="9"/>
      <c r="L961" s="9"/>
      <c r="M961" s="9"/>
    </row>
    <row r="962" customFormat="false" ht="15" hidden="false" customHeight="false" outlineLevel="0" collapsed="false">
      <c r="A962" s="9"/>
      <c r="B962" s="9"/>
      <c r="C962" s="11"/>
      <c r="D962" s="9"/>
      <c r="E962" s="9"/>
      <c r="F962" s="22" t="str">
        <f aca="false">IF(E962="","",IFERROR(INDEX(02_INDICADORES!$B$2:$B$42,MATCH(E962,02_INDICADORES!$A$2:$A$42,0)),"ID?"))</f>
        <v/>
      </c>
      <c r="G962" s="21" t="str">
        <f aca="false">IF(E962="","",IFERROR(INDEX(02_INDICADORES!$C$2:$C$42,MATCH(E962,02_INDICADORES!$A$2:$A$42,0)),"ID?"))</f>
        <v/>
      </c>
      <c r="H962" s="22" t="str">
        <f aca="false">IF(E962="","",IFERROR(INDEX(02_INDICADORES!$D$2:$D$42,MATCH(E962,02_INDICADORES!$A$2:$A$42,0)),""))</f>
        <v/>
      </c>
      <c r="I962" s="9"/>
      <c r="J962" s="16" t="str">
        <f aca="false">IF(OR(I962="",H962=""),"",I962*H962)</f>
        <v/>
      </c>
      <c r="K962" s="9"/>
      <c r="L962" s="9"/>
      <c r="M962" s="9"/>
    </row>
    <row r="963" customFormat="false" ht="15" hidden="false" customHeight="false" outlineLevel="0" collapsed="false">
      <c r="A963" s="9"/>
      <c r="B963" s="9"/>
      <c r="C963" s="11"/>
      <c r="D963" s="9"/>
      <c r="E963" s="9"/>
      <c r="F963" s="22" t="str">
        <f aca="false">IF(E963="","",IFERROR(INDEX(02_INDICADORES!$B$2:$B$42,MATCH(E963,02_INDICADORES!$A$2:$A$42,0)),"ID?"))</f>
        <v/>
      </c>
      <c r="G963" s="21" t="str">
        <f aca="false">IF(E963="","",IFERROR(INDEX(02_INDICADORES!$C$2:$C$42,MATCH(E963,02_INDICADORES!$A$2:$A$42,0)),"ID?"))</f>
        <v/>
      </c>
      <c r="H963" s="22" t="str">
        <f aca="false">IF(E963="","",IFERROR(INDEX(02_INDICADORES!$D$2:$D$42,MATCH(E963,02_INDICADORES!$A$2:$A$42,0)),""))</f>
        <v/>
      </c>
      <c r="I963" s="9"/>
      <c r="J963" s="16" t="str">
        <f aca="false">IF(OR(I963="",H963=""),"",I963*H963)</f>
        <v/>
      </c>
      <c r="K963" s="9"/>
      <c r="L963" s="9"/>
      <c r="M963" s="9"/>
    </row>
    <row r="964" customFormat="false" ht="15" hidden="false" customHeight="false" outlineLevel="0" collapsed="false">
      <c r="A964" s="9"/>
      <c r="B964" s="9"/>
      <c r="C964" s="11"/>
      <c r="D964" s="9"/>
      <c r="E964" s="9"/>
      <c r="F964" s="22" t="str">
        <f aca="false">IF(E964="","",IFERROR(INDEX(02_INDICADORES!$B$2:$B$42,MATCH(E964,02_INDICADORES!$A$2:$A$42,0)),"ID?"))</f>
        <v/>
      </c>
      <c r="G964" s="21" t="str">
        <f aca="false">IF(E964="","",IFERROR(INDEX(02_INDICADORES!$C$2:$C$42,MATCH(E964,02_INDICADORES!$A$2:$A$42,0)),"ID?"))</f>
        <v/>
      </c>
      <c r="H964" s="22" t="str">
        <f aca="false">IF(E964="","",IFERROR(INDEX(02_INDICADORES!$D$2:$D$42,MATCH(E964,02_INDICADORES!$A$2:$A$42,0)),""))</f>
        <v/>
      </c>
      <c r="I964" s="9"/>
      <c r="J964" s="16" t="str">
        <f aca="false">IF(OR(I964="",H964=""),"",I964*H964)</f>
        <v/>
      </c>
      <c r="K964" s="9"/>
      <c r="L964" s="9"/>
      <c r="M964" s="9"/>
    </row>
    <row r="965" customFormat="false" ht="15" hidden="false" customHeight="false" outlineLevel="0" collapsed="false">
      <c r="A965" s="9"/>
      <c r="B965" s="9"/>
      <c r="C965" s="11"/>
      <c r="D965" s="9"/>
      <c r="E965" s="9"/>
      <c r="F965" s="22" t="str">
        <f aca="false">IF(E965="","",IFERROR(INDEX(02_INDICADORES!$B$2:$B$42,MATCH(E965,02_INDICADORES!$A$2:$A$42,0)),"ID?"))</f>
        <v/>
      </c>
      <c r="G965" s="21" t="str">
        <f aca="false">IF(E965="","",IFERROR(INDEX(02_INDICADORES!$C$2:$C$42,MATCH(E965,02_INDICADORES!$A$2:$A$42,0)),"ID?"))</f>
        <v/>
      </c>
      <c r="H965" s="22" t="str">
        <f aca="false">IF(E965="","",IFERROR(INDEX(02_INDICADORES!$D$2:$D$42,MATCH(E965,02_INDICADORES!$A$2:$A$42,0)),""))</f>
        <v/>
      </c>
      <c r="I965" s="9"/>
      <c r="J965" s="16" t="str">
        <f aca="false">IF(OR(I965="",H965=""),"",I965*H965)</f>
        <v/>
      </c>
      <c r="K965" s="9"/>
      <c r="L965" s="9"/>
      <c r="M965" s="9"/>
    </row>
    <row r="966" customFormat="false" ht="15" hidden="false" customHeight="false" outlineLevel="0" collapsed="false">
      <c r="A966" s="9"/>
      <c r="B966" s="9"/>
      <c r="C966" s="11"/>
      <c r="D966" s="9"/>
      <c r="E966" s="9"/>
      <c r="F966" s="22" t="str">
        <f aca="false">IF(E966="","",IFERROR(INDEX(02_INDICADORES!$B$2:$B$42,MATCH(E966,02_INDICADORES!$A$2:$A$42,0)),"ID?"))</f>
        <v/>
      </c>
      <c r="G966" s="21" t="str">
        <f aca="false">IF(E966="","",IFERROR(INDEX(02_INDICADORES!$C$2:$C$42,MATCH(E966,02_INDICADORES!$A$2:$A$42,0)),"ID?"))</f>
        <v/>
      </c>
      <c r="H966" s="22" t="str">
        <f aca="false">IF(E966="","",IFERROR(INDEX(02_INDICADORES!$D$2:$D$42,MATCH(E966,02_INDICADORES!$A$2:$A$42,0)),""))</f>
        <v/>
      </c>
      <c r="I966" s="9"/>
      <c r="J966" s="16" t="str">
        <f aca="false">IF(OR(I966="",H966=""),"",I966*H966)</f>
        <v/>
      </c>
      <c r="K966" s="9"/>
      <c r="L966" s="9"/>
      <c r="M966" s="9"/>
    </row>
    <row r="967" customFormat="false" ht="15" hidden="false" customHeight="false" outlineLevel="0" collapsed="false">
      <c r="A967" s="9"/>
      <c r="B967" s="9"/>
      <c r="C967" s="11"/>
      <c r="D967" s="9"/>
      <c r="E967" s="9"/>
      <c r="F967" s="22" t="str">
        <f aca="false">IF(E967="","",IFERROR(INDEX(02_INDICADORES!$B$2:$B$42,MATCH(E967,02_INDICADORES!$A$2:$A$42,0)),"ID?"))</f>
        <v/>
      </c>
      <c r="G967" s="21" t="str">
        <f aca="false">IF(E967="","",IFERROR(INDEX(02_INDICADORES!$C$2:$C$42,MATCH(E967,02_INDICADORES!$A$2:$A$42,0)),"ID?"))</f>
        <v/>
      </c>
      <c r="H967" s="22" t="str">
        <f aca="false">IF(E967="","",IFERROR(INDEX(02_INDICADORES!$D$2:$D$42,MATCH(E967,02_INDICADORES!$A$2:$A$42,0)),""))</f>
        <v/>
      </c>
      <c r="I967" s="9"/>
      <c r="J967" s="16" t="str">
        <f aca="false">IF(OR(I967="",H967=""),"",I967*H967)</f>
        <v/>
      </c>
      <c r="K967" s="9"/>
      <c r="L967" s="9"/>
      <c r="M967" s="9"/>
    </row>
    <row r="968" customFormat="false" ht="15" hidden="false" customHeight="false" outlineLevel="0" collapsed="false">
      <c r="A968" s="9"/>
      <c r="B968" s="9"/>
      <c r="C968" s="11"/>
      <c r="D968" s="9"/>
      <c r="E968" s="9"/>
      <c r="F968" s="22" t="str">
        <f aca="false">IF(E968="","",IFERROR(INDEX(02_INDICADORES!$B$2:$B$42,MATCH(E968,02_INDICADORES!$A$2:$A$42,0)),"ID?"))</f>
        <v/>
      </c>
      <c r="G968" s="21" t="str">
        <f aca="false">IF(E968="","",IFERROR(INDEX(02_INDICADORES!$C$2:$C$42,MATCH(E968,02_INDICADORES!$A$2:$A$42,0)),"ID?"))</f>
        <v/>
      </c>
      <c r="H968" s="22" t="str">
        <f aca="false">IF(E968="","",IFERROR(INDEX(02_INDICADORES!$D$2:$D$42,MATCH(E968,02_INDICADORES!$A$2:$A$42,0)),""))</f>
        <v/>
      </c>
      <c r="I968" s="9"/>
      <c r="J968" s="16" t="str">
        <f aca="false">IF(OR(I968="",H968=""),"",I968*H968)</f>
        <v/>
      </c>
      <c r="K968" s="9"/>
      <c r="L968" s="9"/>
      <c r="M968" s="9"/>
    </row>
    <row r="969" customFormat="false" ht="15" hidden="false" customHeight="false" outlineLevel="0" collapsed="false">
      <c r="A969" s="9"/>
      <c r="B969" s="9"/>
      <c r="C969" s="11"/>
      <c r="D969" s="9"/>
      <c r="E969" s="9"/>
      <c r="F969" s="22" t="str">
        <f aca="false">IF(E969="","",IFERROR(INDEX(02_INDICADORES!$B$2:$B$42,MATCH(E969,02_INDICADORES!$A$2:$A$42,0)),"ID?"))</f>
        <v/>
      </c>
      <c r="G969" s="21" t="str">
        <f aca="false">IF(E969="","",IFERROR(INDEX(02_INDICADORES!$C$2:$C$42,MATCH(E969,02_INDICADORES!$A$2:$A$42,0)),"ID?"))</f>
        <v/>
      </c>
      <c r="H969" s="22" t="str">
        <f aca="false">IF(E969="","",IFERROR(INDEX(02_INDICADORES!$D$2:$D$42,MATCH(E969,02_INDICADORES!$A$2:$A$42,0)),""))</f>
        <v/>
      </c>
      <c r="I969" s="9"/>
      <c r="J969" s="16" t="str">
        <f aca="false">IF(OR(I969="",H969=""),"",I969*H969)</f>
        <v/>
      </c>
      <c r="K969" s="9"/>
      <c r="L969" s="9"/>
      <c r="M969" s="9"/>
    </row>
    <row r="970" customFormat="false" ht="15" hidden="false" customHeight="false" outlineLevel="0" collapsed="false">
      <c r="A970" s="9"/>
      <c r="B970" s="9"/>
      <c r="C970" s="11"/>
      <c r="D970" s="9"/>
      <c r="E970" s="9"/>
      <c r="F970" s="22" t="str">
        <f aca="false">IF(E970="","",IFERROR(INDEX(02_INDICADORES!$B$2:$B$42,MATCH(E970,02_INDICADORES!$A$2:$A$42,0)),"ID?"))</f>
        <v/>
      </c>
      <c r="G970" s="21" t="str">
        <f aca="false">IF(E970="","",IFERROR(INDEX(02_INDICADORES!$C$2:$C$42,MATCH(E970,02_INDICADORES!$A$2:$A$42,0)),"ID?"))</f>
        <v/>
      </c>
      <c r="H970" s="22" t="str">
        <f aca="false">IF(E970="","",IFERROR(INDEX(02_INDICADORES!$D$2:$D$42,MATCH(E970,02_INDICADORES!$A$2:$A$42,0)),""))</f>
        <v/>
      </c>
      <c r="I970" s="9"/>
      <c r="J970" s="16" t="str">
        <f aca="false">IF(OR(I970="",H970=""),"",I970*H970)</f>
        <v/>
      </c>
      <c r="K970" s="9"/>
      <c r="L970" s="9"/>
      <c r="M970" s="9"/>
    </row>
    <row r="971" customFormat="false" ht="15" hidden="false" customHeight="false" outlineLevel="0" collapsed="false">
      <c r="A971" s="9"/>
      <c r="B971" s="9"/>
      <c r="C971" s="11"/>
      <c r="D971" s="9"/>
      <c r="E971" s="9"/>
      <c r="F971" s="22" t="str">
        <f aca="false">IF(E971="","",IFERROR(INDEX(02_INDICADORES!$B$2:$B$42,MATCH(E971,02_INDICADORES!$A$2:$A$42,0)),"ID?"))</f>
        <v/>
      </c>
      <c r="G971" s="21" t="str">
        <f aca="false">IF(E971="","",IFERROR(INDEX(02_INDICADORES!$C$2:$C$42,MATCH(E971,02_INDICADORES!$A$2:$A$42,0)),"ID?"))</f>
        <v/>
      </c>
      <c r="H971" s="22" t="str">
        <f aca="false">IF(E971="","",IFERROR(INDEX(02_INDICADORES!$D$2:$D$42,MATCH(E971,02_INDICADORES!$A$2:$A$42,0)),""))</f>
        <v/>
      </c>
      <c r="I971" s="9"/>
      <c r="J971" s="16" t="str">
        <f aca="false">IF(OR(I971="",H971=""),"",I971*H971)</f>
        <v/>
      </c>
      <c r="K971" s="9"/>
      <c r="L971" s="9"/>
      <c r="M971" s="9"/>
    </row>
    <row r="972" customFormat="false" ht="15" hidden="false" customHeight="false" outlineLevel="0" collapsed="false">
      <c r="A972" s="9"/>
      <c r="B972" s="9"/>
      <c r="C972" s="11"/>
      <c r="D972" s="9"/>
      <c r="E972" s="9"/>
      <c r="F972" s="22" t="str">
        <f aca="false">IF(E972="","",IFERROR(INDEX(02_INDICADORES!$B$2:$B$42,MATCH(E972,02_INDICADORES!$A$2:$A$42,0)),"ID?"))</f>
        <v/>
      </c>
      <c r="G972" s="21" t="str">
        <f aca="false">IF(E972="","",IFERROR(INDEX(02_INDICADORES!$C$2:$C$42,MATCH(E972,02_INDICADORES!$A$2:$A$42,0)),"ID?"))</f>
        <v/>
      </c>
      <c r="H972" s="22" t="str">
        <f aca="false">IF(E972="","",IFERROR(INDEX(02_INDICADORES!$D$2:$D$42,MATCH(E972,02_INDICADORES!$A$2:$A$42,0)),""))</f>
        <v/>
      </c>
      <c r="I972" s="9"/>
      <c r="J972" s="16" t="str">
        <f aca="false">IF(OR(I972="",H972=""),"",I972*H972)</f>
        <v/>
      </c>
      <c r="K972" s="9"/>
      <c r="L972" s="9"/>
      <c r="M972" s="9"/>
    </row>
    <row r="973" customFormat="false" ht="15" hidden="false" customHeight="false" outlineLevel="0" collapsed="false">
      <c r="A973" s="9"/>
      <c r="B973" s="9"/>
      <c r="C973" s="11"/>
      <c r="D973" s="9"/>
      <c r="E973" s="9"/>
      <c r="F973" s="22" t="str">
        <f aca="false">IF(E973="","",IFERROR(INDEX(02_INDICADORES!$B$2:$B$42,MATCH(E973,02_INDICADORES!$A$2:$A$42,0)),"ID?"))</f>
        <v/>
      </c>
      <c r="G973" s="21" t="str">
        <f aca="false">IF(E973="","",IFERROR(INDEX(02_INDICADORES!$C$2:$C$42,MATCH(E973,02_INDICADORES!$A$2:$A$42,0)),"ID?"))</f>
        <v/>
      </c>
      <c r="H973" s="22" t="str">
        <f aca="false">IF(E973="","",IFERROR(INDEX(02_INDICADORES!$D$2:$D$42,MATCH(E973,02_INDICADORES!$A$2:$A$42,0)),""))</f>
        <v/>
      </c>
      <c r="I973" s="9"/>
      <c r="J973" s="16" t="str">
        <f aca="false">IF(OR(I973="",H973=""),"",I973*H973)</f>
        <v/>
      </c>
      <c r="K973" s="9"/>
      <c r="L973" s="9"/>
      <c r="M973" s="9"/>
    </row>
    <row r="974" customFormat="false" ht="15" hidden="false" customHeight="false" outlineLevel="0" collapsed="false">
      <c r="A974" s="9"/>
      <c r="B974" s="9"/>
      <c r="C974" s="11"/>
      <c r="D974" s="9"/>
      <c r="E974" s="9"/>
      <c r="F974" s="22" t="str">
        <f aca="false">IF(E974="","",IFERROR(INDEX(02_INDICADORES!$B$2:$B$42,MATCH(E974,02_INDICADORES!$A$2:$A$42,0)),"ID?"))</f>
        <v/>
      </c>
      <c r="G974" s="21" t="str">
        <f aca="false">IF(E974="","",IFERROR(INDEX(02_INDICADORES!$C$2:$C$42,MATCH(E974,02_INDICADORES!$A$2:$A$42,0)),"ID?"))</f>
        <v/>
      </c>
      <c r="H974" s="22" t="str">
        <f aca="false">IF(E974="","",IFERROR(INDEX(02_INDICADORES!$D$2:$D$42,MATCH(E974,02_INDICADORES!$A$2:$A$42,0)),""))</f>
        <v/>
      </c>
      <c r="I974" s="9"/>
      <c r="J974" s="16" t="str">
        <f aca="false">IF(OR(I974="",H974=""),"",I974*H974)</f>
        <v/>
      </c>
      <c r="K974" s="9"/>
      <c r="L974" s="9"/>
      <c r="M974" s="9"/>
    </row>
    <row r="975" customFormat="false" ht="15" hidden="false" customHeight="false" outlineLevel="0" collapsed="false">
      <c r="A975" s="9"/>
      <c r="B975" s="9"/>
      <c r="C975" s="11"/>
      <c r="D975" s="9"/>
      <c r="E975" s="9"/>
      <c r="F975" s="22" t="str">
        <f aca="false">IF(E975="","",IFERROR(INDEX(02_INDICADORES!$B$2:$B$42,MATCH(E975,02_INDICADORES!$A$2:$A$42,0)),"ID?"))</f>
        <v/>
      </c>
      <c r="G975" s="21" t="str">
        <f aca="false">IF(E975="","",IFERROR(INDEX(02_INDICADORES!$C$2:$C$42,MATCH(E975,02_INDICADORES!$A$2:$A$42,0)),"ID?"))</f>
        <v/>
      </c>
      <c r="H975" s="22" t="str">
        <f aca="false">IF(E975="","",IFERROR(INDEX(02_INDICADORES!$D$2:$D$42,MATCH(E975,02_INDICADORES!$A$2:$A$42,0)),""))</f>
        <v/>
      </c>
      <c r="I975" s="9"/>
      <c r="J975" s="16" t="str">
        <f aca="false">IF(OR(I975="",H975=""),"",I975*H975)</f>
        <v/>
      </c>
      <c r="K975" s="9"/>
      <c r="L975" s="9"/>
      <c r="M975" s="9"/>
    </row>
    <row r="976" customFormat="false" ht="15" hidden="false" customHeight="false" outlineLevel="0" collapsed="false">
      <c r="A976" s="9"/>
      <c r="B976" s="9"/>
      <c r="C976" s="11"/>
      <c r="D976" s="9"/>
      <c r="E976" s="9"/>
      <c r="F976" s="22" t="str">
        <f aca="false">IF(E976="","",IFERROR(INDEX(02_INDICADORES!$B$2:$B$42,MATCH(E976,02_INDICADORES!$A$2:$A$42,0)),"ID?"))</f>
        <v/>
      </c>
      <c r="G976" s="21" t="str">
        <f aca="false">IF(E976="","",IFERROR(INDEX(02_INDICADORES!$C$2:$C$42,MATCH(E976,02_INDICADORES!$A$2:$A$42,0)),"ID?"))</f>
        <v/>
      </c>
      <c r="H976" s="22" t="str">
        <f aca="false">IF(E976="","",IFERROR(INDEX(02_INDICADORES!$D$2:$D$42,MATCH(E976,02_INDICADORES!$A$2:$A$42,0)),""))</f>
        <v/>
      </c>
      <c r="I976" s="9"/>
      <c r="J976" s="16" t="str">
        <f aca="false">IF(OR(I976="",H976=""),"",I976*H976)</f>
        <v/>
      </c>
      <c r="K976" s="9"/>
      <c r="L976" s="9"/>
      <c r="M976" s="9"/>
    </row>
    <row r="977" customFormat="false" ht="15" hidden="false" customHeight="false" outlineLevel="0" collapsed="false">
      <c r="A977" s="9"/>
      <c r="B977" s="9"/>
      <c r="C977" s="11"/>
      <c r="D977" s="9"/>
      <c r="E977" s="9"/>
      <c r="F977" s="22" t="str">
        <f aca="false">IF(E977="","",IFERROR(INDEX(02_INDICADORES!$B$2:$B$42,MATCH(E977,02_INDICADORES!$A$2:$A$42,0)),"ID?"))</f>
        <v/>
      </c>
      <c r="G977" s="21" t="str">
        <f aca="false">IF(E977="","",IFERROR(INDEX(02_INDICADORES!$C$2:$C$42,MATCH(E977,02_INDICADORES!$A$2:$A$42,0)),"ID?"))</f>
        <v/>
      </c>
      <c r="H977" s="22" t="str">
        <f aca="false">IF(E977="","",IFERROR(INDEX(02_INDICADORES!$D$2:$D$42,MATCH(E977,02_INDICADORES!$A$2:$A$42,0)),""))</f>
        <v/>
      </c>
      <c r="I977" s="9"/>
      <c r="J977" s="16" t="str">
        <f aca="false">IF(OR(I977="",H977=""),"",I977*H977)</f>
        <v/>
      </c>
      <c r="K977" s="9"/>
      <c r="L977" s="9"/>
      <c r="M977" s="9"/>
    </row>
    <row r="978" customFormat="false" ht="15" hidden="false" customHeight="false" outlineLevel="0" collapsed="false">
      <c r="A978" s="9"/>
      <c r="B978" s="9"/>
      <c r="C978" s="11"/>
      <c r="D978" s="9"/>
      <c r="E978" s="9"/>
      <c r="F978" s="22" t="str">
        <f aca="false">IF(E978="","",IFERROR(INDEX(02_INDICADORES!$B$2:$B$42,MATCH(E978,02_INDICADORES!$A$2:$A$42,0)),"ID?"))</f>
        <v/>
      </c>
      <c r="G978" s="21" t="str">
        <f aca="false">IF(E978="","",IFERROR(INDEX(02_INDICADORES!$C$2:$C$42,MATCH(E978,02_INDICADORES!$A$2:$A$42,0)),"ID?"))</f>
        <v/>
      </c>
      <c r="H978" s="22" t="str">
        <f aca="false">IF(E978="","",IFERROR(INDEX(02_INDICADORES!$D$2:$D$42,MATCH(E978,02_INDICADORES!$A$2:$A$42,0)),""))</f>
        <v/>
      </c>
      <c r="I978" s="9"/>
      <c r="J978" s="16" t="str">
        <f aca="false">IF(OR(I978="",H978=""),"",I978*H978)</f>
        <v/>
      </c>
      <c r="K978" s="9"/>
      <c r="L978" s="9"/>
      <c r="M978" s="9"/>
    </row>
    <row r="979" customFormat="false" ht="15" hidden="false" customHeight="false" outlineLevel="0" collapsed="false">
      <c r="A979" s="9"/>
      <c r="B979" s="9"/>
      <c r="C979" s="11"/>
      <c r="D979" s="9"/>
      <c r="E979" s="9"/>
      <c r="F979" s="22" t="str">
        <f aca="false">IF(E979="","",IFERROR(INDEX(02_INDICADORES!$B$2:$B$42,MATCH(E979,02_INDICADORES!$A$2:$A$42,0)),"ID?"))</f>
        <v/>
      </c>
      <c r="G979" s="21" t="str">
        <f aca="false">IF(E979="","",IFERROR(INDEX(02_INDICADORES!$C$2:$C$42,MATCH(E979,02_INDICADORES!$A$2:$A$42,0)),"ID?"))</f>
        <v/>
      </c>
      <c r="H979" s="22" t="str">
        <f aca="false">IF(E979="","",IFERROR(INDEX(02_INDICADORES!$D$2:$D$42,MATCH(E979,02_INDICADORES!$A$2:$A$42,0)),""))</f>
        <v/>
      </c>
      <c r="I979" s="9"/>
      <c r="J979" s="16" t="str">
        <f aca="false">IF(OR(I979="",H979=""),"",I979*H979)</f>
        <v/>
      </c>
      <c r="K979" s="9"/>
      <c r="L979" s="9"/>
      <c r="M979" s="9"/>
    </row>
    <row r="980" customFormat="false" ht="15" hidden="false" customHeight="false" outlineLevel="0" collapsed="false">
      <c r="A980" s="9"/>
      <c r="B980" s="9"/>
      <c r="C980" s="11"/>
      <c r="D980" s="9"/>
      <c r="E980" s="9"/>
      <c r="F980" s="22" t="str">
        <f aca="false">IF(E980="","",IFERROR(INDEX(02_INDICADORES!$B$2:$B$42,MATCH(E980,02_INDICADORES!$A$2:$A$42,0)),"ID?"))</f>
        <v/>
      </c>
      <c r="G980" s="21" t="str">
        <f aca="false">IF(E980="","",IFERROR(INDEX(02_INDICADORES!$C$2:$C$42,MATCH(E980,02_INDICADORES!$A$2:$A$42,0)),"ID?"))</f>
        <v/>
      </c>
      <c r="H980" s="22" t="str">
        <f aca="false">IF(E980="","",IFERROR(INDEX(02_INDICADORES!$D$2:$D$42,MATCH(E980,02_INDICADORES!$A$2:$A$42,0)),""))</f>
        <v/>
      </c>
      <c r="I980" s="9"/>
      <c r="J980" s="16" t="str">
        <f aca="false">IF(OR(I980="",H980=""),"",I980*H980)</f>
        <v/>
      </c>
      <c r="K980" s="9"/>
      <c r="L980" s="9"/>
      <c r="M980" s="9"/>
    </row>
    <row r="981" customFormat="false" ht="15" hidden="false" customHeight="false" outlineLevel="0" collapsed="false">
      <c r="A981" s="9"/>
      <c r="B981" s="9"/>
      <c r="C981" s="11"/>
      <c r="D981" s="9"/>
      <c r="E981" s="9"/>
      <c r="F981" s="22" t="str">
        <f aca="false">IF(E981="","",IFERROR(INDEX(02_INDICADORES!$B$2:$B$42,MATCH(E981,02_INDICADORES!$A$2:$A$42,0)),"ID?"))</f>
        <v/>
      </c>
      <c r="G981" s="21" t="str">
        <f aca="false">IF(E981="","",IFERROR(INDEX(02_INDICADORES!$C$2:$C$42,MATCH(E981,02_INDICADORES!$A$2:$A$42,0)),"ID?"))</f>
        <v/>
      </c>
      <c r="H981" s="22" t="str">
        <f aca="false">IF(E981="","",IFERROR(INDEX(02_INDICADORES!$D$2:$D$42,MATCH(E981,02_INDICADORES!$A$2:$A$42,0)),""))</f>
        <v/>
      </c>
      <c r="I981" s="9"/>
      <c r="J981" s="16" t="str">
        <f aca="false">IF(OR(I981="",H981=""),"",I981*H981)</f>
        <v/>
      </c>
      <c r="K981" s="9"/>
      <c r="L981" s="9"/>
      <c r="M981" s="9"/>
    </row>
    <row r="982" customFormat="false" ht="15" hidden="false" customHeight="false" outlineLevel="0" collapsed="false">
      <c r="A982" s="9"/>
      <c r="B982" s="9"/>
      <c r="C982" s="11"/>
      <c r="D982" s="9"/>
      <c r="E982" s="9"/>
      <c r="F982" s="22" t="str">
        <f aca="false">IF(E982="","",IFERROR(INDEX(02_INDICADORES!$B$2:$B$42,MATCH(E982,02_INDICADORES!$A$2:$A$42,0)),"ID?"))</f>
        <v/>
      </c>
      <c r="G982" s="21" t="str">
        <f aca="false">IF(E982="","",IFERROR(INDEX(02_INDICADORES!$C$2:$C$42,MATCH(E982,02_INDICADORES!$A$2:$A$42,0)),"ID?"))</f>
        <v/>
      </c>
      <c r="H982" s="22" t="str">
        <f aca="false">IF(E982="","",IFERROR(INDEX(02_INDICADORES!$D$2:$D$42,MATCH(E982,02_INDICADORES!$A$2:$A$42,0)),""))</f>
        <v/>
      </c>
      <c r="I982" s="9"/>
      <c r="J982" s="16" t="str">
        <f aca="false">IF(OR(I982="",H982=""),"",I982*H982)</f>
        <v/>
      </c>
      <c r="K982" s="9"/>
      <c r="L982" s="9"/>
      <c r="M982" s="9"/>
    </row>
    <row r="983" customFormat="false" ht="15" hidden="false" customHeight="false" outlineLevel="0" collapsed="false">
      <c r="A983" s="9"/>
      <c r="B983" s="9"/>
      <c r="C983" s="11"/>
      <c r="D983" s="9"/>
      <c r="E983" s="9"/>
      <c r="F983" s="22" t="str">
        <f aca="false">IF(E983="","",IFERROR(INDEX(02_INDICADORES!$B$2:$B$42,MATCH(E983,02_INDICADORES!$A$2:$A$42,0)),"ID?"))</f>
        <v/>
      </c>
      <c r="G983" s="21" t="str">
        <f aca="false">IF(E983="","",IFERROR(INDEX(02_INDICADORES!$C$2:$C$42,MATCH(E983,02_INDICADORES!$A$2:$A$42,0)),"ID?"))</f>
        <v/>
      </c>
      <c r="H983" s="22" t="str">
        <f aca="false">IF(E983="","",IFERROR(INDEX(02_INDICADORES!$D$2:$D$42,MATCH(E983,02_INDICADORES!$A$2:$A$42,0)),""))</f>
        <v/>
      </c>
      <c r="I983" s="9"/>
      <c r="J983" s="16" t="str">
        <f aca="false">IF(OR(I983="",H983=""),"",I983*H983)</f>
        <v/>
      </c>
      <c r="K983" s="9"/>
      <c r="L983" s="9"/>
      <c r="M983" s="9"/>
    </row>
    <row r="984" customFormat="false" ht="15" hidden="false" customHeight="false" outlineLevel="0" collapsed="false">
      <c r="A984" s="9"/>
      <c r="B984" s="9"/>
      <c r="C984" s="11"/>
      <c r="D984" s="9"/>
      <c r="E984" s="9"/>
      <c r="F984" s="22" t="str">
        <f aca="false">IF(E984="","",IFERROR(INDEX(02_INDICADORES!$B$2:$B$42,MATCH(E984,02_INDICADORES!$A$2:$A$42,0)),"ID?"))</f>
        <v/>
      </c>
      <c r="G984" s="21" t="str">
        <f aca="false">IF(E984="","",IFERROR(INDEX(02_INDICADORES!$C$2:$C$42,MATCH(E984,02_INDICADORES!$A$2:$A$42,0)),"ID?"))</f>
        <v/>
      </c>
      <c r="H984" s="22" t="str">
        <f aca="false">IF(E984="","",IFERROR(INDEX(02_INDICADORES!$D$2:$D$42,MATCH(E984,02_INDICADORES!$A$2:$A$42,0)),""))</f>
        <v/>
      </c>
      <c r="I984" s="9"/>
      <c r="J984" s="16" t="str">
        <f aca="false">IF(OR(I984="",H984=""),"",I984*H984)</f>
        <v/>
      </c>
      <c r="K984" s="9"/>
      <c r="L984" s="9"/>
      <c r="M984" s="9"/>
    </row>
    <row r="985" customFormat="false" ht="15" hidden="false" customHeight="false" outlineLevel="0" collapsed="false">
      <c r="A985" s="9"/>
      <c r="B985" s="9"/>
      <c r="C985" s="11"/>
      <c r="D985" s="9"/>
      <c r="E985" s="9"/>
      <c r="F985" s="22" t="str">
        <f aca="false">IF(E985="","",IFERROR(INDEX(02_INDICADORES!$B$2:$B$42,MATCH(E985,02_INDICADORES!$A$2:$A$42,0)),"ID?"))</f>
        <v/>
      </c>
      <c r="G985" s="21" t="str">
        <f aca="false">IF(E985="","",IFERROR(INDEX(02_INDICADORES!$C$2:$C$42,MATCH(E985,02_INDICADORES!$A$2:$A$42,0)),"ID?"))</f>
        <v/>
      </c>
      <c r="H985" s="22" t="str">
        <f aca="false">IF(E985="","",IFERROR(INDEX(02_INDICADORES!$D$2:$D$42,MATCH(E985,02_INDICADORES!$A$2:$A$42,0)),""))</f>
        <v/>
      </c>
      <c r="I985" s="9"/>
      <c r="J985" s="16" t="str">
        <f aca="false">IF(OR(I985="",H985=""),"",I985*H985)</f>
        <v/>
      </c>
      <c r="K985" s="9"/>
      <c r="L985" s="9"/>
      <c r="M985" s="9"/>
    </row>
    <row r="986" customFormat="false" ht="15" hidden="false" customHeight="false" outlineLevel="0" collapsed="false">
      <c r="A986" s="9"/>
      <c r="B986" s="9"/>
      <c r="C986" s="11"/>
      <c r="D986" s="9"/>
      <c r="E986" s="9"/>
      <c r="F986" s="22" t="str">
        <f aca="false">IF(E986="","",IFERROR(INDEX(02_INDICADORES!$B$2:$B$42,MATCH(E986,02_INDICADORES!$A$2:$A$42,0)),"ID?"))</f>
        <v/>
      </c>
      <c r="G986" s="21" t="str">
        <f aca="false">IF(E986="","",IFERROR(INDEX(02_INDICADORES!$C$2:$C$42,MATCH(E986,02_INDICADORES!$A$2:$A$42,0)),"ID?"))</f>
        <v/>
      </c>
      <c r="H986" s="22" t="str">
        <f aca="false">IF(E986="","",IFERROR(INDEX(02_INDICADORES!$D$2:$D$42,MATCH(E986,02_INDICADORES!$A$2:$A$42,0)),""))</f>
        <v/>
      </c>
      <c r="I986" s="9"/>
      <c r="J986" s="16" t="str">
        <f aca="false">IF(OR(I986="",H986=""),"",I986*H986)</f>
        <v/>
      </c>
      <c r="K986" s="9"/>
      <c r="L986" s="9"/>
      <c r="M986" s="9"/>
    </row>
    <row r="987" customFormat="false" ht="15" hidden="false" customHeight="false" outlineLevel="0" collapsed="false">
      <c r="A987" s="9"/>
      <c r="B987" s="9"/>
      <c r="C987" s="11"/>
      <c r="D987" s="9"/>
      <c r="E987" s="9"/>
      <c r="F987" s="22" t="str">
        <f aca="false">IF(E987="","",IFERROR(INDEX(02_INDICADORES!$B$2:$B$42,MATCH(E987,02_INDICADORES!$A$2:$A$42,0)),"ID?"))</f>
        <v/>
      </c>
      <c r="G987" s="21" t="str">
        <f aca="false">IF(E987="","",IFERROR(INDEX(02_INDICADORES!$C$2:$C$42,MATCH(E987,02_INDICADORES!$A$2:$A$42,0)),"ID?"))</f>
        <v/>
      </c>
      <c r="H987" s="22" t="str">
        <f aca="false">IF(E987="","",IFERROR(INDEX(02_INDICADORES!$D$2:$D$42,MATCH(E987,02_INDICADORES!$A$2:$A$42,0)),""))</f>
        <v/>
      </c>
      <c r="I987" s="9"/>
      <c r="J987" s="16" t="str">
        <f aca="false">IF(OR(I987="",H987=""),"",I987*H987)</f>
        <v/>
      </c>
      <c r="K987" s="9"/>
      <c r="L987" s="9"/>
      <c r="M987" s="9"/>
    </row>
    <row r="988" customFormat="false" ht="15" hidden="false" customHeight="false" outlineLevel="0" collapsed="false">
      <c r="A988" s="9"/>
      <c r="B988" s="9"/>
      <c r="C988" s="11"/>
      <c r="D988" s="9"/>
      <c r="E988" s="9"/>
      <c r="F988" s="22" t="str">
        <f aca="false">IF(E988="","",IFERROR(INDEX(02_INDICADORES!$B$2:$B$42,MATCH(E988,02_INDICADORES!$A$2:$A$42,0)),"ID?"))</f>
        <v/>
      </c>
      <c r="G988" s="21" t="str">
        <f aca="false">IF(E988="","",IFERROR(INDEX(02_INDICADORES!$C$2:$C$42,MATCH(E988,02_INDICADORES!$A$2:$A$42,0)),"ID?"))</f>
        <v/>
      </c>
      <c r="H988" s="22" t="str">
        <f aca="false">IF(E988="","",IFERROR(INDEX(02_INDICADORES!$D$2:$D$42,MATCH(E988,02_INDICADORES!$A$2:$A$42,0)),""))</f>
        <v/>
      </c>
      <c r="I988" s="9"/>
      <c r="J988" s="16" t="str">
        <f aca="false">IF(OR(I988="",H988=""),"",I988*H988)</f>
        <v/>
      </c>
      <c r="K988" s="9"/>
      <c r="L988" s="9"/>
      <c r="M988" s="9"/>
    </row>
    <row r="989" customFormat="false" ht="15" hidden="false" customHeight="false" outlineLevel="0" collapsed="false">
      <c r="A989" s="9"/>
      <c r="B989" s="9"/>
      <c r="C989" s="11"/>
      <c r="D989" s="9"/>
      <c r="E989" s="9"/>
      <c r="F989" s="22" t="str">
        <f aca="false">IF(E989="","",IFERROR(INDEX(02_INDICADORES!$B$2:$B$42,MATCH(E989,02_INDICADORES!$A$2:$A$42,0)),"ID?"))</f>
        <v/>
      </c>
      <c r="G989" s="21" t="str">
        <f aca="false">IF(E989="","",IFERROR(INDEX(02_INDICADORES!$C$2:$C$42,MATCH(E989,02_INDICADORES!$A$2:$A$42,0)),"ID?"))</f>
        <v/>
      </c>
      <c r="H989" s="22" t="str">
        <f aca="false">IF(E989="","",IFERROR(INDEX(02_INDICADORES!$D$2:$D$42,MATCH(E989,02_INDICADORES!$A$2:$A$42,0)),""))</f>
        <v/>
      </c>
      <c r="I989" s="9"/>
      <c r="J989" s="16" t="str">
        <f aca="false">IF(OR(I989="",H989=""),"",I989*H989)</f>
        <v/>
      </c>
      <c r="K989" s="9"/>
      <c r="L989" s="9"/>
      <c r="M989" s="9"/>
    </row>
    <row r="990" customFormat="false" ht="15" hidden="false" customHeight="false" outlineLevel="0" collapsed="false">
      <c r="A990" s="9"/>
      <c r="B990" s="9"/>
      <c r="C990" s="11"/>
      <c r="D990" s="9"/>
      <c r="E990" s="9"/>
      <c r="F990" s="22" t="str">
        <f aca="false">IF(E990="","",IFERROR(INDEX(02_INDICADORES!$B$2:$B$42,MATCH(E990,02_INDICADORES!$A$2:$A$42,0)),"ID?"))</f>
        <v/>
      </c>
      <c r="G990" s="21" t="str">
        <f aca="false">IF(E990="","",IFERROR(INDEX(02_INDICADORES!$C$2:$C$42,MATCH(E990,02_INDICADORES!$A$2:$A$42,0)),"ID?"))</f>
        <v/>
      </c>
      <c r="H990" s="22" t="str">
        <f aca="false">IF(E990="","",IFERROR(INDEX(02_INDICADORES!$D$2:$D$42,MATCH(E990,02_INDICADORES!$A$2:$A$42,0)),""))</f>
        <v/>
      </c>
      <c r="I990" s="9"/>
      <c r="J990" s="16" t="str">
        <f aca="false">IF(OR(I990="",H990=""),"",I990*H990)</f>
        <v/>
      </c>
      <c r="K990" s="9"/>
      <c r="L990" s="9"/>
      <c r="M990" s="9"/>
    </row>
    <row r="991" customFormat="false" ht="15" hidden="false" customHeight="false" outlineLevel="0" collapsed="false">
      <c r="A991" s="9"/>
      <c r="B991" s="9"/>
      <c r="C991" s="11"/>
      <c r="D991" s="9"/>
      <c r="E991" s="9"/>
      <c r="F991" s="22" t="str">
        <f aca="false">IF(E991="","",IFERROR(INDEX(02_INDICADORES!$B$2:$B$42,MATCH(E991,02_INDICADORES!$A$2:$A$42,0)),"ID?"))</f>
        <v/>
      </c>
      <c r="G991" s="21" t="str">
        <f aca="false">IF(E991="","",IFERROR(INDEX(02_INDICADORES!$C$2:$C$42,MATCH(E991,02_INDICADORES!$A$2:$A$42,0)),"ID?"))</f>
        <v/>
      </c>
      <c r="H991" s="22" t="str">
        <f aca="false">IF(E991="","",IFERROR(INDEX(02_INDICADORES!$D$2:$D$42,MATCH(E991,02_INDICADORES!$A$2:$A$42,0)),""))</f>
        <v/>
      </c>
      <c r="I991" s="9"/>
      <c r="J991" s="16" t="str">
        <f aca="false">IF(OR(I991="",H991=""),"",I991*H991)</f>
        <v/>
      </c>
      <c r="K991" s="9"/>
      <c r="L991" s="9"/>
      <c r="M991" s="9"/>
    </row>
    <row r="992" customFormat="false" ht="15" hidden="false" customHeight="false" outlineLevel="0" collapsed="false">
      <c r="A992" s="9"/>
      <c r="B992" s="9"/>
      <c r="C992" s="11"/>
      <c r="D992" s="9"/>
      <c r="E992" s="9"/>
      <c r="F992" s="22" t="str">
        <f aca="false">IF(E992="","",IFERROR(INDEX(02_INDICADORES!$B$2:$B$42,MATCH(E992,02_INDICADORES!$A$2:$A$42,0)),"ID?"))</f>
        <v/>
      </c>
      <c r="G992" s="21" t="str">
        <f aca="false">IF(E992="","",IFERROR(INDEX(02_INDICADORES!$C$2:$C$42,MATCH(E992,02_INDICADORES!$A$2:$A$42,0)),"ID?"))</f>
        <v/>
      </c>
      <c r="H992" s="22" t="str">
        <f aca="false">IF(E992="","",IFERROR(INDEX(02_INDICADORES!$D$2:$D$42,MATCH(E992,02_INDICADORES!$A$2:$A$42,0)),""))</f>
        <v/>
      </c>
      <c r="I992" s="9"/>
      <c r="J992" s="16" t="str">
        <f aca="false">IF(OR(I992="",H992=""),"",I992*H992)</f>
        <v/>
      </c>
      <c r="K992" s="9"/>
      <c r="L992" s="9"/>
      <c r="M992" s="9"/>
    </row>
    <row r="993" customFormat="false" ht="15" hidden="false" customHeight="false" outlineLevel="0" collapsed="false">
      <c r="A993" s="9"/>
      <c r="B993" s="9"/>
      <c r="C993" s="11"/>
      <c r="D993" s="9"/>
      <c r="E993" s="9"/>
      <c r="F993" s="22" t="str">
        <f aca="false">IF(E993="","",IFERROR(INDEX(02_INDICADORES!$B$2:$B$42,MATCH(E993,02_INDICADORES!$A$2:$A$42,0)),"ID?"))</f>
        <v/>
      </c>
      <c r="G993" s="21" t="str">
        <f aca="false">IF(E993="","",IFERROR(INDEX(02_INDICADORES!$C$2:$C$42,MATCH(E993,02_INDICADORES!$A$2:$A$42,0)),"ID?"))</f>
        <v/>
      </c>
      <c r="H993" s="22" t="str">
        <f aca="false">IF(E993="","",IFERROR(INDEX(02_INDICADORES!$D$2:$D$42,MATCH(E993,02_INDICADORES!$A$2:$A$42,0)),""))</f>
        <v/>
      </c>
      <c r="I993" s="9"/>
      <c r="J993" s="16" t="str">
        <f aca="false">IF(OR(I993="",H993=""),"",I993*H993)</f>
        <v/>
      </c>
      <c r="K993" s="9"/>
      <c r="L993" s="9"/>
      <c r="M993" s="9"/>
    </row>
    <row r="994" customFormat="false" ht="15" hidden="false" customHeight="false" outlineLevel="0" collapsed="false">
      <c r="A994" s="9"/>
      <c r="B994" s="9"/>
      <c r="C994" s="11"/>
      <c r="D994" s="9"/>
      <c r="E994" s="9"/>
      <c r="F994" s="22" t="str">
        <f aca="false">IF(E994="","",IFERROR(INDEX(02_INDICADORES!$B$2:$B$42,MATCH(E994,02_INDICADORES!$A$2:$A$42,0)),"ID?"))</f>
        <v/>
      </c>
      <c r="G994" s="21" t="str">
        <f aca="false">IF(E994="","",IFERROR(INDEX(02_INDICADORES!$C$2:$C$42,MATCH(E994,02_INDICADORES!$A$2:$A$42,0)),"ID?"))</f>
        <v/>
      </c>
      <c r="H994" s="22" t="str">
        <f aca="false">IF(E994="","",IFERROR(INDEX(02_INDICADORES!$D$2:$D$42,MATCH(E994,02_INDICADORES!$A$2:$A$42,0)),""))</f>
        <v/>
      </c>
      <c r="I994" s="9"/>
      <c r="J994" s="16" t="str">
        <f aca="false">IF(OR(I994="",H994=""),"",I994*H994)</f>
        <v/>
      </c>
      <c r="K994" s="9"/>
      <c r="L994" s="9"/>
      <c r="M994" s="9"/>
    </row>
    <row r="995" customFormat="false" ht="15" hidden="false" customHeight="false" outlineLevel="0" collapsed="false">
      <c r="A995" s="9"/>
      <c r="B995" s="9"/>
      <c r="C995" s="11"/>
      <c r="D995" s="9"/>
      <c r="E995" s="9"/>
      <c r="F995" s="22" t="str">
        <f aca="false">IF(E995="","",IFERROR(INDEX(02_INDICADORES!$B$2:$B$42,MATCH(E995,02_INDICADORES!$A$2:$A$42,0)),"ID?"))</f>
        <v/>
      </c>
      <c r="G995" s="21" t="str">
        <f aca="false">IF(E995="","",IFERROR(INDEX(02_INDICADORES!$C$2:$C$42,MATCH(E995,02_INDICADORES!$A$2:$A$42,0)),"ID?"))</f>
        <v/>
      </c>
      <c r="H995" s="22" t="str">
        <f aca="false">IF(E995="","",IFERROR(INDEX(02_INDICADORES!$D$2:$D$42,MATCH(E995,02_INDICADORES!$A$2:$A$42,0)),""))</f>
        <v/>
      </c>
      <c r="I995" s="9"/>
      <c r="J995" s="16" t="str">
        <f aca="false">IF(OR(I995="",H995=""),"",I995*H995)</f>
        <v/>
      </c>
      <c r="K995" s="9"/>
      <c r="L995" s="9"/>
      <c r="M995" s="9"/>
    </row>
    <row r="996" customFormat="false" ht="15" hidden="false" customHeight="false" outlineLevel="0" collapsed="false">
      <c r="A996" s="9"/>
      <c r="B996" s="9"/>
      <c r="C996" s="11"/>
      <c r="D996" s="9"/>
      <c r="E996" s="9"/>
      <c r="F996" s="22" t="str">
        <f aca="false">IF(E996="","",IFERROR(INDEX(02_INDICADORES!$B$2:$B$42,MATCH(E996,02_INDICADORES!$A$2:$A$42,0)),"ID?"))</f>
        <v/>
      </c>
      <c r="G996" s="21" t="str">
        <f aca="false">IF(E996="","",IFERROR(INDEX(02_INDICADORES!$C$2:$C$42,MATCH(E996,02_INDICADORES!$A$2:$A$42,0)),"ID?"))</f>
        <v/>
      </c>
      <c r="H996" s="22" t="str">
        <f aca="false">IF(E996="","",IFERROR(INDEX(02_INDICADORES!$D$2:$D$42,MATCH(E996,02_INDICADORES!$A$2:$A$42,0)),""))</f>
        <v/>
      </c>
      <c r="I996" s="9"/>
      <c r="J996" s="16" t="str">
        <f aca="false">IF(OR(I996="",H996=""),"",I996*H996)</f>
        <v/>
      </c>
      <c r="K996" s="9"/>
      <c r="L996" s="9"/>
      <c r="M996" s="9"/>
    </row>
    <row r="997" customFormat="false" ht="15" hidden="false" customHeight="false" outlineLevel="0" collapsed="false">
      <c r="A997" s="9"/>
      <c r="B997" s="9"/>
      <c r="C997" s="11"/>
      <c r="D997" s="9"/>
      <c r="E997" s="9"/>
      <c r="F997" s="22" t="str">
        <f aca="false">IF(E997="","",IFERROR(INDEX(02_INDICADORES!$B$2:$B$42,MATCH(E997,02_INDICADORES!$A$2:$A$42,0)),"ID?"))</f>
        <v/>
      </c>
      <c r="G997" s="21" t="str">
        <f aca="false">IF(E997="","",IFERROR(INDEX(02_INDICADORES!$C$2:$C$42,MATCH(E997,02_INDICADORES!$A$2:$A$42,0)),"ID?"))</f>
        <v/>
      </c>
      <c r="H997" s="22" t="str">
        <f aca="false">IF(E997="","",IFERROR(INDEX(02_INDICADORES!$D$2:$D$42,MATCH(E997,02_INDICADORES!$A$2:$A$42,0)),""))</f>
        <v/>
      </c>
      <c r="I997" s="9"/>
      <c r="J997" s="16" t="str">
        <f aca="false">IF(OR(I997="",H997=""),"",I997*H997)</f>
        <v/>
      </c>
      <c r="K997" s="9"/>
      <c r="L997" s="9"/>
      <c r="M997" s="9"/>
    </row>
    <row r="998" customFormat="false" ht="15" hidden="false" customHeight="false" outlineLevel="0" collapsed="false">
      <c r="A998" s="9"/>
      <c r="B998" s="9"/>
      <c r="C998" s="11"/>
      <c r="D998" s="9"/>
      <c r="E998" s="9"/>
      <c r="F998" s="22" t="str">
        <f aca="false">IF(E998="","",IFERROR(INDEX(02_INDICADORES!$B$2:$B$42,MATCH(E998,02_INDICADORES!$A$2:$A$42,0)),"ID?"))</f>
        <v/>
      </c>
      <c r="G998" s="21" t="str">
        <f aca="false">IF(E998="","",IFERROR(INDEX(02_INDICADORES!$C$2:$C$42,MATCH(E998,02_INDICADORES!$A$2:$A$42,0)),"ID?"))</f>
        <v/>
      </c>
      <c r="H998" s="22" t="str">
        <f aca="false">IF(E998="","",IFERROR(INDEX(02_INDICADORES!$D$2:$D$42,MATCH(E998,02_INDICADORES!$A$2:$A$42,0)),""))</f>
        <v/>
      </c>
      <c r="I998" s="9"/>
      <c r="J998" s="16" t="str">
        <f aca="false">IF(OR(I998="",H998=""),"",I998*H998)</f>
        <v/>
      </c>
      <c r="K998" s="9"/>
      <c r="L998" s="9"/>
      <c r="M998" s="9"/>
    </row>
    <row r="999" customFormat="false" ht="15" hidden="false" customHeight="false" outlineLevel="0" collapsed="false">
      <c r="A999" s="9"/>
      <c r="B999" s="9"/>
      <c r="C999" s="11"/>
      <c r="D999" s="9"/>
      <c r="E999" s="9"/>
      <c r="F999" s="22" t="str">
        <f aca="false">IF(E999="","",IFERROR(INDEX(02_INDICADORES!$B$2:$B$42,MATCH(E999,02_INDICADORES!$A$2:$A$42,0)),"ID?"))</f>
        <v/>
      </c>
      <c r="G999" s="21" t="str">
        <f aca="false">IF(E999="","",IFERROR(INDEX(02_INDICADORES!$C$2:$C$42,MATCH(E999,02_INDICADORES!$A$2:$A$42,0)),"ID?"))</f>
        <v/>
      </c>
      <c r="H999" s="22" t="str">
        <f aca="false">IF(E999="","",IFERROR(INDEX(02_INDICADORES!$D$2:$D$42,MATCH(E999,02_INDICADORES!$A$2:$A$42,0)),""))</f>
        <v/>
      </c>
      <c r="I999" s="9"/>
      <c r="J999" s="16" t="str">
        <f aca="false">IF(OR(I999="",H999=""),"",I999*H999)</f>
        <v/>
      </c>
      <c r="K999" s="9"/>
      <c r="L999" s="9"/>
      <c r="M999" s="9"/>
    </row>
    <row r="1000" customFormat="false" ht="15" hidden="false" customHeight="false" outlineLevel="0" collapsed="false">
      <c r="A1000" s="9"/>
      <c r="B1000" s="9"/>
      <c r="C1000" s="11"/>
      <c r="D1000" s="9"/>
      <c r="E1000" s="9"/>
      <c r="F1000" s="22" t="str">
        <f aca="false">IF(E1000="","",IFERROR(INDEX(02_INDICADORES!$B$2:$B$42,MATCH(E1000,02_INDICADORES!$A$2:$A$42,0)),"ID?"))</f>
        <v/>
      </c>
      <c r="G1000" s="21" t="str">
        <f aca="false">IF(E1000="","",IFERROR(INDEX(02_INDICADORES!$C$2:$C$42,MATCH(E1000,02_INDICADORES!$A$2:$A$42,0)),"ID?"))</f>
        <v/>
      </c>
      <c r="H1000" s="22" t="str">
        <f aca="false">IF(E1000="","",IFERROR(INDEX(02_INDICADORES!$D$2:$D$42,MATCH(E1000,02_INDICADORES!$A$2:$A$42,0)),""))</f>
        <v/>
      </c>
      <c r="I1000" s="9"/>
      <c r="J1000" s="16" t="str">
        <f aca="false">IF(OR(I1000="",H1000=""),"",I1000*H1000)</f>
        <v/>
      </c>
      <c r="K1000" s="9"/>
      <c r="L1000" s="9"/>
      <c r="M1000" s="9"/>
    </row>
    <row r="1001" customFormat="false" ht="15" hidden="false" customHeight="false" outlineLevel="0" collapsed="false">
      <c r="A1001" s="9"/>
      <c r="B1001" s="9"/>
      <c r="C1001" s="11"/>
      <c r="D1001" s="9"/>
      <c r="E1001" s="9"/>
      <c r="F1001" s="22" t="str">
        <f aca="false">IF(E1001="","",IFERROR(INDEX(02_INDICADORES!$B$2:$B$42,MATCH(E1001,02_INDICADORES!$A$2:$A$42,0)),"ID?"))</f>
        <v/>
      </c>
      <c r="G1001" s="21" t="str">
        <f aca="false">IF(E1001="","",IFERROR(INDEX(02_INDICADORES!$C$2:$C$42,MATCH(E1001,02_INDICADORES!$A$2:$A$42,0)),"ID?"))</f>
        <v/>
      </c>
      <c r="H1001" s="22" t="str">
        <f aca="false">IF(E1001="","",IFERROR(INDEX(02_INDICADORES!$D$2:$D$42,MATCH(E1001,02_INDICADORES!$A$2:$A$42,0)),""))</f>
        <v/>
      </c>
      <c r="I1001" s="9"/>
      <c r="J1001" s="16" t="str">
        <f aca="false">IF(OR(I1001="",H1001=""),"",I1001*H1001)</f>
        <v/>
      </c>
      <c r="K1001" s="9"/>
      <c r="L1001" s="9"/>
      <c r="M1001" s="9"/>
    </row>
    <row r="1002" customFormat="false" ht="15" hidden="false" customHeight="false" outlineLevel="0" collapsed="false">
      <c r="A1002" s="9"/>
      <c r="B1002" s="9"/>
      <c r="C1002" s="11"/>
      <c r="D1002" s="9"/>
      <c r="E1002" s="9"/>
      <c r="F1002" s="22" t="str">
        <f aca="false">IF(E1002="","",IFERROR(INDEX(02_INDICADORES!$B$2:$B$42,MATCH(E1002,02_INDICADORES!$A$2:$A$42,0)),"ID?"))</f>
        <v/>
      </c>
      <c r="G1002" s="21" t="str">
        <f aca="false">IF(E1002="","",IFERROR(INDEX(02_INDICADORES!$C$2:$C$42,MATCH(E1002,02_INDICADORES!$A$2:$A$42,0)),"ID?"))</f>
        <v/>
      </c>
      <c r="H1002" s="22" t="str">
        <f aca="false">IF(E1002="","",IFERROR(INDEX(02_INDICADORES!$D$2:$D$42,MATCH(E1002,02_INDICADORES!$A$2:$A$42,0)),""))</f>
        <v/>
      </c>
      <c r="I1002" s="9"/>
      <c r="J1002" s="16" t="str">
        <f aca="false">IF(OR(I1002="",H1002=""),"",I1002*H1002)</f>
        <v/>
      </c>
      <c r="K1002" s="9"/>
      <c r="L1002" s="9"/>
      <c r="M1002" s="9"/>
    </row>
    <row r="1003" customFormat="false" ht="15" hidden="false" customHeight="false" outlineLevel="0" collapsed="false">
      <c r="A1003" s="9"/>
      <c r="B1003" s="9"/>
      <c r="C1003" s="11"/>
      <c r="D1003" s="9"/>
      <c r="E1003" s="9"/>
      <c r="F1003" s="22" t="str">
        <f aca="false">IF(E1003="","",IFERROR(INDEX(02_INDICADORES!$B$2:$B$42,MATCH(E1003,02_INDICADORES!$A$2:$A$42,0)),"ID?"))</f>
        <v/>
      </c>
      <c r="G1003" s="21" t="str">
        <f aca="false">IF(E1003="","",IFERROR(INDEX(02_INDICADORES!$C$2:$C$42,MATCH(E1003,02_INDICADORES!$A$2:$A$42,0)),"ID?"))</f>
        <v/>
      </c>
      <c r="H1003" s="22" t="str">
        <f aca="false">IF(E1003="","",IFERROR(INDEX(02_INDICADORES!$D$2:$D$42,MATCH(E1003,02_INDICADORES!$A$2:$A$42,0)),""))</f>
        <v/>
      </c>
      <c r="I1003" s="9"/>
      <c r="J1003" s="16" t="str">
        <f aca="false">IF(OR(I1003="",H1003=""),"",I1003*H1003)</f>
        <v/>
      </c>
      <c r="K1003" s="9"/>
      <c r="L1003" s="9"/>
      <c r="M1003" s="9"/>
    </row>
    <row r="1004" customFormat="false" ht="15" hidden="false" customHeight="false" outlineLevel="0" collapsed="false">
      <c r="A1004" s="9"/>
      <c r="B1004" s="9"/>
      <c r="C1004" s="11"/>
      <c r="D1004" s="9"/>
      <c r="E1004" s="9"/>
      <c r="F1004" s="22" t="str">
        <f aca="false">IF(E1004="","",IFERROR(INDEX(02_INDICADORES!$B$2:$B$42,MATCH(E1004,02_INDICADORES!$A$2:$A$42,0)),"ID?"))</f>
        <v/>
      </c>
      <c r="G1004" s="21" t="str">
        <f aca="false">IF(E1004="","",IFERROR(INDEX(02_INDICADORES!$C$2:$C$42,MATCH(E1004,02_INDICADORES!$A$2:$A$42,0)),"ID?"))</f>
        <v/>
      </c>
      <c r="H1004" s="22" t="str">
        <f aca="false">IF(E1004="","",IFERROR(INDEX(02_INDICADORES!$D$2:$D$42,MATCH(E1004,02_INDICADORES!$A$2:$A$42,0)),""))</f>
        <v/>
      </c>
      <c r="I1004" s="9"/>
      <c r="J1004" s="16" t="str">
        <f aca="false">IF(OR(I1004="",H1004=""),"",I1004*H1004)</f>
        <v/>
      </c>
      <c r="K1004" s="9"/>
      <c r="L1004" s="9"/>
      <c r="M1004" s="9"/>
    </row>
    <row r="1005" customFormat="false" ht="15" hidden="false" customHeight="false" outlineLevel="0" collapsed="false">
      <c r="A1005" s="9"/>
      <c r="B1005" s="9"/>
      <c r="C1005" s="11"/>
      <c r="D1005" s="9"/>
      <c r="E1005" s="9"/>
      <c r="F1005" s="22" t="str">
        <f aca="false">IF(E1005="","",IFERROR(INDEX(02_INDICADORES!$B$2:$B$42,MATCH(E1005,02_INDICADORES!$A$2:$A$42,0)),"ID?"))</f>
        <v/>
      </c>
      <c r="G1005" s="21" t="str">
        <f aca="false">IF(E1005="","",IFERROR(INDEX(02_INDICADORES!$C$2:$C$42,MATCH(E1005,02_INDICADORES!$A$2:$A$42,0)),"ID?"))</f>
        <v/>
      </c>
      <c r="H1005" s="22" t="str">
        <f aca="false">IF(E1005="","",IFERROR(INDEX(02_INDICADORES!$D$2:$D$42,MATCH(E1005,02_INDICADORES!$A$2:$A$42,0)),""))</f>
        <v/>
      </c>
      <c r="I1005" s="9"/>
      <c r="J1005" s="16" t="str">
        <f aca="false">IF(OR(I1005="",H1005=""),"",I1005*H1005)</f>
        <v/>
      </c>
      <c r="K1005" s="9"/>
      <c r="L1005" s="9"/>
      <c r="M1005" s="9"/>
    </row>
    <row r="1006" customFormat="false" ht="15" hidden="false" customHeight="false" outlineLevel="0" collapsed="false">
      <c r="A1006" s="9"/>
      <c r="B1006" s="9"/>
      <c r="C1006" s="11"/>
      <c r="D1006" s="9"/>
      <c r="E1006" s="9"/>
      <c r="F1006" s="22" t="str">
        <f aca="false">IF(E1006="","",IFERROR(INDEX(02_INDICADORES!$B$2:$B$42,MATCH(E1006,02_INDICADORES!$A$2:$A$42,0)),"ID?"))</f>
        <v/>
      </c>
      <c r="G1006" s="21" t="str">
        <f aca="false">IF(E1006="","",IFERROR(INDEX(02_INDICADORES!$C$2:$C$42,MATCH(E1006,02_INDICADORES!$A$2:$A$42,0)),"ID?"))</f>
        <v/>
      </c>
      <c r="H1006" s="22" t="str">
        <f aca="false">IF(E1006="","",IFERROR(INDEX(02_INDICADORES!$D$2:$D$42,MATCH(E1006,02_INDICADORES!$A$2:$A$42,0)),""))</f>
        <v/>
      </c>
      <c r="I1006" s="9"/>
      <c r="J1006" s="16" t="str">
        <f aca="false">IF(OR(I1006="",H1006=""),"",I1006*H1006)</f>
        <v/>
      </c>
      <c r="K1006" s="9"/>
      <c r="L1006" s="9"/>
      <c r="M1006" s="9"/>
    </row>
    <row r="1007" customFormat="false" ht="15" hidden="false" customHeight="false" outlineLevel="0" collapsed="false">
      <c r="A1007" s="9"/>
      <c r="B1007" s="9"/>
      <c r="C1007" s="11"/>
      <c r="D1007" s="9"/>
      <c r="E1007" s="9"/>
      <c r="F1007" s="22" t="str">
        <f aca="false">IF(E1007="","",IFERROR(INDEX(02_INDICADORES!$B$2:$B$42,MATCH(E1007,02_INDICADORES!$A$2:$A$42,0)),"ID?"))</f>
        <v/>
      </c>
      <c r="G1007" s="21" t="str">
        <f aca="false">IF(E1007="","",IFERROR(INDEX(02_INDICADORES!$C$2:$C$42,MATCH(E1007,02_INDICADORES!$A$2:$A$42,0)),"ID?"))</f>
        <v/>
      </c>
      <c r="H1007" s="22" t="str">
        <f aca="false">IF(E1007="","",IFERROR(INDEX(02_INDICADORES!$D$2:$D$42,MATCH(E1007,02_INDICADORES!$A$2:$A$42,0)),""))</f>
        <v/>
      </c>
      <c r="I1007" s="9"/>
      <c r="J1007" s="16" t="str">
        <f aca="false">IF(OR(I1007="",H1007=""),"",I1007*H1007)</f>
        <v/>
      </c>
      <c r="K1007" s="9"/>
      <c r="L1007" s="9"/>
      <c r="M1007" s="9"/>
    </row>
    <row r="1008" customFormat="false" ht="15" hidden="false" customHeight="false" outlineLevel="0" collapsed="false">
      <c r="A1008" s="9"/>
      <c r="B1008" s="9"/>
      <c r="C1008" s="11"/>
      <c r="D1008" s="9"/>
      <c r="E1008" s="9"/>
      <c r="F1008" s="22" t="str">
        <f aca="false">IF(E1008="","",IFERROR(INDEX(02_INDICADORES!$B$2:$B$42,MATCH(E1008,02_INDICADORES!$A$2:$A$42,0)),"ID?"))</f>
        <v/>
      </c>
      <c r="G1008" s="21" t="str">
        <f aca="false">IF(E1008="","",IFERROR(INDEX(02_INDICADORES!$C$2:$C$42,MATCH(E1008,02_INDICADORES!$A$2:$A$42,0)),"ID?"))</f>
        <v/>
      </c>
      <c r="H1008" s="22" t="str">
        <f aca="false">IF(E1008="","",IFERROR(INDEX(02_INDICADORES!$D$2:$D$42,MATCH(E1008,02_INDICADORES!$A$2:$A$42,0)),""))</f>
        <v/>
      </c>
      <c r="I1008" s="9"/>
      <c r="J1008" s="16" t="str">
        <f aca="false">IF(OR(I1008="",H1008=""),"",I1008*H1008)</f>
        <v/>
      </c>
      <c r="K1008" s="9"/>
      <c r="L1008" s="9"/>
      <c r="M1008" s="9"/>
    </row>
    <row r="1009" customFormat="false" ht="15" hidden="false" customHeight="false" outlineLevel="0" collapsed="false">
      <c r="A1009" s="9"/>
      <c r="B1009" s="9"/>
      <c r="C1009" s="11"/>
      <c r="D1009" s="9"/>
      <c r="E1009" s="9"/>
      <c r="F1009" s="22" t="str">
        <f aca="false">IF(E1009="","",IFERROR(INDEX(02_INDICADORES!$B$2:$B$42,MATCH(E1009,02_INDICADORES!$A$2:$A$42,0)),"ID?"))</f>
        <v/>
      </c>
      <c r="G1009" s="21" t="str">
        <f aca="false">IF(E1009="","",IFERROR(INDEX(02_INDICADORES!$C$2:$C$42,MATCH(E1009,02_INDICADORES!$A$2:$A$42,0)),"ID?"))</f>
        <v/>
      </c>
      <c r="H1009" s="22" t="str">
        <f aca="false">IF(E1009="","",IFERROR(INDEX(02_INDICADORES!$D$2:$D$42,MATCH(E1009,02_INDICADORES!$A$2:$A$42,0)),""))</f>
        <v/>
      </c>
      <c r="I1009" s="9"/>
      <c r="J1009" s="16" t="str">
        <f aca="false">IF(OR(I1009="",H1009=""),"",I1009*H1009)</f>
        <v/>
      </c>
      <c r="K1009" s="9"/>
      <c r="L1009" s="9"/>
      <c r="M1009" s="9"/>
    </row>
    <row r="1010" customFormat="false" ht="15" hidden="false" customHeight="false" outlineLevel="0" collapsed="false">
      <c r="A1010" s="9"/>
      <c r="B1010" s="9"/>
      <c r="C1010" s="11"/>
      <c r="D1010" s="9"/>
      <c r="E1010" s="9"/>
      <c r="F1010" s="22" t="str">
        <f aca="false">IF(E1010="","",IFERROR(INDEX(02_INDICADORES!$B$2:$B$42,MATCH(E1010,02_INDICADORES!$A$2:$A$42,0)),"ID?"))</f>
        <v/>
      </c>
      <c r="G1010" s="21" t="str">
        <f aca="false">IF(E1010="","",IFERROR(INDEX(02_INDICADORES!$C$2:$C$42,MATCH(E1010,02_INDICADORES!$A$2:$A$42,0)),"ID?"))</f>
        <v/>
      </c>
      <c r="H1010" s="22" t="str">
        <f aca="false">IF(E1010="","",IFERROR(INDEX(02_INDICADORES!$D$2:$D$42,MATCH(E1010,02_INDICADORES!$A$2:$A$42,0)),""))</f>
        <v/>
      </c>
      <c r="I1010" s="9"/>
      <c r="J1010" s="16" t="str">
        <f aca="false">IF(OR(I1010="",H1010=""),"",I1010*H1010)</f>
        <v/>
      </c>
      <c r="K1010" s="9"/>
      <c r="L1010" s="9"/>
      <c r="M1010" s="9"/>
    </row>
    <row r="1011" customFormat="false" ht="15" hidden="false" customHeight="false" outlineLevel="0" collapsed="false">
      <c r="A1011" s="9"/>
      <c r="B1011" s="9"/>
      <c r="C1011" s="11"/>
      <c r="D1011" s="9"/>
      <c r="E1011" s="9"/>
      <c r="F1011" s="22" t="str">
        <f aca="false">IF(E1011="","",IFERROR(INDEX(02_INDICADORES!$B$2:$B$42,MATCH(E1011,02_INDICADORES!$A$2:$A$42,0)),"ID?"))</f>
        <v/>
      </c>
      <c r="G1011" s="21" t="str">
        <f aca="false">IF(E1011="","",IFERROR(INDEX(02_INDICADORES!$C$2:$C$42,MATCH(E1011,02_INDICADORES!$A$2:$A$42,0)),"ID?"))</f>
        <v/>
      </c>
      <c r="H1011" s="22" t="str">
        <f aca="false">IF(E1011="","",IFERROR(INDEX(02_INDICADORES!$D$2:$D$42,MATCH(E1011,02_INDICADORES!$A$2:$A$42,0)),""))</f>
        <v/>
      </c>
      <c r="I1011" s="9"/>
      <c r="J1011" s="16" t="str">
        <f aca="false">IF(OR(I1011="",H1011=""),"",I1011*H1011)</f>
        <v/>
      </c>
      <c r="K1011" s="9"/>
      <c r="L1011" s="9"/>
      <c r="M1011" s="9"/>
    </row>
    <row r="1012" customFormat="false" ht="15" hidden="false" customHeight="false" outlineLevel="0" collapsed="false">
      <c r="A1012" s="9"/>
      <c r="B1012" s="9"/>
      <c r="C1012" s="11"/>
      <c r="D1012" s="9"/>
      <c r="E1012" s="9"/>
      <c r="F1012" s="22" t="str">
        <f aca="false">IF(E1012="","",IFERROR(INDEX(02_INDICADORES!$B$2:$B$42,MATCH(E1012,02_INDICADORES!$A$2:$A$42,0)),"ID?"))</f>
        <v/>
      </c>
      <c r="G1012" s="21" t="str">
        <f aca="false">IF(E1012="","",IFERROR(INDEX(02_INDICADORES!$C$2:$C$42,MATCH(E1012,02_INDICADORES!$A$2:$A$42,0)),"ID?"))</f>
        <v/>
      </c>
      <c r="H1012" s="22" t="str">
        <f aca="false">IF(E1012="","",IFERROR(INDEX(02_INDICADORES!$D$2:$D$42,MATCH(E1012,02_INDICADORES!$A$2:$A$42,0)),""))</f>
        <v/>
      </c>
      <c r="I1012" s="9"/>
      <c r="J1012" s="16" t="str">
        <f aca="false">IF(OR(I1012="",H1012=""),"",I1012*H1012)</f>
        <v/>
      </c>
      <c r="K1012" s="9"/>
      <c r="L1012" s="9"/>
      <c r="M1012" s="9"/>
    </row>
    <row r="1013" customFormat="false" ht="15" hidden="false" customHeight="false" outlineLevel="0" collapsed="false">
      <c r="A1013" s="9"/>
      <c r="B1013" s="9"/>
      <c r="C1013" s="11"/>
      <c r="D1013" s="9"/>
      <c r="E1013" s="9"/>
      <c r="F1013" s="22" t="str">
        <f aca="false">IF(E1013="","",IFERROR(INDEX(02_INDICADORES!$B$2:$B$42,MATCH(E1013,02_INDICADORES!$A$2:$A$42,0)),"ID?"))</f>
        <v/>
      </c>
      <c r="G1013" s="21" t="str">
        <f aca="false">IF(E1013="","",IFERROR(INDEX(02_INDICADORES!$C$2:$C$42,MATCH(E1013,02_INDICADORES!$A$2:$A$42,0)),"ID?"))</f>
        <v/>
      </c>
      <c r="H1013" s="22" t="str">
        <f aca="false">IF(E1013="","",IFERROR(INDEX(02_INDICADORES!$D$2:$D$42,MATCH(E1013,02_INDICADORES!$A$2:$A$42,0)),""))</f>
        <v/>
      </c>
      <c r="I1013" s="9"/>
      <c r="J1013" s="16" t="str">
        <f aca="false">IF(OR(I1013="",H1013=""),"",I1013*H1013)</f>
        <v/>
      </c>
      <c r="K1013" s="9"/>
      <c r="L1013" s="9"/>
      <c r="M1013" s="9"/>
    </row>
    <row r="1014" customFormat="false" ht="15" hidden="false" customHeight="false" outlineLevel="0" collapsed="false">
      <c r="A1014" s="9"/>
      <c r="B1014" s="9"/>
      <c r="C1014" s="11"/>
      <c r="D1014" s="9"/>
      <c r="E1014" s="9"/>
      <c r="F1014" s="22" t="str">
        <f aca="false">IF(E1014="","",IFERROR(INDEX(02_INDICADORES!$B$2:$B$42,MATCH(E1014,02_INDICADORES!$A$2:$A$42,0)),"ID?"))</f>
        <v/>
      </c>
      <c r="G1014" s="21" t="str">
        <f aca="false">IF(E1014="","",IFERROR(INDEX(02_INDICADORES!$C$2:$C$42,MATCH(E1014,02_INDICADORES!$A$2:$A$42,0)),"ID?"))</f>
        <v/>
      </c>
      <c r="H1014" s="22" t="str">
        <f aca="false">IF(E1014="","",IFERROR(INDEX(02_INDICADORES!$D$2:$D$42,MATCH(E1014,02_INDICADORES!$A$2:$A$42,0)),""))</f>
        <v/>
      </c>
      <c r="I1014" s="9"/>
      <c r="J1014" s="16" t="str">
        <f aca="false">IF(OR(I1014="",H1014=""),"",I1014*H1014)</f>
        <v/>
      </c>
      <c r="K1014" s="9"/>
      <c r="L1014" s="9"/>
      <c r="M1014" s="9"/>
    </row>
    <row r="1015" customFormat="false" ht="15" hidden="false" customHeight="false" outlineLevel="0" collapsed="false">
      <c r="A1015" s="9"/>
      <c r="B1015" s="9"/>
      <c r="C1015" s="11"/>
      <c r="D1015" s="9"/>
      <c r="E1015" s="9"/>
      <c r="F1015" s="22" t="str">
        <f aca="false">IF(E1015="","",IFERROR(INDEX(02_INDICADORES!$B$2:$B$42,MATCH(E1015,02_INDICADORES!$A$2:$A$42,0)),"ID?"))</f>
        <v/>
      </c>
      <c r="G1015" s="21" t="str">
        <f aca="false">IF(E1015="","",IFERROR(INDEX(02_INDICADORES!$C$2:$C$42,MATCH(E1015,02_INDICADORES!$A$2:$A$42,0)),"ID?"))</f>
        <v/>
      </c>
      <c r="H1015" s="22" t="str">
        <f aca="false">IF(E1015="","",IFERROR(INDEX(02_INDICADORES!$D$2:$D$42,MATCH(E1015,02_INDICADORES!$A$2:$A$42,0)),""))</f>
        <v/>
      </c>
      <c r="I1015" s="9"/>
      <c r="J1015" s="16" t="str">
        <f aca="false">IF(OR(I1015="",H1015=""),"",I1015*H1015)</f>
        <v/>
      </c>
      <c r="K1015" s="9"/>
      <c r="L1015" s="9"/>
      <c r="M1015" s="9"/>
    </row>
    <row r="1016" customFormat="false" ht="15" hidden="false" customHeight="false" outlineLevel="0" collapsed="false">
      <c r="A1016" s="9"/>
      <c r="B1016" s="9"/>
      <c r="C1016" s="11"/>
      <c r="D1016" s="9"/>
      <c r="E1016" s="9"/>
      <c r="F1016" s="22" t="str">
        <f aca="false">IF(E1016="","",IFERROR(INDEX(02_INDICADORES!$B$2:$B$42,MATCH(E1016,02_INDICADORES!$A$2:$A$42,0)),"ID?"))</f>
        <v/>
      </c>
      <c r="G1016" s="21" t="str">
        <f aca="false">IF(E1016="","",IFERROR(INDEX(02_INDICADORES!$C$2:$C$42,MATCH(E1016,02_INDICADORES!$A$2:$A$42,0)),"ID?"))</f>
        <v/>
      </c>
      <c r="H1016" s="22" t="str">
        <f aca="false">IF(E1016="","",IFERROR(INDEX(02_INDICADORES!$D$2:$D$42,MATCH(E1016,02_INDICADORES!$A$2:$A$42,0)),""))</f>
        <v/>
      </c>
      <c r="I1016" s="9"/>
      <c r="J1016" s="16" t="str">
        <f aca="false">IF(OR(I1016="",H1016=""),"",I1016*H1016)</f>
        <v/>
      </c>
      <c r="K1016" s="9"/>
      <c r="L1016" s="9"/>
      <c r="M1016" s="9"/>
    </row>
    <row r="1017" customFormat="false" ht="15" hidden="false" customHeight="false" outlineLevel="0" collapsed="false">
      <c r="A1017" s="9"/>
      <c r="B1017" s="9"/>
      <c r="C1017" s="11"/>
      <c r="D1017" s="9"/>
      <c r="E1017" s="9"/>
      <c r="F1017" s="22" t="str">
        <f aca="false">IF(E1017="","",IFERROR(INDEX(02_INDICADORES!$B$2:$B$42,MATCH(E1017,02_INDICADORES!$A$2:$A$42,0)),"ID?"))</f>
        <v/>
      </c>
      <c r="G1017" s="21" t="str">
        <f aca="false">IF(E1017="","",IFERROR(INDEX(02_INDICADORES!$C$2:$C$42,MATCH(E1017,02_INDICADORES!$A$2:$A$42,0)),"ID?"))</f>
        <v/>
      </c>
      <c r="H1017" s="22" t="str">
        <f aca="false">IF(E1017="","",IFERROR(INDEX(02_INDICADORES!$D$2:$D$42,MATCH(E1017,02_INDICADORES!$A$2:$A$42,0)),""))</f>
        <v/>
      </c>
      <c r="I1017" s="9"/>
      <c r="J1017" s="16" t="str">
        <f aca="false">IF(OR(I1017="",H1017=""),"",I1017*H1017)</f>
        <v/>
      </c>
      <c r="K1017" s="9"/>
      <c r="L1017" s="9"/>
      <c r="M1017" s="9"/>
    </row>
    <row r="1018" customFormat="false" ht="15" hidden="false" customHeight="false" outlineLevel="0" collapsed="false">
      <c r="A1018" s="9"/>
      <c r="B1018" s="9"/>
      <c r="C1018" s="11"/>
      <c r="D1018" s="9"/>
      <c r="E1018" s="9"/>
      <c r="F1018" s="22" t="str">
        <f aca="false">IF(E1018="","",IFERROR(INDEX(02_INDICADORES!$B$2:$B$42,MATCH(E1018,02_INDICADORES!$A$2:$A$42,0)),"ID?"))</f>
        <v/>
      </c>
      <c r="G1018" s="21" t="str">
        <f aca="false">IF(E1018="","",IFERROR(INDEX(02_INDICADORES!$C$2:$C$42,MATCH(E1018,02_INDICADORES!$A$2:$A$42,0)),"ID?"))</f>
        <v/>
      </c>
      <c r="H1018" s="22" t="str">
        <f aca="false">IF(E1018="","",IFERROR(INDEX(02_INDICADORES!$D$2:$D$42,MATCH(E1018,02_INDICADORES!$A$2:$A$42,0)),""))</f>
        <v/>
      </c>
      <c r="I1018" s="9"/>
      <c r="J1018" s="16" t="str">
        <f aca="false">IF(OR(I1018="",H1018=""),"",I1018*H1018)</f>
        <v/>
      </c>
      <c r="K1018" s="9"/>
      <c r="L1018" s="9"/>
      <c r="M1018" s="9"/>
    </row>
    <row r="1019" customFormat="false" ht="15" hidden="false" customHeight="false" outlineLevel="0" collapsed="false">
      <c r="A1019" s="9"/>
      <c r="B1019" s="9"/>
      <c r="C1019" s="11"/>
      <c r="D1019" s="9"/>
      <c r="E1019" s="9"/>
      <c r="F1019" s="22" t="str">
        <f aca="false">IF(E1019="","",IFERROR(INDEX(02_INDICADORES!$B$2:$B$42,MATCH(E1019,02_INDICADORES!$A$2:$A$42,0)),"ID?"))</f>
        <v/>
      </c>
      <c r="G1019" s="21" t="str">
        <f aca="false">IF(E1019="","",IFERROR(INDEX(02_INDICADORES!$C$2:$C$42,MATCH(E1019,02_INDICADORES!$A$2:$A$42,0)),"ID?"))</f>
        <v/>
      </c>
      <c r="H1019" s="22" t="str">
        <f aca="false">IF(E1019="","",IFERROR(INDEX(02_INDICADORES!$D$2:$D$42,MATCH(E1019,02_INDICADORES!$A$2:$A$42,0)),""))</f>
        <v/>
      </c>
      <c r="I1019" s="9"/>
      <c r="J1019" s="16" t="str">
        <f aca="false">IF(OR(I1019="",H1019=""),"",I1019*H1019)</f>
        <v/>
      </c>
      <c r="K1019" s="9"/>
      <c r="L1019" s="9"/>
      <c r="M1019" s="9"/>
    </row>
    <row r="1020" customFormat="false" ht="15" hidden="false" customHeight="false" outlineLevel="0" collapsed="false">
      <c r="A1020" s="9"/>
      <c r="B1020" s="9"/>
      <c r="C1020" s="11"/>
      <c r="D1020" s="9"/>
      <c r="E1020" s="9"/>
      <c r="F1020" s="22" t="str">
        <f aca="false">IF(E1020="","",IFERROR(INDEX(02_INDICADORES!$B$2:$B$42,MATCH(E1020,02_INDICADORES!$A$2:$A$42,0)),"ID?"))</f>
        <v/>
      </c>
      <c r="G1020" s="21" t="str">
        <f aca="false">IF(E1020="","",IFERROR(INDEX(02_INDICADORES!$C$2:$C$42,MATCH(E1020,02_INDICADORES!$A$2:$A$42,0)),"ID?"))</f>
        <v/>
      </c>
      <c r="H1020" s="22" t="str">
        <f aca="false">IF(E1020="","",IFERROR(INDEX(02_INDICADORES!$D$2:$D$42,MATCH(E1020,02_INDICADORES!$A$2:$A$42,0)),""))</f>
        <v/>
      </c>
      <c r="I1020" s="9"/>
      <c r="J1020" s="16" t="str">
        <f aca="false">IF(OR(I1020="",H1020=""),"",I1020*H1020)</f>
        <v/>
      </c>
      <c r="K1020" s="9"/>
      <c r="L1020" s="9"/>
      <c r="M1020" s="9"/>
    </row>
    <row r="1021" customFormat="false" ht="15" hidden="false" customHeight="false" outlineLevel="0" collapsed="false">
      <c r="A1021" s="9"/>
      <c r="B1021" s="9"/>
      <c r="C1021" s="11"/>
      <c r="D1021" s="9"/>
      <c r="E1021" s="9"/>
      <c r="F1021" s="22" t="str">
        <f aca="false">IF(E1021="","",IFERROR(INDEX(02_INDICADORES!$B$2:$B$42,MATCH(E1021,02_INDICADORES!$A$2:$A$42,0)),"ID?"))</f>
        <v/>
      </c>
      <c r="G1021" s="21" t="str">
        <f aca="false">IF(E1021="","",IFERROR(INDEX(02_INDICADORES!$C$2:$C$42,MATCH(E1021,02_INDICADORES!$A$2:$A$42,0)),"ID?"))</f>
        <v/>
      </c>
      <c r="H1021" s="22" t="str">
        <f aca="false">IF(E1021="","",IFERROR(INDEX(02_INDICADORES!$D$2:$D$42,MATCH(E1021,02_INDICADORES!$A$2:$A$42,0)),""))</f>
        <v/>
      </c>
      <c r="I1021" s="9"/>
      <c r="J1021" s="16" t="str">
        <f aca="false">IF(OR(I1021="",H1021=""),"",I1021*H1021)</f>
        <v/>
      </c>
      <c r="K1021" s="9"/>
      <c r="L1021" s="9"/>
      <c r="M1021" s="9"/>
    </row>
    <row r="1022" customFormat="false" ht="15" hidden="false" customHeight="false" outlineLevel="0" collapsed="false">
      <c r="A1022" s="9"/>
      <c r="B1022" s="9"/>
      <c r="C1022" s="11"/>
      <c r="D1022" s="9"/>
      <c r="E1022" s="9"/>
      <c r="F1022" s="22" t="str">
        <f aca="false">IF(E1022="","",IFERROR(INDEX(02_INDICADORES!$B$2:$B$42,MATCH(E1022,02_INDICADORES!$A$2:$A$42,0)),"ID?"))</f>
        <v/>
      </c>
      <c r="G1022" s="21" t="str">
        <f aca="false">IF(E1022="","",IFERROR(INDEX(02_INDICADORES!$C$2:$C$42,MATCH(E1022,02_INDICADORES!$A$2:$A$42,0)),"ID?"))</f>
        <v/>
      </c>
      <c r="H1022" s="22" t="str">
        <f aca="false">IF(E1022="","",IFERROR(INDEX(02_INDICADORES!$D$2:$D$42,MATCH(E1022,02_INDICADORES!$A$2:$A$42,0)),""))</f>
        <v/>
      </c>
      <c r="I1022" s="9"/>
      <c r="J1022" s="16" t="str">
        <f aca="false">IF(OR(I1022="",H1022=""),"",I1022*H1022)</f>
        <v/>
      </c>
      <c r="K1022" s="9"/>
      <c r="L1022" s="9"/>
      <c r="M1022" s="9"/>
    </row>
    <row r="1023" customFormat="false" ht="15" hidden="false" customHeight="false" outlineLevel="0" collapsed="false">
      <c r="A1023" s="9"/>
      <c r="B1023" s="9"/>
      <c r="C1023" s="11"/>
      <c r="D1023" s="9"/>
      <c r="E1023" s="9"/>
      <c r="F1023" s="22" t="str">
        <f aca="false">IF(E1023="","",IFERROR(INDEX(02_INDICADORES!$B$2:$B$42,MATCH(E1023,02_INDICADORES!$A$2:$A$42,0)),"ID?"))</f>
        <v/>
      </c>
      <c r="G1023" s="21" t="str">
        <f aca="false">IF(E1023="","",IFERROR(INDEX(02_INDICADORES!$C$2:$C$42,MATCH(E1023,02_INDICADORES!$A$2:$A$42,0)),"ID?"))</f>
        <v/>
      </c>
      <c r="H1023" s="22" t="str">
        <f aca="false">IF(E1023="","",IFERROR(INDEX(02_INDICADORES!$D$2:$D$42,MATCH(E1023,02_INDICADORES!$A$2:$A$42,0)),""))</f>
        <v/>
      </c>
      <c r="I1023" s="9"/>
      <c r="J1023" s="16" t="str">
        <f aca="false">IF(OR(I1023="",H1023=""),"",I1023*H1023)</f>
        <v/>
      </c>
      <c r="K1023" s="9"/>
      <c r="L1023" s="9"/>
      <c r="M1023" s="9"/>
    </row>
    <row r="1024" customFormat="false" ht="15" hidden="false" customHeight="false" outlineLevel="0" collapsed="false">
      <c r="A1024" s="9"/>
      <c r="B1024" s="9"/>
      <c r="C1024" s="11"/>
      <c r="D1024" s="9"/>
      <c r="E1024" s="9"/>
      <c r="F1024" s="22" t="str">
        <f aca="false">IF(E1024="","",IFERROR(INDEX(02_INDICADORES!$B$2:$B$42,MATCH(E1024,02_INDICADORES!$A$2:$A$42,0)),"ID?"))</f>
        <v/>
      </c>
      <c r="G1024" s="21" t="str">
        <f aca="false">IF(E1024="","",IFERROR(INDEX(02_INDICADORES!$C$2:$C$42,MATCH(E1024,02_INDICADORES!$A$2:$A$42,0)),"ID?"))</f>
        <v/>
      </c>
      <c r="H1024" s="22" t="str">
        <f aca="false">IF(E1024="","",IFERROR(INDEX(02_INDICADORES!$D$2:$D$42,MATCH(E1024,02_INDICADORES!$A$2:$A$42,0)),""))</f>
        <v/>
      </c>
      <c r="I1024" s="9"/>
      <c r="J1024" s="16" t="str">
        <f aca="false">IF(OR(I1024="",H1024=""),"",I1024*H1024)</f>
        <v/>
      </c>
      <c r="K1024" s="9"/>
      <c r="L1024" s="9"/>
      <c r="M1024" s="9"/>
    </row>
    <row r="1025" customFormat="false" ht="15" hidden="false" customHeight="false" outlineLevel="0" collapsed="false">
      <c r="A1025" s="9"/>
      <c r="B1025" s="9"/>
      <c r="C1025" s="11"/>
      <c r="D1025" s="9"/>
      <c r="E1025" s="9"/>
      <c r="F1025" s="22" t="str">
        <f aca="false">IF(E1025="","",IFERROR(INDEX(02_INDICADORES!$B$2:$B$42,MATCH(E1025,02_INDICADORES!$A$2:$A$42,0)),"ID?"))</f>
        <v/>
      </c>
      <c r="G1025" s="21" t="str">
        <f aca="false">IF(E1025="","",IFERROR(INDEX(02_INDICADORES!$C$2:$C$42,MATCH(E1025,02_INDICADORES!$A$2:$A$42,0)),"ID?"))</f>
        <v/>
      </c>
      <c r="H1025" s="22" t="str">
        <f aca="false">IF(E1025="","",IFERROR(INDEX(02_INDICADORES!$D$2:$D$42,MATCH(E1025,02_INDICADORES!$A$2:$A$42,0)),""))</f>
        <v/>
      </c>
      <c r="I1025" s="9"/>
      <c r="J1025" s="16" t="str">
        <f aca="false">IF(OR(I1025="",H1025=""),"",I1025*H1025)</f>
        <v/>
      </c>
      <c r="K1025" s="9"/>
      <c r="L1025" s="9"/>
      <c r="M1025" s="9"/>
    </row>
    <row r="1026" customFormat="false" ht="15" hidden="false" customHeight="false" outlineLevel="0" collapsed="false">
      <c r="A1026" s="9"/>
      <c r="B1026" s="9"/>
      <c r="C1026" s="11"/>
      <c r="D1026" s="9"/>
      <c r="E1026" s="9"/>
      <c r="F1026" s="22" t="str">
        <f aca="false">IF(E1026="","",IFERROR(INDEX(02_INDICADORES!$B$2:$B$42,MATCH(E1026,02_INDICADORES!$A$2:$A$42,0)),"ID?"))</f>
        <v/>
      </c>
      <c r="G1026" s="21" t="str">
        <f aca="false">IF(E1026="","",IFERROR(INDEX(02_INDICADORES!$C$2:$C$42,MATCH(E1026,02_INDICADORES!$A$2:$A$42,0)),"ID?"))</f>
        <v/>
      </c>
      <c r="H1026" s="22" t="str">
        <f aca="false">IF(E1026="","",IFERROR(INDEX(02_INDICADORES!$D$2:$D$42,MATCH(E1026,02_INDICADORES!$A$2:$A$42,0)),""))</f>
        <v/>
      </c>
      <c r="I1026" s="9"/>
      <c r="J1026" s="16" t="str">
        <f aca="false">IF(OR(I1026="",H1026=""),"",I1026*H1026)</f>
        <v/>
      </c>
      <c r="K1026" s="9"/>
      <c r="L1026" s="9"/>
      <c r="M1026" s="9"/>
    </row>
    <row r="1027" customFormat="false" ht="15" hidden="false" customHeight="false" outlineLevel="0" collapsed="false">
      <c r="A1027" s="9"/>
      <c r="B1027" s="9"/>
      <c r="C1027" s="11"/>
      <c r="D1027" s="9"/>
      <c r="E1027" s="9"/>
      <c r="F1027" s="22" t="str">
        <f aca="false">IF(E1027="","",IFERROR(INDEX(02_INDICADORES!$B$2:$B$42,MATCH(E1027,02_INDICADORES!$A$2:$A$42,0)),"ID?"))</f>
        <v/>
      </c>
      <c r="G1027" s="21" t="str">
        <f aca="false">IF(E1027="","",IFERROR(INDEX(02_INDICADORES!$C$2:$C$42,MATCH(E1027,02_INDICADORES!$A$2:$A$42,0)),"ID?"))</f>
        <v/>
      </c>
      <c r="H1027" s="22" t="str">
        <f aca="false">IF(E1027="","",IFERROR(INDEX(02_INDICADORES!$D$2:$D$42,MATCH(E1027,02_INDICADORES!$A$2:$A$42,0)),""))</f>
        <v/>
      </c>
      <c r="I1027" s="9"/>
      <c r="J1027" s="16" t="str">
        <f aca="false">IF(OR(I1027="",H1027=""),"",I1027*H1027)</f>
        <v/>
      </c>
      <c r="K1027" s="9"/>
      <c r="L1027" s="9"/>
      <c r="M1027" s="9"/>
    </row>
    <row r="1028" customFormat="false" ht="15" hidden="false" customHeight="false" outlineLevel="0" collapsed="false">
      <c r="A1028" s="9"/>
      <c r="B1028" s="9"/>
      <c r="C1028" s="11"/>
      <c r="D1028" s="9"/>
      <c r="E1028" s="9"/>
      <c r="F1028" s="22" t="str">
        <f aca="false">IF(E1028="","",IFERROR(INDEX(02_INDICADORES!$B$2:$B$42,MATCH(E1028,02_INDICADORES!$A$2:$A$42,0)),"ID?"))</f>
        <v/>
      </c>
      <c r="G1028" s="21" t="str">
        <f aca="false">IF(E1028="","",IFERROR(INDEX(02_INDICADORES!$C$2:$C$42,MATCH(E1028,02_INDICADORES!$A$2:$A$42,0)),"ID?"))</f>
        <v/>
      </c>
      <c r="H1028" s="22" t="str">
        <f aca="false">IF(E1028="","",IFERROR(INDEX(02_INDICADORES!$D$2:$D$42,MATCH(E1028,02_INDICADORES!$A$2:$A$42,0)),""))</f>
        <v/>
      </c>
      <c r="I1028" s="9"/>
      <c r="J1028" s="16" t="str">
        <f aca="false">IF(OR(I1028="",H1028=""),"",I1028*H1028)</f>
        <v/>
      </c>
      <c r="K1028" s="9"/>
      <c r="L1028" s="9"/>
      <c r="M1028" s="9"/>
    </row>
    <row r="1029" customFormat="false" ht="15" hidden="false" customHeight="false" outlineLevel="0" collapsed="false">
      <c r="A1029" s="9"/>
      <c r="B1029" s="9"/>
      <c r="C1029" s="11"/>
      <c r="D1029" s="9"/>
      <c r="E1029" s="9"/>
      <c r="F1029" s="22" t="str">
        <f aca="false">IF(E1029="","",IFERROR(INDEX(02_INDICADORES!$B$2:$B$42,MATCH(E1029,02_INDICADORES!$A$2:$A$42,0)),"ID?"))</f>
        <v/>
      </c>
      <c r="G1029" s="21" t="str">
        <f aca="false">IF(E1029="","",IFERROR(INDEX(02_INDICADORES!$C$2:$C$42,MATCH(E1029,02_INDICADORES!$A$2:$A$42,0)),"ID?"))</f>
        <v/>
      </c>
      <c r="H1029" s="22" t="str">
        <f aca="false">IF(E1029="","",IFERROR(INDEX(02_INDICADORES!$D$2:$D$42,MATCH(E1029,02_INDICADORES!$A$2:$A$42,0)),""))</f>
        <v/>
      </c>
      <c r="I1029" s="9"/>
      <c r="J1029" s="16" t="str">
        <f aca="false">IF(OR(I1029="",H1029=""),"",I1029*H1029)</f>
        <v/>
      </c>
      <c r="K1029" s="9"/>
      <c r="L1029" s="9"/>
      <c r="M1029" s="9"/>
    </row>
    <row r="1030" customFormat="false" ht="15" hidden="false" customHeight="false" outlineLevel="0" collapsed="false">
      <c r="A1030" s="9"/>
      <c r="B1030" s="9"/>
      <c r="C1030" s="11"/>
      <c r="D1030" s="9"/>
      <c r="E1030" s="9"/>
      <c r="F1030" s="22" t="str">
        <f aca="false">IF(E1030="","",IFERROR(INDEX(02_INDICADORES!$B$2:$B$42,MATCH(E1030,02_INDICADORES!$A$2:$A$42,0)),"ID?"))</f>
        <v/>
      </c>
      <c r="G1030" s="21" t="str">
        <f aca="false">IF(E1030="","",IFERROR(INDEX(02_INDICADORES!$C$2:$C$42,MATCH(E1030,02_INDICADORES!$A$2:$A$42,0)),"ID?"))</f>
        <v/>
      </c>
      <c r="H1030" s="22" t="str">
        <f aca="false">IF(E1030="","",IFERROR(INDEX(02_INDICADORES!$D$2:$D$42,MATCH(E1030,02_INDICADORES!$A$2:$A$42,0)),""))</f>
        <v/>
      </c>
      <c r="I1030" s="9"/>
      <c r="J1030" s="16" t="str">
        <f aca="false">IF(OR(I1030="",H1030=""),"",I1030*H1030)</f>
        <v/>
      </c>
      <c r="K1030" s="9"/>
      <c r="L1030" s="9"/>
      <c r="M1030" s="9"/>
    </row>
    <row r="1031" customFormat="false" ht="15" hidden="false" customHeight="false" outlineLevel="0" collapsed="false">
      <c r="A1031" s="9"/>
      <c r="B1031" s="9"/>
      <c r="C1031" s="11"/>
      <c r="D1031" s="9"/>
      <c r="E1031" s="9"/>
      <c r="F1031" s="22" t="str">
        <f aca="false">IF(E1031="","",IFERROR(INDEX(02_INDICADORES!$B$2:$B$42,MATCH(E1031,02_INDICADORES!$A$2:$A$42,0)),"ID?"))</f>
        <v/>
      </c>
      <c r="G1031" s="21" t="str">
        <f aca="false">IF(E1031="","",IFERROR(INDEX(02_INDICADORES!$C$2:$C$42,MATCH(E1031,02_INDICADORES!$A$2:$A$42,0)),"ID?"))</f>
        <v/>
      </c>
      <c r="H1031" s="22" t="str">
        <f aca="false">IF(E1031="","",IFERROR(INDEX(02_INDICADORES!$D$2:$D$42,MATCH(E1031,02_INDICADORES!$A$2:$A$42,0)),""))</f>
        <v/>
      </c>
      <c r="I1031" s="9"/>
      <c r="J1031" s="16" t="str">
        <f aca="false">IF(OR(I1031="",H1031=""),"",I1031*H1031)</f>
        <v/>
      </c>
      <c r="K1031" s="9"/>
      <c r="L1031" s="9"/>
      <c r="M1031" s="9"/>
    </row>
    <row r="1032" customFormat="false" ht="15" hidden="false" customHeight="false" outlineLevel="0" collapsed="false">
      <c r="A1032" s="9"/>
      <c r="B1032" s="9"/>
      <c r="C1032" s="11"/>
      <c r="D1032" s="9"/>
      <c r="E1032" s="9"/>
      <c r="F1032" s="22" t="str">
        <f aca="false">IF(E1032="","",IFERROR(INDEX(02_INDICADORES!$B$2:$B$42,MATCH(E1032,02_INDICADORES!$A$2:$A$42,0)),"ID?"))</f>
        <v/>
      </c>
      <c r="G1032" s="21" t="str">
        <f aca="false">IF(E1032="","",IFERROR(INDEX(02_INDICADORES!$C$2:$C$42,MATCH(E1032,02_INDICADORES!$A$2:$A$42,0)),"ID?"))</f>
        <v/>
      </c>
      <c r="H1032" s="22" t="str">
        <f aca="false">IF(E1032="","",IFERROR(INDEX(02_INDICADORES!$D$2:$D$42,MATCH(E1032,02_INDICADORES!$A$2:$A$42,0)),""))</f>
        <v/>
      </c>
      <c r="I1032" s="9"/>
      <c r="J1032" s="16" t="str">
        <f aca="false">IF(OR(I1032="",H1032=""),"",I1032*H1032)</f>
        <v/>
      </c>
      <c r="K1032" s="9"/>
      <c r="L1032" s="9"/>
      <c r="M1032" s="9"/>
    </row>
    <row r="1033" customFormat="false" ht="15" hidden="false" customHeight="false" outlineLevel="0" collapsed="false">
      <c r="A1033" s="9"/>
      <c r="B1033" s="9"/>
      <c r="C1033" s="11"/>
      <c r="D1033" s="9"/>
      <c r="E1033" s="9"/>
      <c r="F1033" s="22" t="str">
        <f aca="false">IF(E1033="","",IFERROR(INDEX(02_INDICADORES!$B$2:$B$42,MATCH(E1033,02_INDICADORES!$A$2:$A$42,0)),"ID?"))</f>
        <v/>
      </c>
      <c r="G1033" s="21" t="str">
        <f aca="false">IF(E1033="","",IFERROR(INDEX(02_INDICADORES!$C$2:$C$42,MATCH(E1033,02_INDICADORES!$A$2:$A$42,0)),"ID?"))</f>
        <v/>
      </c>
      <c r="H1033" s="22" t="str">
        <f aca="false">IF(E1033="","",IFERROR(INDEX(02_INDICADORES!$D$2:$D$42,MATCH(E1033,02_INDICADORES!$A$2:$A$42,0)),""))</f>
        <v/>
      </c>
      <c r="I1033" s="9"/>
      <c r="J1033" s="16" t="str">
        <f aca="false">IF(OR(I1033="",H1033=""),"",I1033*H1033)</f>
        <v/>
      </c>
      <c r="K1033" s="9"/>
      <c r="L1033" s="9"/>
      <c r="M1033" s="9"/>
    </row>
    <row r="1034" customFormat="false" ht="15" hidden="false" customHeight="false" outlineLevel="0" collapsed="false">
      <c r="A1034" s="9"/>
      <c r="B1034" s="9"/>
      <c r="C1034" s="11"/>
      <c r="D1034" s="9"/>
      <c r="E1034" s="9"/>
      <c r="F1034" s="22" t="str">
        <f aca="false">IF(E1034="","",IFERROR(INDEX(02_INDICADORES!$B$2:$B$42,MATCH(E1034,02_INDICADORES!$A$2:$A$42,0)),"ID?"))</f>
        <v/>
      </c>
      <c r="G1034" s="21" t="str">
        <f aca="false">IF(E1034="","",IFERROR(INDEX(02_INDICADORES!$C$2:$C$42,MATCH(E1034,02_INDICADORES!$A$2:$A$42,0)),"ID?"))</f>
        <v/>
      </c>
      <c r="H1034" s="22" t="str">
        <f aca="false">IF(E1034="","",IFERROR(INDEX(02_INDICADORES!$D$2:$D$42,MATCH(E1034,02_INDICADORES!$A$2:$A$42,0)),""))</f>
        <v/>
      </c>
      <c r="I1034" s="9"/>
      <c r="J1034" s="16" t="str">
        <f aca="false">IF(OR(I1034="",H1034=""),"",I1034*H1034)</f>
        <v/>
      </c>
      <c r="K1034" s="9"/>
      <c r="L1034" s="9"/>
      <c r="M1034" s="9"/>
    </row>
    <row r="1035" customFormat="false" ht="15" hidden="false" customHeight="false" outlineLevel="0" collapsed="false">
      <c r="A1035" s="9"/>
      <c r="B1035" s="9"/>
      <c r="C1035" s="11"/>
      <c r="D1035" s="9"/>
      <c r="E1035" s="9"/>
      <c r="F1035" s="22" t="str">
        <f aca="false">IF(E1035="","",IFERROR(INDEX(02_INDICADORES!$B$2:$B$42,MATCH(E1035,02_INDICADORES!$A$2:$A$42,0)),"ID?"))</f>
        <v/>
      </c>
      <c r="G1035" s="21" t="str">
        <f aca="false">IF(E1035="","",IFERROR(INDEX(02_INDICADORES!$C$2:$C$42,MATCH(E1035,02_INDICADORES!$A$2:$A$42,0)),"ID?"))</f>
        <v/>
      </c>
      <c r="H1035" s="22" t="str">
        <f aca="false">IF(E1035="","",IFERROR(INDEX(02_INDICADORES!$D$2:$D$42,MATCH(E1035,02_INDICADORES!$A$2:$A$42,0)),""))</f>
        <v/>
      </c>
      <c r="I1035" s="9"/>
      <c r="J1035" s="16" t="str">
        <f aca="false">IF(OR(I1035="",H1035=""),"",I1035*H1035)</f>
        <v/>
      </c>
      <c r="K1035" s="9"/>
      <c r="L1035" s="9"/>
      <c r="M1035" s="9"/>
    </row>
    <row r="1036" customFormat="false" ht="15" hidden="false" customHeight="false" outlineLevel="0" collapsed="false">
      <c r="A1036" s="9"/>
      <c r="B1036" s="9"/>
      <c r="C1036" s="11"/>
      <c r="D1036" s="9"/>
      <c r="E1036" s="9"/>
      <c r="F1036" s="22" t="str">
        <f aca="false">IF(E1036="","",IFERROR(INDEX(02_INDICADORES!$B$2:$B$42,MATCH(E1036,02_INDICADORES!$A$2:$A$42,0)),"ID?"))</f>
        <v/>
      </c>
      <c r="G1036" s="21" t="str">
        <f aca="false">IF(E1036="","",IFERROR(INDEX(02_INDICADORES!$C$2:$C$42,MATCH(E1036,02_INDICADORES!$A$2:$A$42,0)),"ID?"))</f>
        <v/>
      </c>
      <c r="H1036" s="22" t="str">
        <f aca="false">IF(E1036="","",IFERROR(INDEX(02_INDICADORES!$D$2:$D$42,MATCH(E1036,02_INDICADORES!$A$2:$A$42,0)),""))</f>
        <v/>
      </c>
      <c r="I1036" s="9"/>
      <c r="J1036" s="16" t="str">
        <f aca="false">IF(OR(I1036="",H1036=""),"",I1036*H1036)</f>
        <v/>
      </c>
      <c r="K1036" s="9"/>
      <c r="L1036" s="9"/>
      <c r="M1036" s="9"/>
    </row>
    <row r="1037" customFormat="false" ht="15" hidden="false" customHeight="false" outlineLevel="0" collapsed="false">
      <c r="A1037" s="9"/>
      <c r="B1037" s="9"/>
      <c r="C1037" s="11"/>
      <c r="D1037" s="9"/>
      <c r="E1037" s="9"/>
      <c r="F1037" s="22" t="str">
        <f aca="false">IF(E1037="","",IFERROR(INDEX(02_INDICADORES!$B$2:$B$42,MATCH(E1037,02_INDICADORES!$A$2:$A$42,0)),"ID?"))</f>
        <v/>
      </c>
      <c r="G1037" s="21" t="str">
        <f aca="false">IF(E1037="","",IFERROR(INDEX(02_INDICADORES!$C$2:$C$42,MATCH(E1037,02_INDICADORES!$A$2:$A$42,0)),"ID?"))</f>
        <v/>
      </c>
      <c r="H1037" s="22" t="str">
        <f aca="false">IF(E1037="","",IFERROR(INDEX(02_INDICADORES!$D$2:$D$42,MATCH(E1037,02_INDICADORES!$A$2:$A$42,0)),""))</f>
        <v/>
      </c>
      <c r="I1037" s="9"/>
      <c r="J1037" s="16" t="str">
        <f aca="false">IF(OR(I1037="",H1037=""),"",I1037*H1037)</f>
        <v/>
      </c>
      <c r="K1037" s="9"/>
      <c r="L1037" s="9"/>
      <c r="M1037" s="9"/>
    </row>
    <row r="1038" customFormat="false" ht="15" hidden="false" customHeight="false" outlineLevel="0" collapsed="false">
      <c r="A1038" s="9"/>
      <c r="B1038" s="9"/>
      <c r="C1038" s="11"/>
      <c r="D1038" s="9"/>
      <c r="E1038" s="9"/>
      <c r="F1038" s="22" t="str">
        <f aca="false">IF(E1038="","",IFERROR(INDEX(02_INDICADORES!$B$2:$B$42,MATCH(E1038,02_INDICADORES!$A$2:$A$42,0)),"ID?"))</f>
        <v/>
      </c>
      <c r="G1038" s="21" t="str">
        <f aca="false">IF(E1038="","",IFERROR(INDEX(02_INDICADORES!$C$2:$C$42,MATCH(E1038,02_INDICADORES!$A$2:$A$42,0)),"ID?"))</f>
        <v/>
      </c>
      <c r="H1038" s="22" t="str">
        <f aca="false">IF(E1038="","",IFERROR(INDEX(02_INDICADORES!$D$2:$D$42,MATCH(E1038,02_INDICADORES!$A$2:$A$42,0)),""))</f>
        <v/>
      </c>
      <c r="I1038" s="9"/>
      <c r="J1038" s="16" t="str">
        <f aca="false">IF(OR(I1038="",H1038=""),"",I1038*H1038)</f>
        <v/>
      </c>
      <c r="K1038" s="9"/>
      <c r="L1038" s="9"/>
      <c r="M1038" s="9"/>
    </row>
    <row r="1039" customFormat="false" ht="15" hidden="false" customHeight="false" outlineLevel="0" collapsed="false">
      <c r="A1039" s="9"/>
      <c r="B1039" s="9"/>
      <c r="C1039" s="11"/>
      <c r="D1039" s="9"/>
      <c r="E1039" s="9"/>
      <c r="F1039" s="22" t="str">
        <f aca="false">IF(E1039="","",IFERROR(INDEX(02_INDICADORES!$B$2:$B$42,MATCH(E1039,02_INDICADORES!$A$2:$A$42,0)),"ID?"))</f>
        <v/>
      </c>
      <c r="G1039" s="21" t="str">
        <f aca="false">IF(E1039="","",IFERROR(INDEX(02_INDICADORES!$C$2:$C$42,MATCH(E1039,02_INDICADORES!$A$2:$A$42,0)),"ID?"))</f>
        <v/>
      </c>
      <c r="H1039" s="22" t="str">
        <f aca="false">IF(E1039="","",IFERROR(INDEX(02_INDICADORES!$D$2:$D$42,MATCH(E1039,02_INDICADORES!$A$2:$A$42,0)),""))</f>
        <v/>
      </c>
      <c r="I1039" s="9"/>
      <c r="J1039" s="16" t="str">
        <f aca="false">IF(OR(I1039="",H1039=""),"",I1039*H1039)</f>
        <v/>
      </c>
      <c r="K1039" s="9"/>
      <c r="L1039" s="9"/>
      <c r="M1039" s="9"/>
    </row>
    <row r="1040" customFormat="false" ht="15" hidden="false" customHeight="false" outlineLevel="0" collapsed="false">
      <c r="A1040" s="9"/>
      <c r="B1040" s="9"/>
      <c r="C1040" s="11"/>
      <c r="D1040" s="9"/>
      <c r="E1040" s="9"/>
      <c r="F1040" s="22" t="str">
        <f aca="false">IF(E1040="","",IFERROR(INDEX(02_INDICADORES!$B$2:$B$42,MATCH(E1040,02_INDICADORES!$A$2:$A$42,0)),"ID?"))</f>
        <v/>
      </c>
      <c r="G1040" s="21" t="str">
        <f aca="false">IF(E1040="","",IFERROR(INDEX(02_INDICADORES!$C$2:$C$42,MATCH(E1040,02_INDICADORES!$A$2:$A$42,0)),"ID?"))</f>
        <v/>
      </c>
      <c r="H1040" s="22" t="str">
        <f aca="false">IF(E1040="","",IFERROR(INDEX(02_INDICADORES!$D$2:$D$42,MATCH(E1040,02_INDICADORES!$A$2:$A$42,0)),""))</f>
        <v/>
      </c>
      <c r="I1040" s="9"/>
      <c r="J1040" s="16" t="str">
        <f aca="false">IF(OR(I1040="",H1040=""),"",I1040*H1040)</f>
        <v/>
      </c>
      <c r="K1040" s="9"/>
      <c r="L1040" s="9"/>
      <c r="M1040" s="9"/>
    </row>
    <row r="1041" customFormat="false" ht="15" hidden="false" customHeight="false" outlineLevel="0" collapsed="false">
      <c r="A1041" s="9"/>
      <c r="B1041" s="9"/>
      <c r="C1041" s="11"/>
      <c r="D1041" s="9"/>
      <c r="E1041" s="9"/>
      <c r="F1041" s="22" t="str">
        <f aca="false">IF(E1041="","",IFERROR(INDEX(02_INDICADORES!$B$2:$B$42,MATCH(E1041,02_INDICADORES!$A$2:$A$42,0)),"ID?"))</f>
        <v/>
      </c>
      <c r="G1041" s="21" t="str">
        <f aca="false">IF(E1041="","",IFERROR(INDEX(02_INDICADORES!$C$2:$C$42,MATCH(E1041,02_INDICADORES!$A$2:$A$42,0)),"ID?"))</f>
        <v/>
      </c>
      <c r="H1041" s="22" t="str">
        <f aca="false">IF(E1041="","",IFERROR(INDEX(02_INDICADORES!$D$2:$D$42,MATCH(E1041,02_INDICADORES!$A$2:$A$42,0)),""))</f>
        <v/>
      </c>
      <c r="I1041" s="9"/>
      <c r="J1041" s="16" t="str">
        <f aca="false">IF(OR(I1041="",H1041=""),"",I1041*H1041)</f>
        <v/>
      </c>
      <c r="K1041" s="9"/>
      <c r="L1041" s="9"/>
      <c r="M1041" s="9"/>
    </row>
    <row r="1042" customFormat="false" ht="15" hidden="false" customHeight="false" outlineLevel="0" collapsed="false">
      <c r="A1042" s="9"/>
      <c r="B1042" s="9"/>
      <c r="C1042" s="11"/>
      <c r="D1042" s="9"/>
      <c r="E1042" s="9"/>
      <c r="F1042" s="22" t="str">
        <f aca="false">IF(E1042="","",IFERROR(INDEX(02_INDICADORES!$B$2:$B$42,MATCH(E1042,02_INDICADORES!$A$2:$A$42,0)),"ID?"))</f>
        <v/>
      </c>
      <c r="G1042" s="21" t="str">
        <f aca="false">IF(E1042="","",IFERROR(INDEX(02_INDICADORES!$C$2:$C$42,MATCH(E1042,02_INDICADORES!$A$2:$A$42,0)),"ID?"))</f>
        <v/>
      </c>
      <c r="H1042" s="22" t="str">
        <f aca="false">IF(E1042="","",IFERROR(INDEX(02_INDICADORES!$D$2:$D$42,MATCH(E1042,02_INDICADORES!$A$2:$A$42,0)),""))</f>
        <v/>
      </c>
      <c r="I1042" s="9"/>
      <c r="J1042" s="16" t="str">
        <f aca="false">IF(OR(I1042="",H1042=""),"",I1042*H1042)</f>
        <v/>
      </c>
      <c r="K1042" s="9"/>
      <c r="L1042" s="9"/>
      <c r="M1042" s="9"/>
    </row>
    <row r="1043" customFormat="false" ht="15" hidden="false" customHeight="false" outlineLevel="0" collapsed="false">
      <c r="A1043" s="9"/>
      <c r="B1043" s="9"/>
      <c r="C1043" s="11"/>
      <c r="D1043" s="9"/>
      <c r="E1043" s="9"/>
      <c r="F1043" s="22" t="str">
        <f aca="false">IF(E1043="","",IFERROR(INDEX(02_INDICADORES!$B$2:$B$42,MATCH(E1043,02_INDICADORES!$A$2:$A$42,0)),"ID?"))</f>
        <v/>
      </c>
      <c r="G1043" s="21" t="str">
        <f aca="false">IF(E1043="","",IFERROR(INDEX(02_INDICADORES!$C$2:$C$42,MATCH(E1043,02_INDICADORES!$A$2:$A$42,0)),"ID?"))</f>
        <v/>
      </c>
      <c r="H1043" s="22" t="str">
        <f aca="false">IF(E1043="","",IFERROR(INDEX(02_INDICADORES!$D$2:$D$42,MATCH(E1043,02_INDICADORES!$A$2:$A$42,0)),""))</f>
        <v/>
      </c>
      <c r="I1043" s="9"/>
      <c r="J1043" s="16" t="str">
        <f aca="false">IF(OR(I1043="",H1043=""),"",I1043*H1043)</f>
        <v/>
      </c>
      <c r="K1043" s="9"/>
      <c r="L1043" s="9"/>
      <c r="M1043" s="9"/>
    </row>
    <row r="1044" customFormat="false" ht="15" hidden="false" customHeight="false" outlineLevel="0" collapsed="false">
      <c r="A1044" s="9"/>
      <c r="B1044" s="9"/>
      <c r="C1044" s="11"/>
      <c r="D1044" s="9"/>
      <c r="E1044" s="9"/>
      <c r="F1044" s="22" t="str">
        <f aca="false">IF(E1044="","",IFERROR(INDEX(02_INDICADORES!$B$2:$B$42,MATCH(E1044,02_INDICADORES!$A$2:$A$42,0)),"ID?"))</f>
        <v/>
      </c>
      <c r="G1044" s="21" t="str">
        <f aca="false">IF(E1044="","",IFERROR(INDEX(02_INDICADORES!$C$2:$C$42,MATCH(E1044,02_INDICADORES!$A$2:$A$42,0)),"ID?"))</f>
        <v/>
      </c>
      <c r="H1044" s="22" t="str">
        <f aca="false">IF(E1044="","",IFERROR(INDEX(02_INDICADORES!$D$2:$D$42,MATCH(E1044,02_INDICADORES!$A$2:$A$42,0)),""))</f>
        <v/>
      </c>
      <c r="I1044" s="9"/>
      <c r="J1044" s="16" t="str">
        <f aca="false">IF(OR(I1044="",H1044=""),"",I1044*H1044)</f>
        <v/>
      </c>
      <c r="K1044" s="9"/>
      <c r="L1044" s="9"/>
      <c r="M1044" s="9"/>
    </row>
    <row r="1045" customFormat="false" ht="15" hidden="false" customHeight="false" outlineLevel="0" collapsed="false">
      <c r="A1045" s="9"/>
      <c r="B1045" s="9"/>
      <c r="C1045" s="11"/>
      <c r="D1045" s="9"/>
      <c r="E1045" s="9"/>
      <c r="F1045" s="22" t="str">
        <f aca="false">IF(E1045="","",IFERROR(INDEX(02_INDICADORES!$B$2:$B$42,MATCH(E1045,02_INDICADORES!$A$2:$A$42,0)),"ID?"))</f>
        <v/>
      </c>
      <c r="G1045" s="21" t="str">
        <f aca="false">IF(E1045="","",IFERROR(INDEX(02_INDICADORES!$C$2:$C$42,MATCH(E1045,02_INDICADORES!$A$2:$A$42,0)),"ID?"))</f>
        <v/>
      </c>
      <c r="H1045" s="22" t="str">
        <f aca="false">IF(E1045="","",IFERROR(INDEX(02_INDICADORES!$D$2:$D$42,MATCH(E1045,02_INDICADORES!$A$2:$A$42,0)),""))</f>
        <v/>
      </c>
      <c r="I1045" s="9"/>
      <c r="J1045" s="16" t="str">
        <f aca="false">IF(OR(I1045="",H1045=""),"",I1045*H1045)</f>
        <v/>
      </c>
      <c r="K1045" s="9"/>
      <c r="L1045" s="9"/>
      <c r="M1045" s="9"/>
    </row>
    <row r="1046" customFormat="false" ht="15" hidden="false" customHeight="false" outlineLevel="0" collapsed="false">
      <c r="A1046" s="9"/>
      <c r="B1046" s="9"/>
      <c r="C1046" s="11"/>
      <c r="D1046" s="9"/>
      <c r="E1046" s="9"/>
      <c r="F1046" s="22" t="str">
        <f aca="false">IF(E1046="","",IFERROR(INDEX(02_INDICADORES!$B$2:$B$42,MATCH(E1046,02_INDICADORES!$A$2:$A$42,0)),"ID?"))</f>
        <v/>
      </c>
      <c r="G1046" s="21" t="str">
        <f aca="false">IF(E1046="","",IFERROR(INDEX(02_INDICADORES!$C$2:$C$42,MATCH(E1046,02_INDICADORES!$A$2:$A$42,0)),"ID?"))</f>
        <v/>
      </c>
      <c r="H1046" s="22" t="str">
        <f aca="false">IF(E1046="","",IFERROR(INDEX(02_INDICADORES!$D$2:$D$42,MATCH(E1046,02_INDICADORES!$A$2:$A$42,0)),""))</f>
        <v/>
      </c>
      <c r="I1046" s="9"/>
      <c r="J1046" s="16" t="str">
        <f aca="false">IF(OR(I1046="",H1046=""),"",I1046*H1046)</f>
        <v/>
      </c>
      <c r="K1046" s="9"/>
      <c r="L1046" s="9"/>
      <c r="M1046" s="9"/>
    </row>
    <row r="1047" customFormat="false" ht="15" hidden="false" customHeight="false" outlineLevel="0" collapsed="false">
      <c r="A1047" s="9"/>
      <c r="B1047" s="9"/>
      <c r="C1047" s="11"/>
      <c r="D1047" s="9"/>
      <c r="E1047" s="9"/>
      <c r="F1047" s="22" t="str">
        <f aca="false">IF(E1047="","",IFERROR(INDEX(02_INDICADORES!$B$2:$B$42,MATCH(E1047,02_INDICADORES!$A$2:$A$42,0)),"ID?"))</f>
        <v/>
      </c>
      <c r="G1047" s="21" t="str">
        <f aca="false">IF(E1047="","",IFERROR(INDEX(02_INDICADORES!$C$2:$C$42,MATCH(E1047,02_INDICADORES!$A$2:$A$42,0)),"ID?"))</f>
        <v/>
      </c>
      <c r="H1047" s="22" t="str">
        <f aca="false">IF(E1047="","",IFERROR(INDEX(02_INDICADORES!$D$2:$D$42,MATCH(E1047,02_INDICADORES!$A$2:$A$42,0)),""))</f>
        <v/>
      </c>
      <c r="I1047" s="9"/>
      <c r="J1047" s="16" t="str">
        <f aca="false">IF(OR(I1047="",H1047=""),"",I1047*H1047)</f>
        <v/>
      </c>
      <c r="K1047" s="9"/>
      <c r="L1047" s="9"/>
      <c r="M1047" s="9"/>
    </row>
    <row r="1048" customFormat="false" ht="15" hidden="false" customHeight="false" outlineLevel="0" collapsed="false">
      <c r="A1048" s="9"/>
      <c r="B1048" s="9"/>
      <c r="C1048" s="11"/>
      <c r="D1048" s="9"/>
      <c r="E1048" s="9"/>
      <c r="F1048" s="22" t="str">
        <f aca="false">IF(E1048="","",IFERROR(INDEX(02_INDICADORES!$B$2:$B$42,MATCH(E1048,02_INDICADORES!$A$2:$A$42,0)),"ID?"))</f>
        <v/>
      </c>
      <c r="G1048" s="21" t="str">
        <f aca="false">IF(E1048="","",IFERROR(INDEX(02_INDICADORES!$C$2:$C$42,MATCH(E1048,02_INDICADORES!$A$2:$A$42,0)),"ID?"))</f>
        <v/>
      </c>
      <c r="H1048" s="22" t="str">
        <f aca="false">IF(E1048="","",IFERROR(INDEX(02_INDICADORES!$D$2:$D$42,MATCH(E1048,02_INDICADORES!$A$2:$A$42,0)),""))</f>
        <v/>
      </c>
      <c r="I1048" s="9"/>
      <c r="J1048" s="16" t="str">
        <f aca="false">IF(OR(I1048="",H1048=""),"",I1048*H1048)</f>
        <v/>
      </c>
      <c r="K1048" s="9"/>
      <c r="L1048" s="9"/>
      <c r="M1048" s="9"/>
    </row>
    <row r="1049" customFormat="false" ht="15" hidden="false" customHeight="false" outlineLevel="0" collapsed="false">
      <c r="A1049" s="9"/>
      <c r="B1049" s="9"/>
      <c r="C1049" s="11"/>
      <c r="D1049" s="9"/>
      <c r="E1049" s="9"/>
      <c r="F1049" s="22" t="str">
        <f aca="false">IF(E1049="","",IFERROR(INDEX(02_INDICADORES!$B$2:$B$42,MATCH(E1049,02_INDICADORES!$A$2:$A$42,0)),"ID?"))</f>
        <v/>
      </c>
      <c r="G1049" s="21" t="str">
        <f aca="false">IF(E1049="","",IFERROR(INDEX(02_INDICADORES!$C$2:$C$42,MATCH(E1049,02_INDICADORES!$A$2:$A$42,0)),"ID?"))</f>
        <v/>
      </c>
      <c r="H1049" s="22" t="str">
        <f aca="false">IF(E1049="","",IFERROR(INDEX(02_INDICADORES!$D$2:$D$42,MATCH(E1049,02_INDICADORES!$A$2:$A$42,0)),""))</f>
        <v/>
      </c>
      <c r="I1049" s="9"/>
      <c r="J1049" s="16" t="str">
        <f aca="false">IF(OR(I1049="",H1049=""),"",I1049*H1049)</f>
        <v/>
      </c>
      <c r="K1049" s="9"/>
      <c r="L1049" s="9"/>
      <c r="M1049" s="9"/>
    </row>
    <row r="1050" customFormat="false" ht="15" hidden="false" customHeight="false" outlineLevel="0" collapsed="false">
      <c r="A1050" s="9"/>
      <c r="B1050" s="9"/>
      <c r="C1050" s="11"/>
      <c r="D1050" s="9"/>
      <c r="E1050" s="9"/>
      <c r="F1050" s="22" t="str">
        <f aca="false">IF(E1050="","",IFERROR(INDEX(02_INDICADORES!$B$2:$B$42,MATCH(E1050,02_INDICADORES!$A$2:$A$42,0)),"ID?"))</f>
        <v/>
      </c>
      <c r="G1050" s="21" t="str">
        <f aca="false">IF(E1050="","",IFERROR(INDEX(02_INDICADORES!$C$2:$C$42,MATCH(E1050,02_INDICADORES!$A$2:$A$42,0)),"ID?"))</f>
        <v/>
      </c>
      <c r="H1050" s="22" t="str">
        <f aca="false">IF(E1050="","",IFERROR(INDEX(02_INDICADORES!$D$2:$D$42,MATCH(E1050,02_INDICADORES!$A$2:$A$42,0)),""))</f>
        <v/>
      </c>
      <c r="I1050" s="9"/>
      <c r="J1050" s="16" t="str">
        <f aca="false">IF(OR(I1050="",H1050=""),"",I1050*H1050)</f>
        <v/>
      </c>
      <c r="K1050" s="9"/>
      <c r="L1050" s="9"/>
      <c r="M1050" s="9"/>
    </row>
    <row r="1051" customFormat="false" ht="15" hidden="false" customHeight="false" outlineLevel="0" collapsed="false">
      <c r="A1051" s="9"/>
      <c r="B1051" s="9"/>
      <c r="C1051" s="11"/>
      <c r="D1051" s="9"/>
      <c r="E1051" s="9"/>
      <c r="F1051" s="22" t="str">
        <f aca="false">IF(E1051="","",IFERROR(INDEX(02_INDICADORES!$B$2:$B$42,MATCH(E1051,02_INDICADORES!$A$2:$A$42,0)),"ID?"))</f>
        <v/>
      </c>
      <c r="G1051" s="21" t="str">
        <f aca="false">IF(E1051="","",IFERROR(INDEX(02_INDICADORES!$C$2:$C$42,MATCH(E1051,02_INDICADORES!$A$2:$A$42,0)),"ID?"))</f>
        <v/>
      </c>
      <c r="H1051" s="22" t="str">
        <f aca="false">IF(E1051="","",IFERROR(INDEX(02_INDICADORES!$D$2:$D$42,MATCH(E1051,02_INDICADORES!$A$2:$A$42,0)),""))</f>
        <v/>
      </c>
      <c r="I1051" s="9"/>
      <c r="J1051" s="16" t="str">
        <f aca="false">IF(OR(I1051="",H1051=""),"",I1051*H1051)</f>
        <v/>
      </c>
      <c r="K1051" s="9"/>
      <c r="L1051" s="9"/>
      <c r="M1051" s="9"/>
    </row>
    <row r="1052" customFormat="false" ht="15" hidden="false" customHeight="false" outlineLevel="0" collapsed="false">
      <c r="A1052" s="9"/>
      <c r="B1052" s="9"/>
      <c r="C1052" s="11"/>
      <c r="D1052" s="9"/>
      <c r="E1052" s="9"/>
      <c r="F1052" s="22" t="str">
        <f aca="false">IF(E1052="","",IFERROR(INDEX(02_INDICADORES!$B$2:$B$42,MATCH(E1052,02_INDICADORES!$A$2:$A$42,0)),"ID?"))</f>
        <v/>
      </c>
      <c r="G1052" s="21" t="str">
        <f aca="false">IF(E1052="","",IFERROR(INDEX(02_INDICADORES!$C$2:$C$42,MATCH(E1052,02_INDICADORES!$A$2:$A$42,0)),"ID?"))</f>
        <v/>
      </c>
      <c r="H1052" s="22" t="str">
        <f aca="false">IF(E1052="","",IFERROR(INDEX(02_INDICADORES!$D$2:$D$42,MATCH(E1052,02_INDICADORES!$A$2:$A$42,0)),""))</f>
        <v/>
      </c>
      <c r="I1052" s="9"/>
      <c r="J1052" s="16" t="str">
        <f aca="false">IF(OR(I1052="",H1052=""),"",I1052*H1052)</f>
        <v/>
      </c>
      <c r="K1052" s="9"/>
      <c r="L1052" s="9"/>
      <c r="M1052" s="9"/>
    </row>
    <row r="1053" customFormat="false" ht="15" hidden="false" customHeight="false" outlineLevel="0" collapsed="false">
      <c r="A1053" s="9"/>
      <c r="B1053" s="9"/>
      <c r="C1053" s="11"/>
      <c r="D1053" s="9"/>
      <c r="E1053" s="9"/>
      <c r="F1053" s="22" t="str">
        <f aca="false">IF(E1053="","",IFERROR(INDEX(02_INDICADORES!$B$2:$B$42,MATCH(E1053,02_INDICADORES!$A$2:$A$42,0)),"ID?"))</f>
        <v/>
      </c>
      <c r="G1053" s="21" t="str">
        <f aca="false">IF(E1053="","",IFERROR(INDEX(02_INDICADORES!$C$2:$C$42,MATCH(E1053,02_INDICADORES!$A$2:$A$42,0)),"ID?"))</f>
        <v/>
      </c>
      <c r="H1053" s="22" t="str">
        <f aca="false">IF(E1053="","",IFERROR(INDEX(02_INDICADORES!$D$2:$D$42,MATCH(E1053,02_INDICADORES!$A$2:$A$42,0)),""))</f>
        <v/>
      </c>
      <c r="I1053" s="9"/>
      <c r="J1053" s="16" t="str">
        <f aca="false">IF(OR(I1053="",H1053=""),"",I1053*H1053)</f>
        <v/>
      </c>
      <c r="K1053" s="9"/>
      <c r="L1053" s="9"/>
      <c r="M1053" s="9"/>
    </row>
    <row r="1054" customFormat="false" ht="15" hidden="false" customHeight="false" outlineLevel="0" collapsed="false">
      <c r="A1054" s="9"/>
      <c r="B1054" s="9"/>
      <c r="C1054" s="11"/>
      <c r="D1054" s="9"/>
      <c r="E1054" s="9"/>
      <c r="F1054" s="22" t="str">
        <f aca="false">IF(E1054="","",IFERROR(INDEX(02_INDICADORES!$B$2:$B$42,MATCH(E1054,02_INDICADORES!$A$2:$A$42,0)),"ID?"))</f>
        <v/>
      </c>
      <c r="G1054" s="21" t="str">
        <f aca="false">IF(E1054="","",IFERROR(INDEX(02_INDICADORES!$C$2:$C$42,MATCH(E1054,02_INDICADORES!$A$2:$A$42,0)),"ID?"))</f>
        <v/>
      </c>
      <c r="H1054" s="22" t="str">
        <f aca="false">IF(E1054="","",IFERROR(INDEX(02_INDICADORES!$D$2:$D$42,MATCH(E1054,02_INDICADORES!$A$2:$A$42,0)),""))</f>
        <v/>
      </c>
      <c r="I1054" s="9"/>
      <c r="J1054" s="16" t="str">
        <f aca="false">IF(OR(I1054="",H1054=""),"",I1054*H1054)</f>
        <v/>
      </c>
      <c r="K1054" s="9"/>
      <c r="L1054" s="9"/>
      <c r="M1054" s="9"/>
    </row>
    <row r="1055" customFormat="false" ht="15" hidden="false" customHeight="false" outlineLevel="0" collapsed="false">
      <c r="A1055" s="9"/>
      <c r="B1055" s="9"/>
      <c r="C1055" s="11"/>
      <c r="D1055" s="9"/>
      <c r="E1055" s="9"/>
      <c r="F1055" s="22" t="str">
        <f aca="false">IF(E1055="","",IFERROR(INDEX(02_INDICADORES!$B$2:$B$42,MATCH(E1055,02_INDICADORES!$A$2:$A$42,0)),"ID?"))</f>
        <v/>
      </c>
      <c r="G1055" s="21" t="str">
        <f aca="false">IF(E1055="","",IFERROR(INDEX(02_INDICADORES!$C$2:$C$42,MATCH(E1055,02_INDICADORES!$A$2:$A$42,0)),"ID?"))</f>
        <v/>
      </c>
      <c r="H1055" s="22" t="str">
        <f aca="false">IF(E1055="","",IFERROR(INDEX(02_INDICADORES!$D$2:$D$42,MATCH(E1055,02_INDICADORES!$A$2:$A$42,0)),""))</f>
        <v/>
      </c>
      <c r="I1055" s="9"/>
      <c r="J1055" s="16" t="str">
        <f aca="false">IF(OR(I1055="",H1055=""),"",I1055*H1055)</f>
        <v/>
      </c>
      <c r="K1055" s="9"/>
      <c r="L1055" s="9"/>
      <c r="M1055" s="9"/>
    </row>
    <row r="1056" customFormat="false" ht="15" hidden="false" customHeight="false" outlineLevel="0" collapsed="false">
      <c r="A1056" s="9"/>
      <c r="B1056" s="9"/>
      <c r="C1056" s="11"/>
      <c r="D1056" s="9"/>
      <c r="E1056" s="9"/>
      <c r="F1056" s="22" t="str">
        <f aca="false">IF(E1056="","",IFERROR(INDEX(02_INDICADORES!$B$2:$B$42,MATCH(E1056,02_INDICADORES!$A$2:$A$42,0)),"ID?"))</f>
        <v/>
      </c>
      <c r="G1056" s="21" t="str">
        <f aca="false">IF(E1056="","",IFERROR(INDEX(02_INDICADORES!$C$2:$C$42,MATCH(E1056,02_INDICADORES!$A$2:$A$42,0)),"ID?"))</f>
        <v/>
      </c>
      <c r="H1056" s="22" t="str">
        <f aca="false">IF(E1056="","",IFERROR(INDEX(02_INDICADORES!$D$2:$D$42,MATCH(E1056,02_INDICADORES!$A$2:$A$42,0)),""))</f>
        <v/>
      </c>
      <c r="I1056" s="9"/>
      <c r="J1056" s="16" t="str">
        <f aca="false">IF(OR(I1056="",H1056=""),"",I1056*H1056)</f>
        <v/>
      </c>
      <c r="K1056" s="9"/>
      <c r="L1056" s="9"/>
      <c r="M1056" s="9"/>
    </row>
    <row r="1057" customFormat="false" ht="15" hidden="false" customHeight="false" outlineLevel="0" collapsed="false">
      <c r="A1057" s="9"/>
      <c r="B1057" s="9"/>
      <c r="C1057" s="11"/>
      <c r="D1057" s="9"/>
      <c r="E1057" s="9"/>
      <c r="F1057" s="22" t="str">
        <f aca="false">IF(E1057="","",IFERROR(INDEX(02_INDICADORES!$B$2:$B$42,MATCH(E1057,02_INDICADORES!$A$2:$A$42,0)),"ID?"))</f>
        <v/>
      </c>
      <c r="G1057" s="21" t="str">
        <f aca="false">IF(E1057="","",IFERROR(INDEX(02_INDICADORES!$C$2:$C$42,MATCH(E1057,02_INDICADORES!$A$2:$A$42,0)),"ID?"))</f>
        <v/>
      </c>
      <c r="H1057" s="22" t="str">
        <f aca="false">IF(E1057="","",IFERROR(INDEX(02_INDICADORES!$D$2:$D$42,MATCH(E1057,02_INDICADORES!$A$2:$A$42,0)),""))</f>
        <v/>
      </c>
      <c r="I1057" s="9"/>
      <c r="J1057" s="16" t="str">
        <f aca="false">IF(OR(I1057="",H1057=""),"",I1057*H1057)</f>
        <v/>
      </c>
      <c r="K1057" s="9"/>
      <c r="L1057" s="9"/>
      <c r="M1057" s="9"/>
    </row>
    <row r="1058" customFormat="false" ht="15" hidden="false" customHeight="false" outlineLevel="0" collapsed="false">
      <c r="A1058" s="9"/>
      <c r="B1058" s="9"/>
      <c r="C1058" s="11"/>
      <c r="D1058" s="9"/>
      <c r="E1058" s="9"/>
      <c r="F1058" s="22" t="str">
        <f aca="false">IF(E1058="","",IFERROR(INDEX(02_INDICADORES!$B$2:$B$42,MATCH(E1058,02_INDICADORES!$A$2:$A$42,0)),"ID?"))</f>
        <v/>
      </c>
      <c r="G1058" s="21" t="str">
        <f aca="false">IF(E1058="","",IFERROR(INDEX(02_INDICADORES!$C$2:$C$42,MATCH(E1058,02_INDICADORES!$A$2:$A$42,0)),"ID?"))</f>
        <v/>
      </c>
      <c r="H1058" s="22" t="str">
        <f aca="false">IF(E1058="","",IFERROR(INDEX(02_INDICADORES!$D$2:$D$42,MATCH(E1058,02_INDICADORES!$A$2:$A$42,0)),""))</f>
        <v/>
      </c>
      <c r="I1058" s="9"/>
      <c r="J1058" s="16" t="str">
        <f aca="false">IF(OR(I1058="",H1058=""),"",I1058*H1058)</f>
        <v/>
      </c>
      <c r="K1058" s="9"/>
      <c r="L1058" s="9"/>
      <c r="M1058" s="9"/>
    </row>
    <row r="1059" customFormat="false" ht="15" hidden="false" customHeight="false" outlineLevel="0" collapsed="false">
      <c r="A1059" s="9"/>
      <c r="B1059" s="9"/>
      <c r="C1059" s="11"/>
      <c r="D1059" s="9"/>
      <c r="E1059" s="9"/>
      <c r="F1059" s="22" t="str">
        <f aca="false">IF(E1059="","",IFERROR(INDEX(02_INDICADORES!$B$2:$B$42,MATCH(E1059,02_INDICADORES!$A$2:$A$42,0)),"ID?"))</f>
        <v/>
      </c>
      <c r="G1059" s="21" t="str">
        <f aca="false">IF(E1059="","",IFERROR(INDEX(02_INDICADORES!$C$2:$C$42,MATCH(E1059,02_INDICADORES!$A$2:$A$42,0)),"ID?"))</f>
        <v/>
      </c>
      <c r="H1059" s="22" t="str">
        <f aca="false">IF(E1059="","",IFERROR(INDEX(02_INDICADORES!$D$2:$D$42,MATCH(E1059,02_INDICADORES!$A$2:$A$42,0)),""))</f>
        <v/>
      </c>
      <c r="I1059" s="9"/>
      <c r="J1059" s="16" t="str">
        <f aca="false">IF(OR(I1059="",H1059=""),"",I1059*H1059)</f>
        <v/>
      </c>
      <c r="K1059" s="9"/>
      <c r="L1059" s="9"/>
      <c r="M1059" s="9"/>
    </row>
    <row r="1060" customFormat="false" ht="15" hidden="false" customHeight="false" outlineLevel="0" collapsed="false">
      <c r="A1060" s="9"/>
      <c r="B1060" s="9"/>
      <c r="C1060" s="11"/>
      <c r="D1060" s="9"/>
      <c r="E1060" s="9"/>
      <c r="F1060" s="22" t="str">
        <f aca="false">IF(E1060="","",IFERROR(INDEX(02_INDICADORES!$B$2:$B$42,MATCH(E1060,02_INDICADORES!$A$2:$A$42,0)),"ID?"))</f>
        <v/>
      </c>
      <c r="G1060" s="21" t="str">
        <f aca="false">IF(E1060="","",IFERROR(INDEX(02_INDICADORES!$C$2:$C$42,MATCH(E1060,02_INDICADORES!$A$2:$A$42,0)),"ID?"))</f>
        <v/>
      </c>
      <c r="H1060" s="22" t="str">
        <f aca="false">IF(E1060="","",IFERROR(INDEX(02_INDICADORES!$D$2:$D$42,MATCH(E1060,02_INDICADORES!$A$2:$A$42,0)),""))</f>
        <v/>
      </c>
      <c r="I1060" s="9"/>
      <c r="J1060" s="16" t="str">
        <f aca="false">IF(OR(I1060="",H1060=""),"",I1060*H1060)</f>
        <v/>
      </c>
      <c r="K1060" s="9"/>
      <c r="L1060" s="9"/>
      <c r="M1060" s="9"/>
    </row>
    <row r="1061" customFormat="false" ht="15" hidden="false" customHeight="false" outlineLevel="0" collapsed="false">
      <c r="A1061" s="9"/>
      <c r="B1061" s="9"/>
      <c r="C1061" s="11"/>
      <c r="D1061" s="9"/>
      <c r="E1061" s="9"/>
      <c r="F1061" s="22" t="str">
        <f aca="false">IF(E1061="","",IFERROR(INDEX(02_INDICADORES!$B$2:$B$42,MATCH(E1061,02_INDICADORES!$A$2:$A$42,0)),"ID?"))</f>
        <v/>
      </c>
      <c r="G1061" s="21" t="str">
        <f aca="false">IF(E1061="","",IFERROR(INDEX(02_INDICADORES!$C$2:$C$42,MATCH(E1061,02_INDICADORES!$A$2:$A$42,0)),"ID?"))</f>
        <v/>
      </c>
      <c r="H1061" s="22" t="str">
        <f aca="false">IF(E1061="","",IFERROR(INDEX(02_INDICADORES!$D$2:$D$42,MATCH(E1061,02_INDICADORES!$A$2:$A$42,0)),""))</f>
        <v/>
      </c>
      <c r="I1061" s="9"/>
      <c r="J1061" s="16" t="str">
        <f aca="false">IF(OR(I1061="",H1061=""),"",I1061*H1061)</f>
        <v/>
      </c>
      <c r="K1061" s="9"/>
      <c r="L1061" s="9"/>
      <c r="M1061" s="9"/>
    </row>
    <row r="1062" customFormat="false" ht="15" hidden="false" customHeight="false" outlineLevel="0" collapsed="false">
      <c r="A1062" s="9"/>
      <c r="B1062" s="9"/>
      <c r="C1062" s="11"/>
      <c r="D1062" s="9"/>
      <c r="E1062" s="9"/>
      <c r="F1062" s="22" t="str">
        <f aca="false">IF(E1062="","",IFERROR(INDEX(02_INDICADORES!$B$2:$B$42,MATCH(E1062,02_INDICADORES!$A$2:$A$42,0)),"ID?"))</f>
        <v/>
      </c>
      <c r="G1062" s="21" t="str">
        <f aca="false">IF(E1062="","",IFERROR(INDEX(02_INDICADORES!$C$2:$C$42,MATCH(E1062,02_INDICADORES!$A$2:$A$42,0)),"ID?"))</f>
        <v/>
      </c>
      <c r="H1062" s="22" t="str">
        <f aca="false">IF(E1062="","",IFERROR(INDEX(02_INDICADORES!$D$2:$D$42,MATCH(E1062,02_INDICADORES!$A$2:$A$42,0)),""))</f>
        <v/>
      </c>
      <c r="I1062" s="9"/>
      <c r="J1062" s="16" t="str">
        <f aca="false">IF(OR(I1062="",H1062=""),"",I1062*H1062)</f>
        <v/>
      </c>
      <c r="K1062" s="9"/>
      <c r="L1062" s="9"/>
      <c r="M1062" s="9"/>
    </row>
    <row r="1063" customFormat="false" ht="15" hidden="false" customHeight="false" outlineLevel="0" collapsed="false">
      <c r="A1063" s="9"/>
      <c r="B1063" s="9"/>
      <c r="C1063" s="11"/>
      <c r="D1063" s="9"/>
      <c r="E1063" s="9"/>
      <c r="F1063" s="22" t="str">
        <f aca="false">IF(E1063="","",IFERROR(INDEX(02_INDICADORES!$B$2:$B$42,MATCH(E1063,02_INDICADORES!$A$2:$A$42,0)),"ID?"))</f>
        <v/>
      </c>
      <c r="G1063" s="21" t="str">
        <f aca="false">IF(E1063="","",IFERROR(INDEX(02_INDICADORES!$C$2:$C$42,MATCH(E1063,02_INDICADORES!$A$2:$A$42,0)),"ID?"))</f>
        <v/>
      </c>
      <c r="H1063" s="22" t="str">
        <f aca="false">IF(E1063="","",IFERROR(INDEX(02_INDICADORES!$D$2:$D$42,MATCH(E1063,02_INDICADORES!$A$2:$A$42,0)),""))</f>
        <v/>
      </c>
      <c r="I1063" s="9"/>
      <c r="J1063" s="16" t="str">
        <f aca="false">IF(OR(I1063="",H1063=""),"",I1063*H1063)</f>
        <v/>
      </c>
      <c r="K1063" s="9"/>
      <c r="L1063" s="9"/>
      <c r="M1063" s="9"/>
    </row>
    <row r="1064" customFormat="false" ht="15" hidden="false" customHeight="false" outlineLevel="0" collapsed="false">
      <c r="A1064" s="9"/>
      <c r="B1064" s="9"/>
      <c r="C1064" s="11"/>
      <c r="D1064" s="9"/>
      <c r="E1064" s="9"/>
      <c r="F1064" s="22" t="str">
        <f aca="false">IF(E1064="","",IFERROR(INDEX(02_INDICADORES!$B$2:$B$42,MATCH(E1064,02_INDICADORES!$A$2:$A$42,0)),"ID?"))</f>
        <v/>
      </c>
      <c r="G1064" s="21" t="str">
        <f aca="false">IF(E1064="","",IFERROR(INDEX(02_INDICADORES!$C$2:$C$42,MATCH(E1064,02_INDICADORES!$A$2:$A$42,0)),"ID?"))</f>
        <v/>
      </c>
      <c r="H1064" s="22" t="str">
        <f aca="false">IF(E1064="","",IFERROR(INDEX(02_INDICADORES!$D$2:$D$42,MATCH(E1064,02_INDICADORES!$A$2:$A$42,0)),""))</f>
        <v/>
      </c>
      <c r="I1064" s="9"/>
      <c r="J1064" s="16" t="str">
        <f aca="false">IF(OR(I1064="",H1064=""),"",I1064*H1064)</f>
        <v/>
      </c>
      <c r="K1064" s="9"/>
      <c r="L1064" s="9"/>
      <c r="M1064" s="9"/>
    </row>
    <row r="1065" customFormat="false" ht="15" hidden="false" customHeight="false" outlineLevel="0" collapsed="false">
      <c r="A1065" s="9"/>
      <c r="B1065" s="9"/>
      <c r="C1065" s="11"/>
      <c r="D1065" s="9"/>
      <c r="E1065" s="9"/>
      <c r="F1065" s="22" t="str">
        <f aca="false">IF(E1065="","",IFERROR(INDEX(02_INDICADORES!$B$2:$B$42,MATCH(E1065,02_INDICADORES!$A$2:$A$42,0)),"ID?"))</f>
        <v/>
      </c>
      <c r="G1065" s="21" t="str">
        <f aca="false">IF(E1065="","",IFERROR(INDEX(02_INDICADORES!$C$2:$C$42,MATCH(E1065,02_INDICADORES!$A$2:$A$42,0)),"ID?"))</f>
        <v/>
      </c>
      <c r="H1065" s="22" t="str">
        <f aca="false">IF(E1065="","",IFERROR(INDEX(02_INDICADORES!$D$2:$D$42,MATCH(E1065,02_INDICADORES!$A$2:$A$42,0)),""))</f>
        <v/>
      </c>
      <c r="I1065" s="9"/>
      <c r="J1065" s="16" t="str">
        <f aca="false">IF(OR(I1065="",H1065=""),"",I1065*H1065)</f>
        <v/>
      </c>
      <c r="K1065" s="9"/>
      <c r="L1065" s="9"/>
      <c r="M1065" s="9"/>
    </row>
    <row r="1066" customFormat="false" ht="15" hidden="false" customHeight="false" outlineLevel="0" collapsed="false">
      <c r="A1066" s="9"/>
      <c r="B1066" s="9"/>
      <c r="C1066" s="11"/>
      <c r="D1066" s="9"/>
      <c r="E1066" s="9"/>
      <c r="F1066" s="22" t="str">
        <f aca="false">IF(E1066="","",IFERROR(INDEX(02_INDICADORES!$B$2:$B$42,MATCH(E1066,02_INDICADORES!$A$2:$A$42,0)),"ID?"))</f>
        <v/>
      </c>
      <c r="G1066" s="21" t="str">
        <f aca="false">IF(E1066="","",IFERROR(INDEX(02_INDICADORES!$C$2:$C$42,MATCH(E1066,02_INDICADORES!$A$2:$A$42,0)),"ID?"))</f>
        <v/>
      </c>
      <c r="H1066" s="22" t="str">
        <f aca="false">IF(E1066="","",IFERROR(INDEX(02_INDICADORES!$D$2:$D$42,MATCH(E1066,02_INDICADORES!$A$2:$A$42,0)),""))</f>
        <v/>
      </c>
      <c r="I1066" s="9"/>
      <c r="J1066" s="16" t="str">
        <f aca="false">IF(OR(I1066="",H1066=""),"",I1066*H1066)</f>
        <v/>
      </c>
      <c r="K1066" s="9"/>
      <c r="L1066" s="9"/>
      <c r="M1066" s="9"/>
    </row>
    <row r="1067" customFormat="false" ht="15" hidden="false" customHeight="false" outlineLevel="0" collapsed="false">
      <c r="A1067" s="9"/>
      <c r="B1067" s="9"/>
      <c r="C1067" s="11"/>
      <c r="D1067" s="9"/>
      <c r="E1067" s="9"/>
      <c r="F1067" s="22" t="str">
        <f aca="false">IF(E1067="","",IFERROR(INDEX(02_INDICADORES!$B$2:$B$42,MATCH(E1067,02_INDICADORES!$A$2:$A$42,0)),"ID?"))</f>
        <v/>
      </c>
      <c r="G1067" s="21" t="str">
        <f aca="false">IF(E1067="","",IFERROR(INDEX(02_INDICADORES!$C$2:$C$42,MATCH(E1067,02_INDICADORES!$A$2:$A$42,0)),"ID?"))</f>
        <v/>
      </c>
      <c r="H1067" s="22" t="str">
        <f aca="false">IF(E1067="","",IFERROR(INDEX(02_INDICADORES!$D$2:$D$42,MATCH(E1067,02_INDICADORES!$A$2:$A$42,0)),""))</f>
        <v/>
      </c>
      <c r="I1067" s="9"/>
      <c r="J1067" s="16" t="str">
        <f aca="false">IF(OR(I1067="",H1067=""),"",I1067*H1067)</f>
        <v/>
      </c>
      <c r="K1067" s="9"/>
      <c r="L1067" s="9"/>
      <c r="M1067" s="9"/>
    </row>
    <row r="1068" customFormat="false" ht="15" hidden="false" customHeight="false" outlineLevel="0" collapsed="false">
      <c r="A1068" s="9"/>
      <c r="B1068" s="9"/>
      <c r="C1068" s="11"/>
      <c r="D1068" s="9"/>
      <c r="E1068" s="9"/>
      <c r="F1068" s="22" t="str">
        <f aca="false">IF(E1068="","",IFERROR(INDEX(02_INDICADORES!$B$2:$B$42,MATCH(E1068,02_INDICADORES!$A$2:$A$42,0)),"ID?"))</f>
        <v/>
      </c>
      <c r="G1068" s="21" t="str">
        <f aca="false">IF(E1068="","",IFERROR(INDEX(02_INDICADORES!$C$2:$C$42,MATCH(E1068,02_INDICADORES!$A$2:$A$42,0)),"ID?"))</f>
        <v/>
      </c>
      <c r="H1068" s="22" t="str">
        <f aca="false">IF(E1068="","",IFERROR(INDEX(02_INDICADORES!$D$2:$D$42,MATCH(E1068,02_INDICADORES!$A$2:$A$42,0)),""))</f>
        <v/>
      </c>
      <c r="I1068" s="9"/>
      <c r="J1068" s="16" t="str">
        <f aca="false">IF(OR(I1068="",H1068=""),"",I1068*H1068)</f>
        <v/>
      </c>
      <c r="K1068" s="9"/>
      <c r="L1068" s="9"/>
      <c r="M1068" s="9"/>
    </row>
    <row r="1069" customFormat="false" ht="15" hidden="false" customHeight="false" outlineLevel="0" collapsed="false">
      <c r="A1069" s="9"/>
      <c r="B1069" s="9"/>
      <c r="C1069" s="11"/>
      <c r="D1069" s="9"/>
      <c r="E1069" s="9"/>
      <c r="F1069" s="22" t="str">
        <f aca="false">IF(E1069="","",IFERROR(INDEX(02_INDICADORES!$B$2:$B$42,MATCH(E1069,02_INDICADORES!$A$2:$A$42,0)),"ID?"))</f>
        <v/>
      </c>
      <c r="G1069" s="21" t="str">
        <f aca="false">IF(E1069="","",IFERROR(INDEX(02_INDICADORES!$C$2:$C$42,MATCH(E1069,02_INDICADORES!$A$2:$A$42,0)),"ID?"))</f>
        <v/>
      </c>
      <c r="H1069" s="22" t="str">
        <f aca="false">IF(E1069="","",IFERROR(INDEX(02_INDICADORES!$D$2:$D$42,MATCH(E1069,02_INDICADORES!$A$2:$A$42,0)),""))</f>
        <v/>
      </c>
      <c r="I1069" s="9"/>
      <c r="J1069" s="16" t="str">
        <f aca="false">IF(OR(I1069="",H1069=""),"",I1069*H1069)</f>
        <v/>
      </c>
      <c r="K1069" s="9"/>
      <c r="L1069" s="9"/>
      <c r="M1069" s="9"/>
    </row>
    <row r="1070" customFormat="false" ht="15" hidden="false" customHeight="false" outlineLevel="0" collapsed="false">
      <c r="A1070" s="9"/>
      <c r="B1070" s="9"/>
      <c r="C1070" s="11"/>
      <c r="D1070" s="9"/>
      <c r="E1070" s="9"/>
      <c r="F1070" s="22" t="str">
        <f aca="false">IF(E1070="","",IFERROR(INDEX(02_INDICADORES!$B$2:$B$42,MATCH(E1070,02_INDICADORES!$A$2:$A$42,0)),"ID?"))</f>
        <v/>
      </c>
      <c r="G1070" s="21" t="str">
        <f aca="false">IF(E1070="","",IFERROR(INDEX(02_INDICADORES!$C$2:$C$42,MATCH(E1070,02_INDICADORES!$A$2:$A$42,0)),"ID?"))</f>
        <v/>
      </c>
      <c r="H1070" s="22" t="str">
        <f aca="false">IF(E1070="","",IFERROR(INDEX(02_INDICADORES!$D$2:$D$42,MATCH(E1070,02_INDICADORES!$A$2:$A$42,0)),""))</f>
        <v/>
      </c>
      <c r="I1070" s="9"/>
      <c r="J1070" s="16" t="str">
        <f aca="false">IF(OR(I1070="",H1070=""),"",I1070*H1070)</f>
        <v/>
      </c>
      <c r="K1070" s="9"/>
      <c r="L1070" s="9"/>
      <c r="M1070" s="9"/>
    </row>
    <row r="1071" customFormat="false" ht="15" hidden="false" customHeight="false" outlineLevel="0" collapsed="false">
      <c r="A1071" s="9"/>
      <c r="B1071" s="9"/>
      <c r="C1071" s="11"/>
      <c r="D1071" s="9"/>
      <c r="E1071" s="9"/>
      <c r="F1071" s="22" t="str">
        <f aca="false">IF(E1071="","",IFERROR(INDEX(02_INDICADORES!$B$2:$B$42,MATCH(E1071,02_INDICADORES!$A$2:$A$42,0)),"ID?"))</f>
        <v/>
      </c>
      <c r="G1071" s="21" t="str">
        <f aca="false">IF(E1071="","",IFERROR(INDEX(02_INDICADORES!$C$2:$C$42,MATCH(E1071,02_INDICADORES!$A$2:$A$42,0)),"ID?"))</f>
        <v/>
      </c>
      <c r="H1071" s="22" t="str">
        <f aca="false">IF(E1071="","",IFERROR(INDEX(02_INDICADORES!$D$2:$D$42,MATCH(E1071,02_INDICADORES!$A$2:$A$42,0)),""))</f>
        <v/>
      </c>
      <c r="I1071" s="9"/>
      <c r="J1071" s="16" t="str">
        <f aca="false">IF(OR(I1071="",H1071=""),"",I1071*H1071)</f>
        <v/>
      </c>
      <c r="K1071" s="9"/>
      <c r="L1071" s="9"/>
      <c r="M1071" s="9"/>
    </row>
    <row r="1072" customFormat="false" ht="15" hidden="false" customHeight="false" outlineLevel="0" collapsed="false">
      <c r="A1072" s="9"/>
      <c r="B1072" s="9"/>
      <c r="C1072" s="11"/>
      <c r="D1072" s="9"/>
      <c r="E1072" s="9"/>
      <c r="F1072" s="22" t="str">
        <f aca="false">IF(E1072="","",IFERROR(INDEX(02_INDICADORES!$B$2:$B$42,MATCH(E1072,02_INDICADORES!$A$2:$A$42,0)),"ID?"))</f>
        <v/>
      </c>
      <c r="G1072" s="21" t="str">
        <f aca="false">IF(E1072="","",IFERROR(INDEX(02_INDICADORES!$C$2:$C$42,MATCH(E1072,02_INDICADORES!$A$2:$A$42,0)),"ID?"))</f>
        <v/>
      </c>
      <c r="H1072" s="22" t="str">
        <f aca="false">IF(E1072="","",IFERROR(INDEX(02_INDICADORES!$D$2:$D$42,MATCH(E1072,02_INDICADORES!$A$2:$A$42,0)),""))</f>
        <v/>
      </c>
      <c r="I1072" s="9"/>
      <c r="J1072" s="16" t="str">
        <f aca="false">IF(OR(I1072="",H1072=""),"",I1072*H1072)</f>
        <v/>
      </c>
      <c r="K1072" s="9"/>
      <c r="L1072" s="9"/>
      <c r="M1072" s="9"/>
    </row>
    <row r="1073" customFormat="false" ht="15" hidden="false" customHeight="false" outlineLevel="0" collapsed="false">
      <c r="A1073" s="9"/>
      <c r="B1073" s="9"/>
      <c r="C1073" s="11"/>
      <c r="D1073" s="9"/>
      <c r="E1073" s="9"/>
      <c r="F1073" s="22" t="str">
        <f aca="false">IF(E1073="","",IFERROR(INDEX(02_INDICADORES!$B$2:$B$42,MATCH(E1073,02_INDICADORES!$A$2:$A$42,0)),"ID?"))</f>
        <v/>
      </c>
      <c r="G1073" s="21" t="str">
        <f aca="false">IF(E1073="","",IFERROR(INDEX(02_INDICADORES!$C$2:$C$42,MATCH(E1073,02_INDICADORES!$A$2:$A$42,0)),"ID?"))</f>
        <v/>
      </c>
      <c r="H1073" s="22" t="str">
        <f aca="false">IF(E1073="","",IFERROR(INDEX(02_INDICADORES!$D$2:$D$42,MATCH(E1073,02_INDICADORES!$A$2:$A$42,0)),""))</f>
        <v/>
      </c>
      <c r="I1073" s="9"/>
      <c r="J1073" s="16" t="str">
        <f aca="false">IF(OR(I1073="",H1073=""),"",I1073*H1073)</f>
        <v/>
      </c>
      <c r="K1073" s="9"/>
      <c r="L1073" s="9"/>
      <c r="M1073" s="9"/>
    </row>
    <row r="1074" customFormat="false" ht="15" hidden="false" customHeight="false" outlineLevel="0" collapsed="false">
      <c r="A1074" s="9"/>
      <c r="B1074" s="9"/>
      <c r="C1074" s="11"/>
      <c r="D1074" s="9"/>
      <c r="E1074" s="9"/>
      <c r="F1074" s="22" t="str">
        <f aca="false">IF(E1074="","",IFERROR(INDEX(02_INDICADORES!$B$2:$B$42,MATCH(E1074,02_INDICADORES!$A$2:$A$42,0)),"ID?"))</f>
        <v/>
      </c>
      <c r="G1074" s="21" t="str">
        <f aca="false">IF(E1074="","",IFERROR(INDEX(02_INDICADORES!$C$2:$C$42,MATCH(E1074,02_INDICADORES!$A$2:$A$42,0)),"ID?"))</f>
        <v/>
      </c>
      <c r="H1074" s="22" t="str">
        <f aca="false">IF(E1074="","",IFERROR(INDEX(02_INDICADORES!$D$2:$D$42,MATCH(E1074,02_INDICADORES!$A$2:$A$42,0)),""))</f>
        <v/>
      </c>
      <c r="I1074" s="9"/>
      <c r="J1074" s="16" t="str">
        <f aca="false">IF(OR(I1074="",H1074=""),"",I1074*H1074)</f>
        <v/>
      </c>
      <c r="K1074" s="9"/>
      <c r="L1074" s="9"/>
      <c r="M1074" s="9"/>
    </row>
    <row r="1075" customFormat="false" ht="15" hidden="false" customHeight="false" outlineLevel="0" collapsed="false">
      <c r="A1075" s="9"/>
      <c r="B1075" s="9"/>
      <c r="C1075" s="11"/>
      <c r="D1075" s="9"/>
      <c r="E1075" s="9"/>
      <c r="F1075" s="22" t="str">
        <f aca="false">IF(E1075="","",IFERROR(INDEX(02_INDICADORES!$B$2:$B$42,MATCH(E1075,02_INDICADORES!$A$2:$A$42,0)),"ID?"))</f>
        <v/>
      </c>
      <c r="G1075" s="21" t="str">
        <f aca="false">IF(E1075="","",IFERROR(INDEX(02_INDICADORES!$C$2:$C$42,MATCH(E1075,02_INDICADORES!$A$2:$A$42,0)),"ID?"))</f>
        <v/>
      </c>
      <c r="H1075" s="22" t="str">
        <f aca="false">IF(E1075="","",IFERROR(INDEX(02_INDICADORES!$D$2:$D$42,MATCH(E1075,02_INDICADORES!$A$2:$A$42,0)),""))</f>
        <v/>
      </c>
      <c r="I1075" s="9"/>
      <c r="J1075" s="16" t="str">
        <f aca="false">IF(OR(I1075="",H1075=""),"",I1075*H1075)</f>
        <v/>
      </c>
      <c r="K1075" s="9"/>
      <c r="L1075" s="9"/>
      <c r="M1075" s="9"/>
    </row>
    <row r="1076" customFormat="false" ht="15" hidden="false" customHeight="false" outlineLevel="0" collapsed="false">
      <c r="A1076" s="9"/>
      <c r="B1076" s="9"/>
      <c r="C1076" s="11"/>
      <c r="D1076" s="9"/>
      <c r="E1076" s="9"/>
      <c r="F1076" s="22" t="str">
        <f aca="false">IF(E1076="","",IFERROR(INDEX(02_INDICADORES!$B$2:$B$42,MATCH(E1076,02_INDICADORES!$A$2:$A$42,0)),"ID?"))</f>
        <v/>
      </c>
      <c r="G1076" s="21" t="str">
        <f aca="false">IF(E1076="","",IFERROR(INDEX(02_INDICADORES!$C$2:$C$42,MATCH(E1076,02_INDICADORES!$A$2:$A$42,0)),"ID?"))</f>
        <v/>
      </c>
      <c r="H1076" s="22" t="str">
        <f aca="false">IF(E1076="","",IFERROR(INDEX(02_INDICADORES!$D$2:$D$42,MATCH(E1076,02_INDICADORES!$A$2:$A$42,0)),""))</f>
        <v/>
      </c>
      <c r="I1076" s="9"/>
      <c r="J1076" s="16" t="str">
        <f aca="false">IF(OR(I1076="",H1076=""),"",I1076*H1076)</f>
        <v/>
      </c>
      <c r="K1076" s="9"/>
      <c r="L1076" s="9"/>
      <c r="M1076" s="9"/>
    </row>
    <row r="1077" customFormat="false" ht="15" hidden="false" customHeight="false" outlineLevel="0" collapsed="false">
      <c r="A1077" s="9"/>
      <c r="B1077" s="9"/>
      <c r="C1077" s="11"/>
      <c r="D1077" s="9"/>
      <c r="E1077" s="9"/>
      <c r="F1077" s="22" t="str">
        <f aca="false">IF(E1077="","",IFERROR(INDEX(02_INDICADORES!$B$2:$B$42,MATCH(E1077,02_INDICADORES!$A$2:$A$42,0)),"ID?"))</f>
        <v/>
      </c>
      <c r="G1077" s="21" t="str">
        <f aca="false">IF(E1077="","",IFERROR(INDEX(02_INDICADORES!$C$2:$C$42,MATCH(E1077,02_INDICADORES!$A$2:$A$42,0)),"ID?"))</f>
        <v/>
      </c>
      <c r="H1077" s="22" t="str">
        <f aca="false">IF(E1077="","",IFERROR(INDEX(02_INDICADORES!$D$2:$D$42,MATCH(E1077,02_INDICADORES!$A$2:$A$42,0)),""))</f>
        <v/>
      </c>
      <c r="I1077" s="9"/>
      <c r="J1077" s="16" t="str">
        <f aca="false">IF(OR(I1077="",H1077=""),"",I1077*H1077)</f>
        <v/>
      </c>
      <c r="K1077" s="9"/>
      <c r="L1077" s="9"/>
      <c r="M1077" s="9"/>
    </row>
    <row r="1078" customFormat="false" ht="15" hidden="false" customHeight="false" outlineLevel="0" collapsed="false">
      <c r="A1078" s="9"/>
      <c r="B1078" s="9"/>
      <c r="C1078" s="11"/>
      <c r="D1078" s="9"/>
      <c r="E1078" s="9"/>
      <c r="F1078" s="22" t="str">
        <f aca="false">IF(E1078="","",IFERROR(INDEX(02_INDICADORES!$B$2:$B$42,MATCH(E1078,02_INDICADORES!$A$2:$A$42,0)),"ID?"))</f>
        <v/>
      </c>
      <c r="G1078" s="21" t="str">
        <f aca="false">IF(E1078="","",IFERROR(INDEX(02_INDICADORES!$C$2:$C$42,MATCH(E1078,02_INDICADORES!$A$2:$A$42,0)),"ID?"))</f>
        <v/>
      </c>
      <c r="H1078" s="22" t="str">
        <f aca="false">IF(E1078="","",IFERROR(INDEX(02_INDICADORES!$D$2:$D$42,MATCH(E1078,02_INDICADORES!$A$2:$A$42,0)),""))</f>
        <v/>
      </c>
      <c r="I1078" s="9"/>
      <c r="J1078" s="16" t="str">
        <f aca="false">IF(OR(I1078="",H1078=""),"",I1078*H1078)</f>
        <v/>
      </c>
      <c r="K1078" s="9"/>
      <c r="L1078" s="9"/>
      <c r="M1078" s="9"/>
    </row>
    <row r="1079" customFormat="false" ht="15" hidden="false" customHeight="false" outlineLevel="0" collapsed="false">
      <c r="A1079" s="9"/>
      <c r="B1079" s="9"/>
      <c r="C1079" s="11"/>
      <c r="D1079" s="9"/>
      <c r="E1079" s="9"/>
      <c r="F1079" s="22" t="str">
        <f aca="false">IF(E1079="","",IFERROR(INDEX(02_INDICADORES!$B$2:$B$42,MATCH(E1079,02_INDICADORES!$A$2:$A$42,0)),"ID?"))</f>
        <v/>
      </c>
      <c r="G1079" s="21" t="str">
        <f aca="false">IF(E1079="","",IFERROR(INDEX(02_INDICADORES!$C$2:$C$42,MATCH(E1079,02_INDICADORES!$A$2:$A$42,0)),"ID?"))</f>
        <v/>
      </c>
      <c r="H1079" s="22" t="str">
        <f aca="false">IF(E1079="","",IFERROR(INDEX(02_INDICADORES!$D$2:$D$42,MATCH(E1079,02_INDICADORES!$A$2:$A$42,0)),""))</f>
        <v/>
      </c>
      <c r="I1079" s="9"/>
      <c r="J1079" s="16" t="str">
        <f aca="false">IF(OR(I1079="",H1079=""),"",I1079*H1079)</f>
        <v/>
      </c>
      <c r="K1079" s="9"/>
      <c r="L1079" s="9"/>
      <c r="M1079" s="9"/>
    </row>
    <row r="1080" customFormat="false" ht="15" hidden="false" customHeight="false" outlineLevel="0" collapsed="false">
      <c r="A1080" s="9"/>
      <c r="B1080" s="9"/>
      <c r="C1080" s="11"/>
      <c r="D1080" s="9"/>
      <c r="E1080" s="9"/>
      <c r="F1080" s="22" t="str">
        <f aca="false">IF(E1080="","",IFERROR(INDEX(02_INDICADORES!$B$2:$B$42,MATCH(E1080,02_INDICADORES!$A$2:$A$42,0)),"ID?"))</f>
        <v/>
      </c>
      <c r="G1080" s="21" t="str">
        <f aca="false">IF(E1080="","",IFERROR(INDEX(02_INDICADORES!$C$2:$C$42,MATCH(E1080,02_INDICADORES!$A$2:$A$42,0)),"ID?"))</f>
        <v/>
      </c>
      <c r="H1080" s="22" t="str">
        <f aca="false">IF(E1080="","",IFERROR(INDEX(02_INDICADORES!$D$2:$D$42,MATCH(E1080,02_INDICADORES!$A$2:$A$42,0)),""))</f>
        <v/>
      </c>
      <c r="I1080" s="9"/>
      <c r="J1080" s="16" t="str">
        <f aca="false">IF(OR(I1080="",H1080=""),"",I1080*H1080)</f>
        <v/>
      </c>
      <c r="K1080" s="9"/>
      <c r="L1080" s="9"/>
      <c r="M1080" s="9"/>
    </row>
    <row r="1081" customFormat="false" ht="15" hidden="false" customHeight="false" outlineLevel="0" collapsed="false">
      <c r="A1081" s="9"/>
      <c r="B1081" s="9"/>
      <c r="C1081" s="11"/>
      <c r="D1081" s="9"/>
      <c r="E1081" s="9"/>
      <c r="F1081" s="22" t="str">
        <f aca="false">IF(E1081="","",IFERROR(INDEX(02_INDICADORES!$B$2:$B$42,MATCH(E1081,02_INDICADORES!$A$2:$A$42,0)),"ID?"))</f>
        <v/>
      </c>
      <c r="G1081" s="21" t="str">
        <f aca="false">IF(E1081="","",IFERROR(INDEX(02_INDICADORES!$C$2:$C$42,MATCH(E1081,02_INDICADORES!$A$2:$A$42,0)),"ID?"))</f>
        <v/>
      </c>
      <c r="H1081" s="22" t="str">
        <f aca="false">IF(E1081="","",IFERROR(INDEX(02_INDICADORES!$D$2:$D$42,MATCH(E1081,02_INDICADORES!$A$2:$A$42,0)),""))</f>
        <v/>
      </c>
      <c r="I1081" s="9"/>
      <c r="J1081" s="16" t="str">
        <f aca="false">IF(OR(I1081="",H1081=""),"",I1081*H1081)</f>
        <v/>
      </c>
      <c r="K1081" s="9"/>
      <c r="L1081" s="9"/>
      <c r="M1081" s="9"/>
    </row>
    <row r="1082" customFormat="false" ht="15" hidden="false" customHeight="false" outlineLevel="0" collapsed="false">
      <c r="A1082" s="9"/>
      <c r="B1082" s="9"/>
      <c r="C1082" s="11"/>
      <c r="D1082" s="9"/>
      <c r="E1082" s="9"/>
      <c r="F1082" s="22" t="str">
        <f aca="false">IF(E1082="","",IFERROR(INDEX(02_INDICADORES!$B$2:$B$42,MATCH(E1082,02_INDICADORES!$A$2:$A$42,0)),"ID?"))</f>
        <v/>
      </c>
      <c r="G1082" s="21" t="str">
        <f aca="false">IF(E1082="","",IFERROR(INDEX(02_INDICADORES!$C$2:$C$42,MATCH(E1082,02_INDICADORES!$A$2:$A$42,0)),"ID?"))</f>
        <v/>
      </c>
      <c r="H1082" s="22" t="str">
        <f aca="false">IF(E1082="","",IFERROR(INDEX(02_INDICADORES!$D$2:$D$42,MATCH(E1082,02_INDICADORES!$A$2:$A$42,0)),""))</f>
        <v/>
      </c>
      <c r="I1082" s="9"/>
      <c r="J1082" s="16" t="str">
        <f aca="false">IF(OR(I1082="",H1082=""),"",I1082*H1082)</f>
        <v/>
      </c>
      <c r="K1082" s="9"/>
      <c r="L1082" s="9"/>
      <c r="M1082" s="9"/>
    </row>
    <row r="1083" customFormat="false" ht="15" hidden="false" customHeight="false" outlineLevel="0" collapsed="false">
      <c r="A1083" s="9"/>
      <c r="B1083" s="9"/>
      <c r="C1083" s="11"/>
      <c r="D1083" s="9"/>
      <c r="E1083" s="9"/>
      <c r="F1083" s="22" t="str">
        <f aca="false">IF(E1083="","",IFERROR(INDEX(02_INDICADORES!$B$2:$B$42,MATCH(E1083,02_INDICADORES!$A$2:$A$42,0)),"ID?"))</f>
        <v/>
      </c>
      <c r="G1083" s="21" t="str">
        <f aca="false">IF(E1083="","",IFERROR(INDEX(02_INDICADORES!$C$2:$C$42,MATCH(E1083,02_INDICADORES!$A$2:$A$42,0)),"ID?"))</f>
        <v/>
      </c>
      <c r="H1083" s="22" t="str">
        <f aca="false">IF(E1083="","",IFERROR(INDEX(02_INDICADORES!$D$2:$D$42,MATCH(E1083,02_INDICADORES!$A$2:$A$42,0)),""))</f>
        <v/>
      </c>
      <c r="I1083" s="9"/>
      <c r="J1083" s="16" t="str">
        <f aca="false">IF(OR(I1083="",H1083=""),"",I1083*H1083)</f>
        <v/>
      </c>
      <c r="K1083" s="9"/>
      <c r="L1083" s="9"/>
      <c r="M1083" s="9"/>
    </row>
    <row r="1084" customFormat="false" ht="15" hidden="false" customHeight="false" outlineLevel="0" collapsed="false">
      <c r="A1084" s="9"/>
      <c r="B1084" s="9"/>
      <c r="C1084" s="11"/>
      <c r="D1084" s="9"/>
      <c r="E1084" s="9"/>
      <c r="F1084" s="22" t="str">
        <f aca="false">IF(E1084="","",IFERROR(INDEX(02_INDICADORES!$B$2:$B$42,MATCH(E1084,02_INDICADORES!$A$2:$A$42,0)),"ID?"))</f>
        <v/>
      </c>
      <c r="G1084" s="21" t="str">
        <f aca="false">IF(E1084="","",IFERROR(INDEX(02_INDICADORES!$C$2:$C$42,MATCH(E1084,02_INDICADORES!$A$2:$A$42,0)),"ID?"))</f>
        <v/>
      </c>
      <c r="H1084" s="22" t="str">
        <f aca="false">IF(E1084="","",IFERROR(INDEX(02_INDICADORES!$D$2:$D$42,MATCH(E1084,02_INDICADORES!$A$2:$A$42,0)),""))</f>
        <v/>
      </c>
      <c r="I1084" s="9"/>
      <c r="J1084" s="16" t="str">
        <f aca="false">IF(OR(I1084="",H1084=""),"",I1084*H1084)</f>
        <v/>
      </c>
      <c r="K1084" s="9"/>
      <c r="L1084" s="9"/>
      <c r="M1084" s="9"/>
    </row>
    <row r="1085" customFormat="false" ht="15" hidden="false" customHeight="false" outlineLevel="0" collapsed="false">
      <c r="A1085" s="9"/>
      <c r="B1085" s="9"/>
      <c r="C1085" s="11"/>
      <c r="D1085" s="9"/>
      <c r="E1085" s="9"/>
      <c r="F1085" s="22" t="str">
        <f aca="false">IF(E1085="","",IFERROR(INDEX(02_INDICADORES!$B$2:$B$42,MATCH(E1085,02_INDICADORES!$A$2:$A$42,0)),"ID?"))</f>
        <v/>
      </c>
      <c r="G1085" s="21" t="str">
        <f aca="false">IF(E1085="","",IFERROR(INDEX(02_INDICADORES!$C$2:$C$42,MATCH(E1085,02_INDICADORES!$A$2:$A$42,0)),"ID?"))</f>
        <v/>
      </c>
      <c r="H1085" s="22" t="str">
        <f aca="false">IF(E1085="","",IFERROR(INDEX(02_INDICADORES!$D$2:$D$42,MATCH(E1085,02_INDICADORES!$A$2:$A$42,0)),""))</f>
        <v/>
      </c>
      <c r="I1085" s="9"/>
      <c r="J1085" s="16" t="str">
        <f aca="false">IF(OR(I1085="",H1085=""),"",I1085*H1085)</f>
        <v/>
      </c>
      <c r="K1085" s="9"/>
      <c r="L1085" s="9"/>
      <c r="M1085" s="9"/>
    </row>
    <row r="1086" customFormat="false" ht="15" hidden="false" customHeight="false" outlineLevel="0" collapsed="false">
      <c r="A1086" s="9"/>
      <c r="B1086" s="9"/>
      <c r="C1086" s="11"/>
      <c r="D1086" s="9"/>
      <c r="E1086" s="9"/>
      <c r="F1086" s="22" t="str">
        <f aca="false">IF(E1086="","",IFERROR(INDEX(02_INDICADORES!$B$2:$B$42,MATCH(E1086,02_INDICADORES!$A$2:$A$42,0)),"ID?"))</f>
        <v/>
      </c>
      <c r="G1086" s="21" t="str">
        <f aca="false">IF(E1086="","",IFERROR(INDEX(02_INDICADORES!$C$2:$C$42,MATCH(E1086,02_INDICADORES!$A$2:$A$42,0)),"ID?"))</f>
        <v/>
      </c>
      <c r="H1086" s="22" t="str">
        <f aca="false">IF(E1086="","",IFERROR(INDEX(02_INDICADORES!$D$2:$D$42,MATCH(E1086,02_INDICADORES!$A$2:$A$42,0)),""))</f>
        <v/>
      </c>
      <c r="I1086" s="9"/>
      <c r="J1086" s="16" t="str">
        <f aca="false">IF(OR(I1086="",H1086=""),"",I1086*H1086)</f>
        <v/>
      </c>
      <c r="K1086" s="9"/>
      <c r="L1086" s="9"/>
      <c r="M1086" s="9"/>
    </row>
    <row r="1087" customFormat="false" ht="15" hidden="false" customHeight="false" outlineLevel="0" collapsed="false">
      <c r="A1087" s="9"/>
      <c r="B1087" s="9"/>
      <c r="C1087" s="11"/>
      <c r="D1087" s="9"/>
      <c r="E1087" s="9"/>
      <c r="F1087" s="22" t="str">
        <f aca="false">IF(E1087="","",IFERROR(INDEX(02_INDICADORES!$B$2:$B$42,MATCH(E1087,02_INDICADORES!$A$2:$A$42,0)),"ID?"))</f>
        <v/>
      </c>
      <c r="G1087" s="21" t="str">
        <f aca="false">IF(E1087="","",IFERROR(INDEX(02_INDICADORES!$C$2:$C$42,MATCH(E1087,02_INDICADORES!$A$2:$A$42,0)),"ID?"))</f>
        <v/>
      </c>
      <c r="H1087" s="22" t="str">
        <f aca="false">IF(E1087="","",IFERROR(INDEX(02_INDICADORES!$D$2:$D$42,MATCH(E1087,02_INDICADORES!$A$2:$A$42,0)),""))</f>
        <v/>
      </c>
      <c r="I1087" s="9"/>
      <c r="J1087" s="16" t="str">
        <f aca="false">IF(OR(I1087="",H1087=""),"",I1087*H1087)</f>
        <v/>
      </c>
      <c r="K1087" s="9"/>
      <c r="L1087" s="9"/>
      <c r="M1087" s="9"/>
    </row>
    <row r="1088" customFormat="false" ht="15" hidden="false" customHeight="false" outlineLevel="0" collapsed="false">
      <c r="A1088" s="9"/>
      <c r="B1088" s="9"/>
      <c r="C1088" s="11"/>
      <c r="D1088" s="9"/>
      <c r="E1088" s="9"/>
      <c r="F1088" s="22" t="str">
        <f aca="false">IF(E1088="","",IFERROR(INDEX(02_INDICADORES!$B$2:$B$42,MATCH(E1088,02_INDICADORES!$A$2:$A$42,0)),"ID?"))</f>
        <v/>
      </c>
      <c r="G1088" s="21" t="str">
        <f aca="false">IF(E1088="","",IFERROR(INDEX(02_INDICADORES!$C$2:$C$42,MATCH(E1088,02_INDICADORES!$A$2:$A$42,0)),"ID?"))</f>
        <v/>
      </c>
      <c r="H1088" s="22" t="str">
        <f aca="false">IF(E1088="","",IFERROR(INDEX(02_INDICADORES!$D$2:$D$42,MATCH(E1088,02_INDICADORES!$A$2:$A$42,0)),""))</f>
        <v/>
      </c>
      <c r="I1088" s="9"/>
      <c r="J1088" s="16" t="str">
        <f aca="false">IF(OR(I1088="",H1088=""),"",I1088*H1088)</f>
        <v/>
      </c>
      <c r="K1088" s="9"/>
      <c r="L1088" s="9"/>
      <c r="M1088" s="9"/>
    </row>
    <row r="1089" customFormat="false" ht="15" hidden="false" customHeight="false" outlineLevel="0" collapsed="false">
      <c r="A1089" s="9"/>
      <c r="B1089" s="9"/>
      <c r="C1089" s="11"/>
      <c r="D1089" s="9"/>
      <c r="E1089" s="9"/>
      <c r="F1089" s="22" t="str">
        <f aca="false">IF(E1089="","",IFERROR(INDEX(02_INDICADORES!$B$2:$B$42,MATCH(E1089,02_INDICADORES!$A$2:$A$42,0)),"ID?"))</f>
        <v/>
      </c>
      <c r="G1089" s="21" t="str">
        <f aca="false">IF(E1089="","",IFERROR(INDEX(02_INDICADORES!$C$2:$C$42,MATCH(E1089,02_INDICADORES!$A$2:$A$42,0)),"ID?"))</f>
        <v/>
      </c>
      <c r="H1089" s="22" t="str">
        <f aca="false">IF(E1089="","",IFERROR(INDEX(02_INDICADORES!$D$2:$D$42,MATCH(E1089,02_INDICADORES!$A$2:$A$42,0)),""))</f>
        <v/>
      </c>
      <c r="I1089" s="9"/>
      <c r="J1089" s="16" t="str">
        <f aca="false">IF(OR(I1089="",H1089=""),"",I1089*H1089)</f>
        <v/>
      </c>
      <c r="K1089" s="9"/>
      <c r="L1089" s="9"/>
      <c r="M1089" s="9"/>
    </row>
    <row r="1090" customFormat="false" ht="15" hidden="false" customHeight="false" outlineLevel="0" collapsed="false">
      <c r="A1090" s="9"/>
      <c r="B1090" s="9"/>
      <c r="C1090" s="11"/>
      <c r="D1090" s="9"/>
      <c r="E1090" s="9"/>
      <c r="F1090" s="22" t="str">
        <f aca="false">IF(E1090="","",IFERROR(INDEX(02_INDICADORES!$B$2:$B$42,MATCH(E1090,02_INDICADORES!$A$2:$A$42,0)),"ID?"))</f>
        <v/>
      </c>
      <c r="G1090" s="21" t="str">
        <f aca="false">IF(E1090="","",IFERROR(INDEX(02_INDICADORES!$C$2:$C$42,MATCH(E1090,02_INDICADORES!$A$2:$A$42,0)),"ID?"))</f>
        <v/>
      </c>
      <c r="H1090" s="22" t="str">
        <f aca="false">IF(E1090="","",IFERROR(INDEX(02_INDICADORES!$D$2:$D$42,MATCH(E1090,02_INDICADORES!$A$2:$A$42,0)),""))</f>
        <v/>
      </c>
      <c r="I1090" s="9"/>
      <c r="J1090" s="16" t="str">
        <f aca="false">IF(OR(I1090="",H1090=""),"",I1090*H1090)</f>
        <v/>
      </c>
      <c r="K1090" s="9"/>
      <c r="L1090" s="9"/>
      <c r="M1090" s="9"/>
    </row>
    <row r="1091" customFormat="false" ht="15" hidden="false" customHeight="false" outlineLevel="0" collapsed="false">
      <c r="A1091" s="9"/>
      <c r="B1091" s="9"/>
      <c r="C1091" s="11"/>
      <c r="D1091" s="9"/>
      <c r="E1091" s="9"/>
      <c r="F1091" s="22" t="str">
        <f aca="false">IF(E1091="","",IFERROR(INDEX(02_INDICADORES!$B$2:$B$42,MATCH(E1091,02_INDICADORES!$A$2:$A$42,0)),"ID?"))</f>
        <v/>
      </c>
      <c r="G1091" s="21" t="str">
        <f aca="false">IF(E1091="","",IFERROR(INDEX(02_INDICADORES!$C$2:$C$42,MATCH(E1091,02_INDICADORES!$A$2:$A$42,0)),"ID?"))</f>
        <v/>
      </c>
      <c r="H1091" s="22" t="str">
        <f aca="false">IF(E1091="","",IFERROR(INDEX(02_INDICADORES!$D$2:$D$42,MATCH(E1091,02_INDICADORES!$A$2:$A$42,0)),""))</f>
        <v/>
      </c>
      <c r="I1091" s="9"/>
      <c r="J1091" s="16" t="str">
        <f aca="false">IF(OR(I1091="",H1091=""),"",I1091*H1091)</f>
        <v/>
      </c>
      <c r="K1091" s="9"/>
      <c r="L1091" s="9"/>
      <c r="M1091" s="9"/>
    </row>
    <row r="1092" customFormat="false" ht="15" hidden="false" customHeight="false" outlineLevel="0" collapsed="false">
      <c r="A1092" s="9"/>
      <c r="B1092" s="9"/>
      <c r="C1092" s="11"/>
      <c r="D1092" s="9"/>
      <c r="E1092" s="9"/>
      <c r="F1092" s="22" t="str">
        <f aca="false">IF(E1092="","",IFERROR(INDEX(02_INDICADORES!$B$2:$B$42,MATCH(E1092,02_INDICADORES!$A$2:$A$42,0)),"ID?"))</f>
        <v/>
      </c>
      <c r="G1092" s="21" t="str">
        <f aca="false">IF(E1092="","",IFERROR(INDEX(02_INDICADORES!$C$2:$C$42,MATCH(E1092,02_INDICADORES!$A$2:$A$42,0)),"ID?"))</f>
        <v/>
      </c>
      <c r="H1092" s="22" t="str">
        <f aca="false">IF(E1092="","",IFERROR(INDEX(02_INDICADORES!$D$2:$D$42,MATCH(E1092,02_INDICADORES!$A$2:$A$42,0)),""))</f>
        <v/>
      </c>
      <c r="I1092" s="9"/>
      <c r="J1092" s="16" t="str">
        <f aca="false">IF(OR(I1092="",H1092=""),"",I1092*H1092)</f>
        <v/>
      </c>
      <c r="K1092" s="9"/>
      <c r="L1092" s="9"/>
      <c r="M1092" s="9"/>
    </row>
    <row r="1093" customFormat="false" ht="15" hidden="false" customHeight="false" outlineLevel="0" collapsed="false">
      <c r="A1093" s="9"/>
      <c r="B1093" s="9"/>
      <c r="C1093" s="11"/>
      <c r="D1093" s="9"/>
      <c r="E1093" s="9"/>
      <c r="F1093" s="22" t="str">
        <f aca="false">IF(E1093="","",IFERROR(INDEX(02_INDICADORES!$B$2:$B$42,MATCH(E1093,02_INDICADORES!$A$2:$A$42,0)),"ID?"))</f>
        <v/>
      </c>
      <c r="G1093" s="21" t="str">
        <f aca="false">IF(E1093="","",IFERROR(INDEX(02_INDICADORES!$C$2:$C$42,MATCH(E1093,02_INDICADORES!$A$2:$A$42,0)),"ID?"))</f>
        <v/>
      </c>
      <c r="H1093" s="22" t="str">
        <f aca="false">IF(E1093="","",IFERROR(INDEX(02_INDICADORES!$D$2:$D$42,MATCH(E1093,02_INDICADORES!$A$2:$A$42,0)),""))</f>
        <v/>
      </c>
      <c r="I1093" s="9"/>
      <c r="J1093" s="16" t="str">
        <f aca="false">IF(OR(I1093="",H1093=""),"",I1093*H1093)</f>
        <v/>
      </c>
      <c r="K1093" s="9"/>
      <c r="L1093" s="9"/>
      <c r="M1093" s="9"/>
    </row>
    <row r="1094" customFormat="false" ht="15" hidden="false" customHeight="false" outlineLevel="0" collapsed="false">
      <c r="A1094" s="9"/>
      <c r="B1094" s="9"/>
      <c r="C1094" s="11"/>
      <c r="D1094" s="9"/>
      <c r="E1094" s="9"/>
      <c r="F1094" s="22" t="str">
        <f aca="false">IF(E1094="","",IFERROR(INDEX(02_INDICADORES!$B$2:$B$42,MATCH(E1094,02_INDICADORES!$A$2:$A$42,0)),"ID?"))</f>
        <v/>
      </c>
      <c r="G1094" s="21" t="str">
        <f aca="false">IF(E1094="","",IFERROR(INDEX(02_INDICADORES!$C$2:$C$42,MATCH(E1094,02_INDICADORES!$A$2:$A$42,0)),"ID?"))</f>
        <v/>
      </c>
      <c r="H1094" s="22" t="str">
        <f aca="false">IF(E1094="","",IFERROR(INDEX(02_INDICADORES!$D$2:$D$42,MATCH(E1094,02_INDICADORES!$A$2:$A$42,0)),""))</f>
        <v/>
      </c>
      <c r="I1094" s="9"/>
      <c r="J1094" s="16" t="str">
        <f aca="false">IF(OR(I1094="",H1094=""),"",I1094*H1094)</f>
        <v/>
      </c>
      <c r="K1094" s="9"/>
      <c r="L1094" s="9"/>
      <c r="M1094" s="9"/>
    </row>
    <row r="1095" customFormat="false" ht="15" hidden="false" customHeight="false" outlineLevel="0" collapsed="false">
      <c r="A1095" s="9"/>
      <c r="B1095" s="9"/>
      <c r="C1095" s="11"/>
      <c r="D1095" s="9"/>
      <c r="E1095" s="9"/>
      <c r="F1095" s="22" t="str">
        <f aca="false">IF(E1095="","",IFERROR(INDEX(02_INDICADORES!$B$2:$B$42,MATCH(E1095,02_INDICADORES!$A$2:$A$42,0)),"ID?"))</f>
        <v/>
      </c>
      <c r="G1095" s="21" t="str">
        <f aca="false">IF(E1095="","",IFERROR(INDEX(02_INDICADORES!$C$2:$C$42,MATCH(E1095,02_INDICADORES!$A$2:$A$42,0)),"ID?"))</f>
        <v/>
      </c>
      <c r="H1095" s="22" t="str">
        <f aca="false">IF(E1095="","",IFERROR(INDEX(02_INDICADORES!$D$2:$D$42,MATCH(E1095,02_INDICADORES!$A$2:$A$42,0)),""))</f>
        <v/>
      </c>
      <c r="I1095" s="9"/>
      <c r="J1095" s="16" t="str">
        <f aca="false">IF(OR(I1095="",H1095=""),"",I1095*H1095)</f>
        <v/>
      </c>
      <c r="K1095" s="9"/>
      <c r="L1095" s="9"/>
      <c r="M1095" s="9"/>
    </row>
    <row r="1096" customFormat="false" ht="15" hidden="false" customHeight="false" outlineLevel="0" collapsed="false">
      <c r="A1096" s="9"/>
      <c r="B1096" s="9"/>
      <c r="C1096" s="11"/>
      <c r="D1096" s="9"/>
      <c r="E1096" s="9"/>
      <c r="F1096" s="22" t="str">
        <f aca="false">IF(E1096="","",IFERROR(INDEX(02_INDICADORES!$B$2:$B$42,MATCH(E1096,02_INDICADORES!$A$2:$A$42,0)),"ID?"))</f>
        <v/>
      </c>
      <c r="G1096" s="21" t="str">
        <f aca="false">IF(E1096="","",IFERROR(INDEX(02_INDICADORES!$C$2:$C$42,MATCH(E1096,02_INDICADORES!$A$2:$A$42,0)),"ID?"))</f>
        <v/>
      </c>
      <c r="H1096" s="22" t="str">
        <f aca="false">IF(E1096="","",IFERROR(INDEX(02_INDICADORES!$D$2:$D$42,MATCH(E1096,02_INDICADORES!$A$2:$A$42,0)),""))</f>
        <v/>
      </c>
      <c r="I1096" s="9"/>
      <c r="J1096" s="16" t="str">
        <f aca="false">IF(OR(I1096="",H1096=""),"",I1096*H1096)</f>
        <v/>
      </c>
      <c r="K1096" s="9"/>
      <c r="L1096" s="9"/>
      <c r="M1096" s="9"/>
    </row>
    <row r="1097" customFormat="false" ht="15" hidden="false" customHeight="false" outlineLevel="0" collapsed="false">
      <c r="A1097" s="9"/>
      <c r="B1097" s="9"/>
      <c r="C1097" s="11"/>
      <c r="D1097" s="9"/>
      <c r="E1097" s="9"/>
      <c r="F1097" s="22" t="str">
        <f aca="false">IF(E1097="","",IFERROR(INDEX(02_INDICADORES!$B$2:$B$42,MATCH(E1097,02_INDICADORES!$A$2:$A$42,0)),"ID?"))</f>
        <v/>
      </c>
      <c r="G1097" s="21" t="str">
        <f aca="false">IF(E1097="","",IFERROR(INDEX(02_INDICADORES!$C$2:$C$42,MATCH(E1097,02_INDICADORES!$A$2:$A$42,0)),"ID?"))</f>
        <v/>
      </c>
      <c r="H1097" s="22" t="str">
        <f aca="false">IF(E1097="","",IFERROR(INDEX(02_INDICADORES!$D$2:$D$42,MATCH(E1097,02_INDICADORES!$A$2:$A$42,0)),""))</f>
        <v/>
      </c>
      <c r="I1097" s="9"/>
      <c r="J1097" s="16" t="str">
        <f aca="false">IF(OR(I1097="",H1097=""),"",I1097*H1097)</f>
        <v/>
      </c>
      <c r="K1097" s="9"/>
      <c r="L1097" s="9"/>
      <c r="M1097" s="9"/>
    </row>
    <row r="1098" customFormat="false" ht="15" hidden="false" customHeight="false" outlineLevel="0" collapsed="false">
      <c r="A1098" s="9"/>
      <c r="B1098" s="9"/>
      <c r="C1098" s="11"/>
      <c r="D1098" s="9"/>
      <c r="E1098" s="9"/>
      <c r="F1098" s="22" t="str">
        <f aca="false">IF(E1098="","",IFERROR(INDEX(02_INDICADORES!$B$2:$B$42,MATCH(E1098,02_INDICADORES!$A$2:$A$42,0)),"ID?"))</f>
        <v/>
      </c>
      <c r="G1098" s="21" t="str">
        <f aca="false">IF(E1098="","",IFERROR(INDEX(02_INDICADORES!$C$2:$C$42,MATCH(E1098,02_INDICADORES!$A$2:$A$42,0)),"ID?"))</f>
        <v/>
      </c>
      <c r="H1098" s="22" t="str">
        <f aca="false">IF(E1098="","",IFERROR(INDEX(02_INDICADORES!$D$2:$D$42,MATCH(E1098,02_INDICADORES!$A$2:$A$42,0)),""))</f>
        <v/>
      </c>
      <c r="I1098" s="9"/>
      <c r="J1098" s="16" t="str">
        <f aca="false">IF(OR(I1098="",H1098=""),"",I1098*H1098)</f>
        <v/>
      </c>
      <c r="K1098" s="9"/>
      <c r="L1098" s="9"/>
      <c r="M1098" s="9"/>
    </row>
    <row r="1099" customFormat="false" ht="15" hidden="false" customHeight="false" outlineLevel="0" collapsed="false">
      <c r="A1099" s="9"/>
      <c r="B1099" s="9"/>
      <c r="C1099" s="11"/>
      <c r="D1099" s="9"/>
      <c r="E1099" s="9"/>
      <c r="F1099" s="22" t="str">
        <f aca="false">IF(E1099="","",IFERROR(INDEX(02_INDICADORES!$B$2:$B$42,MATCH(E1099,02_INDICADORES!$A$2:$A$42,0)),"ID?"))</f>
        <v/>
      </c>
      <c r="G1099" s="21" t="str">
        <f aca="false">IF(E1099="","",IFERROR(INDEX(02_INDICADORES!$C$2:$C$42,MATCH(E1099,02_INDICADORES!$A$2:$A$42,0)),"ID?"))</f>
        <v/>
      </c>
      <c r="H1099" s="22" t="str">
        <f aca="false">IF(E1099="","",IFERROR(INDEX(02_INDICADORES!$D$2:$D$42,MATCH(E1099,02_INDICADORES!$A$2:$A$42,0)),""))</f>
        <v/>
      </c>
      <c r="I1099" s="9"/>
      <c r="J1099" s="16" t="str">
        <f aca="false">IF(OR(I1099="",H1099=""),"",I1099*H1099)</f>
        <v/>
      </c>
      <c r="K1099" s="9"/>
      <c r="L1099" s="9"/>
      <c r="M1099" s="9"/>
    </row>
    <row r="1100" customFormat="false" ht="15" hidden="false" customHeight="false" outlineLevel="0" collapsed="false">
      <c r="A1100" s="9"/>
      <c r="B1100" s="9"/>
      <c r="C1100" s="11"/>
      <c r="D1100" s="9"/>
      <c r="E1100" s="9"/>
      <c r="F1100" s="22" t="str">
        <f aca="false">IF(E1100="","",IFERROR(INDEX(02_INDICADORES!$B$2:$B$42,MATCH(E1100,02_INDICADORES!$A$2:$A$42,0)),"ID?"))</f>
        <v/>
      </c>
      <c r="G1100" s="21" t="str">
        <f aca="false">IF(E1100="","",IFERROR(INDEX(02_INDICADORES!$C$2:$C$42,MATCH(E1100,02_INDICADORES!$A$2:$A$42,0)),"ID?"))</f>
        <v/>
      </c>
      <c r="H1100" s="22" t="str">
        <f aca="false">IF(E1100="","",IFERROR(INDEX(02_INDICADORES!$D$2:$D$42,MATCH(E1100,02_INDICADORES!$A$2:$A$42,0)),""))</f>
        <v/>
      </c>
      <c r="I1100" s="9"/>
      <c r="J1100" s="16" t="str">
        <f aca="false">IF(OR(I1100="",H1100=""),"",I1100*H1100)</f>
        <v/>
      </c>
      <c r="K1100" s="9"/>
      <c r="L1100" s="9"/>
      <c r="M1100" s="9"/>
    </row>
    <row r="1101" customFormat="false" ht="15" hidden="false" customHeight="false" outlineLevel="0" collapsed="false">
      <c r="A1101" s="9"/>
      <c r="B1101" s="9"/>
      <c r="C1101" s="11"/>
      <c r="D1101" s="9"/>
      <c r="E1101" s="9"/>
      <c r="F1101" s="22" t="str">
        <f aca="false">IF(E1101="","",IFERROR(INDEX(02_INDICADORES!$B$2:$B$42,MATCH(E1101,02_INDICADORES!$A$2:$A$42,0)),"ID?"))</f>
        <v/>
      </c>
      <c r="G1101" s="21" t="str">
        <f aca="false">IF(E1101="","",IFERROR(INDEX(02_INDICADORES!$C$2:$C$42,MATCH(E1101,02_INDICADORES!$A$2:$A$42,0)),"ID?"))</f>
        <v/>
      </c>
      <c r="H1101" s="22" t="str">
        <f aca="false">IF(E1101="","",IFERROR(INDEX(02_INDICADORES!$D$2:$D$42,MATCH(E1101,02_INDICADORES!$A$2:$A$42,0)),""))</f>
        <v/>
      </c>
      <c r="I1101" s="9"/>
      <c r="J1101" s="16" t="str">
        <f aca="false">IF(OR(I1101="",H1101=""),"",I1101*H1101)</f>
        <v/>
      </c>
      <c r="K1101" s="9"/>
      <c r="L1101" s="9"/>
      <c r="M1101" s="9"/>
    </row>
    <row r="1102" customFormat="false" ht="15" hidden="false" customHeight="false" outlineLevel="0" collapsed="false">
      <c r="A1102" s="9"/>
      <c r="B1102" s="9"/>
      <c r="C1102" s="11"/>
      <c r="D1102" s="9"/>
      <c r="E1102" s="9"/>
      <c r="F1102" s="22" t="str">
        <f aca="false">IF(E1102="","",IFERROR(INDEX(02_INDICADORES!$B$2:$B$42,MATCH(E1102,02_INDICADORES!$A$2:$A$42,0)),"ID?"))</f>
        <v/>
      </c>
      <c r="G1102" s="21" t="str">
        <f aca="false">IF(E1102="","",IFERROR(INDEX(02_INDICADORES!$C$2:$C$42,MATCH(E1102,02_INDICADORES!$A$2:$A$42,0)),"ID?"))</f>
        <v/>
      </c>
      <c r="H1102" s="22" t="str">
        <f aca="false">IF(E1102="","",IFERROR(INDEX(02_INDICADORES!$D$2:$D$42,MATCH(E1102,02_INDICADORES!$A$2:$A$42,0)),""))</f>
        <v/>
      </c>
      <c r="I1102" s="9"/>
      <c r="J1102" s="16" t="str">
        <f aca="false">IF(OR(I1102="",H1102=""),"",I1102*H1102)</f>
        <v/>
      </c>
      <c r="K1102" s="9"/>
      <c r="L1102" s="9"/>
      <c r="M1102" s="9"/>
    </row>
    <row r="1103" customFormat="false" ht="15" hidden="false" customHeight="false" outlineLevel="0" collapsed="false">
      <c r="A1103" s="9"/>
      <c r="B1103" s="9"/>
      <c r="C1103" s="11"/>
      <c r="D1103" s="9"/>
      <c r="E1103" s="9"/>
      <c r="F1103" s="22" t="str">
        <f aca="false">IF(E1103="","",IFERROR(INDEX(02_INDICADORES!$B$2:$B$42,MATCH(E1103,02_INDICADORES!$A$2:$A$42,0)),"ID?"))</f>
        <v/>
      </c>
      <c r="G1103" s="21" t="str">
        <f aca="false">IF(E1103="","",IFERROR(INDEX(02_INDICADORES!$C$2:$C$42,MATCH(E1103,02_INDICADORES!$A$2:$A$42,0)),"ID?"))</f>
        <v/>
      </c>
      <c r="H1103" s="22" t="str">
        <f aca="false">IF(E1103="","",IFERROR(INDEX(02_INDICADORES!$D$2:$D$42,MATCH(E1103,02_INDICADORES!$A$2:$A$42,0)),""))</f>
        <v/>
      </c>
      <c r="I1103" s="9"/>
      <c r="J1103" s="16" t="str">
        <f aca="false">IF(OR(I1103="",H1103=""),"",I1103*H1103)</f>
        <v/>
      </c>
      <c r="K1103" s="9"/>
      <c r="L1103" s="9"/>
      <c r="M1103" s="9"/>
    </row>
    <row r="1104" customFormat="false" ht="15" hidden="false" customHeight="false" outlineLevel="0" collapsed="false">
      <c r="A1104" s="9"/>
      <c r="B1104" s="9"/>
      <c r="C1104" s="11"/>
      <c r="D1104" s="9"/>
      <c r="E1104" s="9"/>
      <c r="F1104" s="22" t="str">
        <f aca="false">IF(E1104="","",IFERROR(INDEX(02_INDICADORES!$B$2:$B$42,MATCH(E1104,02_INDICADORES!$A$2:$A$42,0)),"ID?"))</f>
        <v/>
      </c>
      <c r="G1104" s="21" t="str">
        <f aca="false">IF(E1104="","",IFERROR(INDEX(02_INDICADORES!$C$2:$C$42,MATCH(E1104,02_INDICADORES!$A$2:$A$42,0)),"ID?"))</f>
        <v/>
      </c>
      <c r="H1104" s="22" t="str">
        <f aca="false">IF(E1104="","",IFERROR(INDEX(02_INDICADORES!$D$2:$D$42,MATCH(E1104,02_INDICADORES!$A$2:$A$42,0)),""))</f>
        <v/>
      </c>
      <c r="I1104" s="9"/>
      <c r="J1104" s="16" t="str">
        <f aca="false">IF(OR(I1104="",H1104=""),"",I1104*H1104)</f>
        <v/>
      </c>
      <c r="K1104" s="9"/>
      <c r="L1104" s="9"/>
      <c r="M1104" s="9"/>
    </row>
    <row r="1105" customFormat="false" ht="15" hidden="false" customHeight="false" outlineLevel="0" collapsed="false">
      <c r="A1105" s="9"/>
      <c r="B1105" s="9"/>
      <c r="C1105" s="11"/>
      <c r="D1105" s="9"/>
      <c r="E1105" s="9"/>
      <c r="F1105" s="22" t="str">
        <f aca="false">IF(E1105="","",IFERROR(INDEX(02_INDICADORES!$B$2:$B$42,MATCH(E1105,02_INDICADORES!$A$2:$A$42,0)),"ID?"))</f>
        <v/>
      </c>
      <c r="G1105" s="21" t="str">
        <f aca="false">IF(E1105="","",IFERROR(INDEX(02_INDICADORES!$C$2:$C$42,MATCH(E1105,02_INDICADORES!$A$2:$A$42,0)),"ID?"))</f>
        <v/>
      </c>
      <c r="H1105" s="22" t="str">
        <f aca="false">IF(E1105="","",IFERROR(INDEX(02_INDICADORES!$D$2:$D$42,MATCH(E1105,02_INDICADORES!$A$2:$A$42,0)),""))</f>
        <v/>
      </c>
      <c r="I1105" s="9"/>
      <c r="J1105" s="16" t="str">
        <f aca="false">IF(OR(I1105="",H1105=""),"",I1105*H1105)</f>
        <v/>
      </c>
      <c r="K1105" s="9"/>
      <c r="L1105" s="9"/>
      <c r="M1105" s="9"/>
    </row>
    <row r="1106" customFormat="false" ht="15" hidden="false" customHeight="false" outlineLevel="0" collapsed="false">
      <c r="A1106" s="9"/>
      <c r="B1106" s="9"/>
      <c r="C1106" s="11"/>
      <c r="D1106" s="9"/>
      <c r="E1106" s="9"/>
      <c r="F1106" s="22" t="str">
        <f aca="false">IF(E1106="","",IFERROR(INDEX(02_INDICADORES!$B$2:$B$42,MATCH(E1106,02_INDICADORES!$A$2:$A$42,0)),"ID?"))</f>
        <v/>
      </c>
      <c r="G1106" s="21" t="str">
        <f aca="false">IF(E1106="","",IFERROR(INDEX(02_INDICADORES!$C$2:$C$42,MATCH(E1106,02_INDICADORES!$A$2:$A$42,0)),"ID?"))</f>
        <v/>
      </c>
      <c r="H1106" s="22" t="str">
        <f aca="false">IF(E1106="","",IFERROR(INDEX(02_INDICADORES!$D$2:$D$42,MATCH(E1106,02_INDICADORES!$A$2:$A$42,0)),""))</f>
        <v/>
      </c>
      <c r="I1106" s="9"/>
      <c r="J1106" s="16" t="str">
        <f aca="false">IF(OR(I1106="",H1106=""),"",I1106*H1106)</f>
        <v/>
      </c>
      <c r="K1106" s="9"/>
      <c r="L1106" s="9"/>
      <c r="M1106" s="9"/>
    </row>
    <row r="1107" customFormat="false" ht="15" hidden="false" customHeight="false" outlineLevel="0" collapsed="false">
      <c r="A1107" s="9"/>
      <c r="B1107" s="9"/>
      <c r="C1107" s="11"/>
      <c r="D1107" s="9"/>
      <c r="E1107" s="9"/>
      <c r="F1107" s="22" t="str">
        <f aca="false">IF(E1107="","",IFERROR(INDEX(02_INDICADORES!$B$2:$B$42,MATCH(E1107,02_INDICADORES!$A$2:$A$42,0)),"ID?"))</f>
        <v/>
      </c>
      <c r="G1107" s="21" t="str">
        <f aca="false">IF(E1107="","",IFERROR(INDEX(02_INDICADORES!$C$2:$C$42,MATCH(E1107,02_INDICADORES!$A$2:$A$42,0)),"ID?"))</f>
        <v/>
      </c>
      <c r="H1107" s="22" t="str">
        <f aca="false">IF(E1107="","",IFERROR(INDEX(02_INDICADORES!$D$2:$D$42,MATCH(E1107,02_INDICADORES!$A$2:$A$42,0)),""))</f>
        <v/>
      </c>
      <c r="I1107" s="9"/>
      <c r="J1107" s="16" t="str">
        <f aca="false">IF(OR(I1107="",H1107=""),"",I1107*H1107)</f>
        <v/>
      </c>
      <c r="K1107" s="9"/>
      <c r="L1107" s="9"/>
      <c r="M1107" s="9"/>
    </row>
    <row r="1108" customFormat="false" ht="15" hidden="false" customHeight="false" outlineLevel="0" collapsed="false">
      <c r="A1108" s="9"/>
      <c r="B1108" s="9"/>
      <c r="C1108" s="11"/>
      <c r="D1108" s="9"/>
      <c r="E1108" s="9"/>
      <c r="F1108" s="22" t="str">
        <f aca="false">IF(E1108="","",IFERROR(INDEX(02_INDICADORES!$B$2:$B$42,MATCH(E1108,02_INDICADORES!$A$2:$A$42,0)),"ID?"))</f>
        <v/>
      </c>
      <c r="G1108" s="21" t="str">
        <f aca="false">IF(E1108="","",IFERROR(INDEX(02_INDICADORES!$C$2:$C$42,MATCH(E1108,02_INDICADORES!$A$2:$A$42,0)),"ID?"))</f>
        <v/>
      </c>
      <c r="H1108" s="22" t="str">
        <f aca="false">IF(E1108="","",IFERROR(INDEX(02_INDICADORES!$D$2:$D$42,MATCH(E1108,02_INDICADORES!$A$2:$A$42,0)),""))</f>
        <v/>
      </c>
      <c r="I1108" s="9"/>
      <c r="J1108" s="16" t="str">
        <f aca="false">IF(OR(I1108="",H1108=""),"",I1108*H1108)</f>
        <v/>
      </c>
      <c r="K1108" s="9"/>
      <c r="L1108" s="9"/>
      <c r="M1108" s="9"/>
    </row>
    <row r="1109" customFormat="false" ht="15" hidden="false" customHeight="false" outlineLevel="0" collapsed="false">
      <c r="A1109" s="9"/>
      <c r="B1109" s="9"/>
      <c r="C1109" s="11"/>
      <c r="D1109" s="9"/>
      <c r="E1109" s="9"/>
      <c r="F1109" s="22" t="str">
        <f aca="false">IF(E1109="","",IFERROR(INDEX(02_INDICADORES!$B$2:$B$42,MATCH(E1109,02_INDICADORES!$A$2:$A$42,0)),"ID?"))</f>
        <v/>
      </c>
      <c r="G1109" s="21" t="str">
        <f aca="false">IF(E1109="","",IFERROR(INDEX(02_INDICADORES!$C$2:$C$42,MATCH(E1109,02_INDICADORES!$A$2:$A$42,0)),"ID?"))</f>
        <v/>
      </c>
      <c r="H1109" s="22" t="str">
        <f aca="false">IF(E1109="","",IFERROR(INDEX(02_INDICADORES!$D$2:$D$42,MATCH(E1109,02_INDICADORES!$A$2:$A$42,0)),""))</f>
        <v/>
      </c>
      <c r="I1109" s="9"/>
      <c r="J1109" s="16" t="str">
        <f aca="false">IF(OR(I1109="",H1109=""),"",I1109*H1109)</f>
        <v/>
      </c>
      <c r="K1109" s="9"/>
      <c r="L1109" s="9"/>
      <c r="M1109" s="9"/>
    </row>
    <row r="1110" customFormat="false" ht="15" hidden="false" customHeight="false" outlineLevel="0" collapsed="false">
      <c r="A1110" s="9"/>
      <c r="B1110" s="9"/>
      <c r="C1110" s="11"/>
      <c r="D1110" s="9"/>
      <c r="E1110" s="9"/>
      <c r="F1110" s="22" t="str">
        <f aca="false">IF(E1110="","",IFERROR(INDEX(02_INDICADORES!$B$2:$B$42,MATCH(E1110,02_INDICADORES!$A$2:$A$42,0)),"ID?"))</f>
        <v/>
      </c>
      <c r="G1110" s="21" t="str">
        <f aca="false">IF(E1110="","",IFERROR(INDEX(02_INDICADORES!$C$2:$C$42,MATCH(E1110,02_INDICADORES!$A$2:$A$42,0)),"ID?"))</f>
        <v/>
      </c>
      <c r="H1110" s="22" t="str">
        <f aca="false">IF(E1110="","",IFERROR(INDEX(02_INDICADORES!$D$2:$D$42,MATCH(E1110,02_INDICADORES!$A$2:$A$42,0)),""))</f>
        <v/>
      </c>
      <c r="I1110" s="9"/>
      <c r="J1110" s="16" t="str">
        <f aca="false">IF(OR(I1110="",H1110=""),"",I1110*H1110)</f>
        <v/>
      </c>
      <c r="K1110" s="9"/>
      <c r="L1110" s="9"/>
      <c r="M1110" s="9"/>
    </row>
    <row r="1111" customFormat="false" ht="15" hidden="false" customHeight="false" outlineLevel="0" collapsed="false">
      <c r="A1111" s="9"/>
      <c r="B1111" s="9"/>
      <c r="C1111" s="11"/>
      <c r="D1111" s="9"/>
      <c r="E1111" s="9"/>
      <c r="F1111" s="22" t="str">
        <f aca="false">IF(E1111="","",IFERROR(INDEX(02_INDICADORES!$B$2:$B$42,MATCH(E1111,02_INDICADORES!$A$2:$A$42,0)),"ID?"))</f>
        <v/>
      </c>
      <c r="G1111" s="21" t="str">
        <f aca="false">IF(E1111="","",IFERROR(INDEX(02_INDICADORES!$C$2:$C$42,MATCH(E1111,02_INDICADORES!$A$2:$A$42,0)),"ID?"))</f>
        <v/>
      </c>
      <c r="H1111" s="22" t="str">
        <f aca="false">IF(E1111="","",IFERROR(INDEX(02_INDICADORES!$D$2:$D$42,MATCH(E1111,02_INDICADORES!$A$2:$A$42,0)),""))</f>
        <v/>
      </c>
      <c r="I1111" s="9"/>
      <c r="J1111" s="16" t="str">
        <f aca="false">IF(OR(I1111="",H1111=""),"",I1111*H1111)</f>
        <v/>
      </c>
      <c r="K1111" s="9"/>
      <c r="L1111" s="9"/>
      <c r="M1111" s="9"/>
    </row>
    <row r="1112" customFormat="false" ht="15" hidden="false" customHeight="false" outlineLevel="0" collapsed="false">
      <c r="A1112" s="9"/>
      <c r="B1112" s="9"/>
      <c r="C1112" s="11"/>
      <c r="D1112" s="9"/>
      <c r="E1112" s="9"/>
      <c r="F1112" s="22" t="str">
        <f aca="false">IF(E1112="","",IFERROR(INDEX(02_INDICADORES!$B$2:$B$42,MATCH(E1112,02_INDICADORES!$A$2:$A$42,0)),"ID?"))</f>
        <v/>
      </c>
      <c r="G1112" s="21" t="str">
        <f aca="false">IF(E1112="","",IFERROR(INDEX(02_INDICADORES!$C$2:$C$42,MATCH(E1112,02_INDICADORES!$A$2:$A$42,0)),"ID?"))</f>
        <v/>
      </c>
      <c r="H1112" s="22" t="str">
        <f aca="false">IF(E1112="","",IFERROR(INDEX(02_INDICADORES!$D$2:$D$42,MATCH(E1112,02_INDICADORES!$A$2:$A$42,0)),""))</f>
        <v/>
      </c>
      <c r="I1112" s="9"/>
      <c r="J1112" s="16" t="str">
        <f aca="false">IF(OR(I1112="",H1112=""),"",I1112*H1112)</f>
        <v/>
      </c>
      <c r="K1112" s="9"/>
      <c r="L1112" s="9"/>
      <c r="M1112" s="9"/>
    </row>
    <row r="1113" customFormat="false" ht="15" hidden="false" customHeight="false" outlineLevel="0" collapsed="false">
      <c r="A1113" s="9"/>
      <c r="B1113" s="9"/>
      <c r="C1113" s="11"/>
      <c r="D1113" s="9"/>
      <c r="E1113" s="9"/>
      <c r="F1113" s="22" t="str">
        <f aca="false">IF(E1113="","",IFERROR(INDEX(02_INDICADORES!$B$2:$B$42,MATCH(E1113,02_INDICADORES!$A$2:$A$42,0)),"ID?"))</f>
        <v/>
      </c>
      <c r="G1113" s="21" t="str">
        <f aca="false">IF(E1113="","",IFERROR(INDEX(02_INDICADORES!$C$2:$C$42,MATCH(E1113,02_INDICADORES!$A$2:$A$42,0)),"ID?"))</f>
        <v/>
      </c>
      <c r="H1113" s="22" t="str">
        <f aca="false">IF(E1113="","",IFERROR(INDEX(02_INDICADORES!$D$2:$D$42,MATCH(E1113,02_INDICADORES!$A$2:$A$42,0)),""))</f>
        <v/>
      </c>
      <c r="I1113" s="9"/>
      <c r="J1113" s="16" t="str">
        <f aca="false">IF(OR(I1113="",H1113=""),"",I1113*H1113)</f>
        <v/>
      </c>
      <c r="K1113" s="9"/>
      <c r="L1113" s="9"/>
      <c r="M1113" s="9"/>
    </row>
    <row r="1114" customFormat="false" ht="15" hidden="false" customHeight="false" outlineLevel="0" collapsed="false">
      <c r="A1114" s="9"/>
      <c r="B1114" s="9"/>
      <c r="C1114" s="11"/>
      <c r="D1114" s="9"/>
      <c r="E1114" s="9"/>
      <c r="F1114" s="22" t="str">
        <f aca="false">IF(E1114="","",IFERROR(INDEX(02_INDICADORES!$B$2:$B$42,MATCH(E1114,02_INDICADORES!$A$2:$A$42,0)),"ID?"))</f>
        <v/>
      </c>
      <c r="G1114" s="21" t="str">
        <f aca="false">IF(E1114="","",IFERROR(INDEX(02_INDICADORES!$C$2:$C$42,MATCH(E1114,02_INDICADORES!$A$2:$A$42,0)),"ID?"))</f>
        <v/>
      </c>
      <c r="H1114" s="22" t="str">
        <f aca="false">IF(E1114="","",IFERROR(INDEX(02_INDICADORES!$D$2:$D$42,MATCH(E1114,02_INDICADORES!$A$2:$A$42,0)),""))</f>
        <v/>
      </c>
      <c r="I1114" s="9"/>
      <c r="J1114" s="16" t="str">
        <f aca="false">IF(OR(I1114="",H1114=""),"",I1114*H1114)</f>
        <v/>
      </c>
      <c r="K1114" s="9"/>
      <c r="L1114" s="9"/>
      <c r="M1114" s="9"/>
    </row>
    <row r="1115" customFormat="false" ht="15" hidden="false" customHeight="false" outlineLevel="0" collapsed="false">
      <c r="A1115" s="9"/>
      <c r="B1115" s="9"/>
      <c r="C1115" s="11"/>
      <c r="D1115" s="9"/>
      <c r="E1115" s="9"/>
      <c r="F1115" s="22" t="str">
        <f aca="false">IF(E1115="","",IFERROR(INDEX(02_INDICADORES!$B$2:$B$42,MATCH(E1115,02_INDICADORES!$A$2:$A$42,0)),"ID?"))</f>
        <v/>
      </c>
      <c r="G1115" s="21" t="str">
        <f aca="false">IF(E1115="","",IFERROR(INDEX(02_INDICADORES!$C$2:$C$42,MATCH(E1115,02_INDICADORES!$A$2:$A$42,0)),"ID?"))</f>
        <v/>
      </c>
      <c r="H1115" s="22" t="str">
        <f aca="false">IF(E1115="","",IFERROR(INDEX(02_INDICADORES!$D$2:$D$42,MATCH(E1115,02_INDICADORES!$A$2:$A$42,0)),""))</f>
        <v/>
      </c>
      <c r="I1115" s="9"/>
      <c r="J1115" s="16" t="str">
        <f aca="false">IF(OR(I1115="",H1115=""),"",I1115*H1115)</f>
        <v/>
      </c>
      <c r="K1115" s="9"/>
      <c r="L1115" s="9"/>
      <c r="M1115" s="9"/>
    </row>
    <row r="1116" customFormat="false" ht="15" hidden="false" customHeight="false" outlineLevel="0" collapsed="false">
      <c r="A1116" s="9"/>
      <c r="B1116" s="9"/>
      <c r="C1116" s="11"/>
      <c r="D1116" s="9"/>
      <c r="E1116" s="9"/>
      <c r="F1116" s="22" t="str">
        <f aca="false">IF(E1116="","",IFERROR(INDEX(02_INDICADORES!$B$2:$B$42,MATCH(E1116,02_INDICADORES!$A$2:$A$42,0)),"ID?"))</f>
        <v/>
      </c>
      <c r="G1116" s="21" t="str">
        <f aca="false">IF(E1116="","",IFERROR(INDEX(02_INDICADORES!$C$2:$C$42,MATCH(E1116,02_INDICADORES!$A$2:$A$42,0)),"ID?"))</f>
        <v/>
      </c>
      <c r="H1116" s="22" t="str">
        <f aca="false">IF(E1116="","",IFERROR(INDEX(02_INDICADORES!$D$2:$D$42,MATCH(E1116,02_INDICADORES!$A$2:$A$42,0)),""))</f>
        <v/>
      </c>
      <c r="I1116" s="9"/>
      <c r="J1116" s="16" t="str">
        <f aca="false">IF(OR(I1116="",H1116=""),"",I1116*H1116)</f>
        <v/>
      </c>
      <c r="K1116" s="9"/>
      <c r="L1116" s="9"/>
      <c r="M1116" s="9"/>
    </row>
    <row r="1117" customFormat="false" ht="15" hidden="false" customHeight="false" outlineLevel="0" collapsed="false">
      <c r="A1117" s="9"/>
      <c r="B1117" s="9"/>
      <c r="C1117" s="11"/>
      <c r="D1117" s="9"/>
      <c r="E1117" s="9"/>
      <c r="F1117" s="22" t="str">
        <f aca="false">IF(E1117="","",IFERROR(INDEX(02_INDICADORES!$B$2:$B$42,MATCH(E1117,02_INDICADORES!$A$2:$A$42,0)),"ID?"))</f>
        <v/>
      </c>
      <c r="G1117" s="21" t="str">
        <f aca="false">IF(E1117="","",IFERROR(INDEX(02_INDICADORES!$C$2:$C$42,MATCH(E1117,02_INDICADORES!$A$2:$A$42,0)),"ID?"))</f>
        <v/>
      </c>
      <c r="H1117" s="22" t="str">
        <f aca="false">IF(E1117="","",IFERROR(INDEX(02_INDICADORES!$D$2:$D$42,MATCH(E1117,02_INDICADORES!$A$2:$A$42,0)),""))</f>
        <v/>
      </c>
      <c r="I1117" s="9"/>
      <c r="J1117" s="16" t="str">
        <f aca="false">IF(OR(I1117="",H1117=""),"",I1117*H1117)</f>
        <v/>
      </c>
      <c r="K1117" s="9"/>
      <c r="L1117" s="9"/>
      <c r="M1117" s="9"/>
    </row>
    <row r="1118" customFormat="false" ht="15" hidden="false" customHeight="false" outlineLevel="0" collapsed="false">
      <c r="A1118" s="9"/>
      <c r="B1118" s="9"/>
      <c r="C1118" s="11"/>
      <c r="D1118" s="9"/>
      <c r="E1118" s="9"/>
      <c r="F1118" s="22" t="str">
        <f aca="false">IF(E1118="","",IFERROR(INDEX(02_INDICADORES!$B$2:$B$42,MATCH(E1118,02_INDICADORES!$A$2:$A$42,0)),"ID?"))</f>
        <v/>
      </c>
      <c r="G1118" s="21" t="str">
        <f aca="false">IF(E1118="","",IFERROR(INDEX(02_INDICADORES!$C$2:$C$42,MATCH(E1118,02_INDICADORES!$A$2:$A$42,0)),"ID?"))</f>
        <v/>
      </c>
      <c r="H1118" s="22" t="str">
        <f aca="false">IF(E1118="","",IFERROR(INDEX(02_INDICADORES!$D$2:$D$42,MATCH(E1118,02_INDICADORES!$A$2:$A$42,0)),""))</f>
        <v/>
      </c>
      <c r="I1118" s="9"/>
      <c r="J1118" s="16" t="str">
        <f aca="false">IF(OR(I1118="",H1118=""),"",I1118*H1118)</f>
        <v/>
      </c>
      <c r="K1118" s="9"/>
      <c r="L1118" s="9"/>
      <c r="M1118" s="9"/>
    </row>
    <row r="1119" customFormat="false" ht="15" hidden="false" customHeight="false" outlineLevel="0" collapsed="false">
      <c r="A1119" s="9"/>
      <c r="B1119" s="9"/>
      <c r="C1119" s="11"/>
      <c r="D1119" s="9"/>
      <c r="E1119" s="9"/>
      <c r="F1119" s="22" t="str">
        <f aca="false">IF(E1119="","",IFERROR(INDEX(02_INDICADORES!$B$2:$B$42,MATCH(E1119,02_INDICADORES!$A$2:$A$42,0)),"ID?"))</f>
        <v/>
      </c>
      <c r="G1119" s="21" t="str">
        <f aca="false">IF(E1119="","",IFERROR(INDEX(02_INDICADORES!$C$2:$C$42,MATCH(E1119,02_INDICADORES!$A$2:$A$42,0)),"ID?"))</f>
        <v/>
      </c>
      <c r="H1119" s="22" t="str">
        <f aca="false">IF(E1119="","",IFERROR(INDEX(02_INDICADORES!$D$2:$D$42,MATCH(E1119,02_INDICADORES!$A$2:$A$42,0)),""))</f>
        <v/>
      </c>
      <c r="I1119" s="9"/>
      <c r="J1119" s="16" t="str">
        <f aca="false">IF(OR(I1119="",H1119=""),"",I1119*H1119)</f>
        <v/>
      </c>
      <c r="K1119" s="9"/>
      <c r="L1119" s="9"/>
      <c r="M1119" s="9"/>
    </row>
    <row r="1120" customFormat="false" ht="15" hidden="false" customHeight="false" outlineLevel="0" collapsed="false">
      <c r="A1120" s="9"/>
      <c r="B1120" s="9"/>
      <c r="C1120" s="11"/>
      <c r="D1120" s="9"/>
      <c r="E1120" s="9"/>
      <c r="F1120" s="22" t="str">
        <f aca="false">IF(E1120="","",IFERROR(INDEX(02_INDICADORES!$B$2:$B$42,MATCH(E1120,02_INDICADORES!$A$2:$A$42,0)),"ID?"))</f>
        <v/>
      </c>
      <c r="G1120" s="21" t="str">
        <f aca="false">IF(E1120="","",IFERROR(INDEX(02_INDICADORES!$C$2:$C$42,MATCH(E1120,02_INDICADORES!$A$2:$A$42,0)),"ID?"))</f>
        <v/>
      </c>
      <c r="H1120" s="22" t="str">
        <f aca="false">IF(E1120="","",IFERROR(INDEX(02_INDICADORES!$D$2:$D$42,MATCH(E1120,02_INDICADORES!$A$2:$A$42,0)),""))</f>
        <v/>
      </c>
      <c r="I1120" s="9"/>
      <c r="J1120" s="16" t="str">
        <f aca="false">IF(OR(I1120="",H1120=""),"",I1120*H1120)</f>
        <v/>
      </c>
      <c r="K1120" s="9"/>
      <c r="L1120" s="9"/>
      <c r="M1120" s="9"/>
    </row>
    <row r="1121" customFormat="false" ht="15" hidden="false" customHeight="false" outlineLevel="0" collapsed="false">
      <c r="A1121" s="9"/>
      <c r="B1121" s="9"/>
      <c r="C1121" s="11"/>
      <c r="D1121" s="9"/>
      <c r="E1121" s="9"/>
      <c r="F1121" s="22" t="str">
        <f aca="false">IF(E1121="","",IFERROR(INDEX(02_INDICADORES!$B$2:$B$42,MATCH(E1121,02_INDICADORES!$A$2:$A$42,0)),"ID?"))</f>
        <v/>
      </c>
      <c r="G1121" s="21" t="str">
        <f aca="false">IF(E1121="","",IFERROR(INDEX(02_INDICADORES!$C$2:$C$42,MATCH(E1121,02_INDICADORES!$A$2:$A$42,0)),"ID?"))</f>
        <v/>
      </c>
      <c r="H1121" s="22" t="str">
        <f aca="false">IF(E1121="","",IFERROR(INDEX(02_INDICADORES!$D$2:$D$42,MATCH(E1121,02_INDICADORES!$A$2:$A$42,0)),""))</f>
        <v/>
      </c>
      <c r="I1121" s="9"/>
      <c r="J1121" s="16" t="str">
        <f aca="false">IF(OR(I1121="",H1121=""),"",I1121*H1121)</f>
        <v/>
      </c>
      <c r="K1121" s="9"/>
      <c r="L1121" s="9"/>
      <c r="M1121" s="9"/>
    </row>
    <row r="1122" customFormat="false" ht="15" hidden="false" customHeight="false" outlineLevel="0" collapsed="false">
      <c r="A1122" s="9"/>
      <c r="B1122" s="9"/>
      <c r="C1122" s="11"/>
      <c r="D1122" s="9"/>
      <c r="E1122" s="9"/>
      <c r="F1122" s="22" t="str">
        <f aca="false">IF(E1122="","",IFERROR(INDEX(02_INDICADORES!$B$2:$B$42,MATCH(E1122,02_INDICADORES!$A$2:$A$42,0)),"ID?"))</f>
        <v/>
      </c>
      <c r="G1122" s="21" t="str">
        <f aca="false">IF(E1122="","",IFERROR(INDEX(02_INDICADORES!$C$2:$C$42,MATCH(E1122,02_INDICADORES!$A$2:$A$42,0)),"ID?"))</f>
        <v/>
      </c>
      <c r="H1122" s="22" t="str">
        <f aca="false">IF(E1122="","",IFERROR(INDEX(02_INDICADORES!$D$2:$D$42,MATCH(E1122,02_INDICADORES!$A$2:$A$42,0)),""))</f>
        <v/>
      </c>
      <c r="I1122" s="9"/>
      <c r="J1122" s="16" t="str">
        <f aca="false">IF(OR(I1122="",H1122=""),"",I1122*H1122)</f>
        <v/>
      </c>
      <c r="K1122" s="9"/>
      <c r="L1122" s="9"/>
      <c r="M1122" s="9"/>
    </row>
    <row r="1123" customFormat="false" ht="15" hidden="false" customHeight="false" outlineLevel="0" collapsed="false">
      <c r="A1123" s="9"/>
      <c r="B1123" s="9"/>
      <c r="C1123" s="11"/>
      <c r="D1123" s="9"/>
      <c r="E1123" s="9"/>
      <c r="F1123" s="22" t="str">
        <f aca="false">IF(E1123="","",IFERROR(INDEX(02_INDICADORES!$B$2:$B$42,MATCH(E1123,02_INDICADORES!$A$2:$A$42,0)),"ID?"))</f>
        <v/>
      </c>
      <c r="G1123" s="21" t="str">
        <f aca="false">IF(E1123="","",IFERROR(INDEX(02_INDICADORES!$C$2:$C$42,MATCH(E1123,02_INDICADORES!$A$2:$A$42,0)),"ID?"))</f>
        <v/>
      </c>
      <c r="H1123" s="22" t="str">
        <f aca="false">IF(E1123="","",IFERROR(INDEX(02_INDICADORES!$D$2:$D$42,MATCH(E1123,02_INDICADORES!$A$2:$A$42,0)),""))</f>
        <v/>
      </c>
      <c r="I1123" s="9"/>
      <c r="J1123" s="16" t="str">
        <f aca="false">IF(OR(I1123="",H1123=""),"",I1123*H1123)</f>
        <v/>
      </c>
      <c r="K1123" s="9"/>
      <c r="L1123" s="9"/>
      <c r="M1123" s="9"/>
    </row>
    <row r="1124" customFormat="false" ht="15" hidden="false" customHeight="false" outlineLevel="0" collapsed="false">
      <c r="A1124" s="9"/>
      <c r="B1124" s="9"/>
      <c r="C1124" s="11"/>
      <c r="D1124" s="9"/>
      <c r="E1124" s="9"/>
      <c r="F1124" s="22" t="str">
        <f aca="false">IF(E1124="","",IFERROR(INDEX(02_INDICADORES!$B$2:$B$42,MATCH(E1124,02_INDICADORES!$A$2:$A$42,0)),"ID?"))</f>
        <v/>
      </c>
      <c r="G1124" s="21" t="str">
        <f aca="false">IF(E1124="","",IFERROR(INDEX(02_INDICADORES!$C$2:$C$42,MATCH(E1124,02_INDICADORES!$A$2:$A$42,0)),"ID?"))</f>
        <v/>
      </c>
      <c r="H1124" s="22" t="str">
        <f aca="false">IF(E1124="","",IFERROR(INDEX(02_INDICADORES!$D$2:$D$42,MATCH(E1124,02_INDICADORES!$A$2:$A$42,0)),""))</f>
        <v/>
      </c>
      <c r="I1124" s="9"/>
      <c r="J1124" s="16" t="str">
        <f aca="false">IF(OR(I1124="",H1124=""),"",I1124*H1124)</f>
        <v/>
      </c>
      <c r="K1124" s="9"/>
      <c r="L1124" s="9"/>
      <c r="M1124" s="9"/>
    </row>
    <row r="1125" customFormat="false" ht="15" hidden="false" customHeight="false" outlineLevel="0" collapsed="false">
      <c r="A1125" s="9"/>
      <c r="B1125" s="9"/>
      <c r="C1125" s="11"/>
      <c r="D1125" s="9"/>
      <c r="E1125" s="9"/>
      <c r="F1125" s="22" t="str">
        <f aca="false">IF(E1125="","",IFERROR(INDEX(02_INDICADORES!$B$2:$B$42,MATCH(E1125,02_INDICADORES!$A$2:$A$42,0)),"ID?"))</f>
        <v/>
      </c>
      <c r="G1125" s="21" t="str">
        <f aca="false">IF(E1125="","",IFERROR(INDEX(02_INDICADORES!$C$2:$C$42,MATCH(E1125,02_INDICADORES!$A$2:$A$42,0)),"ID?"))</f>
        <v/>
      </c>
      <c r="H1125" s="22" t="str">
        <f aca="false">IF(E1125="","",IFERROR(INDEX(02_INDICADORES!$D$2:$D$42,MATCH(E1125,02_INDICADORES!$A$2:$A$42,0)),""))</f>
        <v/>
      </c>
      <c r="I1125" s="9"/>
      <c r="J1125" s="16" t="str">
        <f aca="false">IF(OR(I1125="",H1125=""),"",I1125*H1125)</f>
        <v/>
      </c>
      <c r="K1125" s="9"/>
      <c r="L1125" s="9"/>
      <c r="M1125" s="9"/>
    </row>
    <row r="1126" customFormat="false" ht="15" hidden="false" customHeight="false" outlineLevel="0" collapsed="false">
      <c r="A1126" s="9"/>
      <c r="B1126" s="9"/>
      <c r="C1126" s="11"/>
      <c r="D1126" s="9"/>
      <c r="E1126" s="9"/>
      <c r="F1126" s="22" t="str">
        <f aca="false">IF(E1126="","",IFERROR(INDEX(02_INDICADORES!$B$2:$B$42,MATCH(E1126,02_INDICADORES!$A$2:$A$42,0)),"ID?"))</f>
        <v/>
      </c>
      <c r="G1126" s="21" t="str">
        <f aca="false">IF(E1126="","",IFERROR(INDEX(02_INDICADORES!$C$2:$C$42,MATCH(E1126,02_INDICADORES!$A$2:$A$42,0)),"ID?"))</f>
        <v/>
      </c>
      <c r="H1126" s="22" t="str">
        <f aca="false">IF(E1126="","",IFERROR(INDEX(02_INDICADORES!$D$2:$D$42,MATCH(E1126,02_INDICADORES!$A$2:$A$42,0)),""))</f>
        <v/>
      </c>
      <c r="I1126" s="9"/>
      <c r="J1126" s="16" t="str">
        <f aca="false">IF(OR(I1126="",H1126=""),"",I1126*H1126)</f>
        <v/>
      </c>
      <c r="K1126" s="9"/>
      <c r="L1126" s="9"/>
      <c r="M1126" s="9"/>
    </row>
    <row r="1127" customFormat="false" ht="15" hidden="false" customHeight="false" outlineLevel="0" collapsed="false">
      <c r="A1127" s="9"/>
      <c r="B1127" s="9"/>
      <c r="C1127" s="11"/>
      <c r="D1127" s="9"/>
      <c r="E1127" s="9"/>
      <c r="F1127" s="22" t="str">
        <f aca="false">IF(E1127="","",IFERROR(INDEX(02_INDICADORES!$B$2:$B$42,MATCH(E1127,02_INDICADORES!$A$2:$A$42,0)),"ID?"))</f>
        <v/>
      </c>
      <c r="G1127" s="21" t="str">
        <f aca="false">IF(E1127="","",IFERROR(INDEX(02_INDICADORES!$C$2:$C$42,MATCH(E1127,02_INDICADORES!$A$2:$A$42,0)),"ID?"))</f>
        <v/>
      </c>
      <c r="H1127" s="22" t="str">
        <f aca="false">IF(E1127="","",IFERROR(INDEX(02_INDICADORES!$D$2:$D$42,MATCH(E1127,02_INDICADORES!$A$2:$A$42,0)),""))</f>
        <v/>
      </c>
      <c r="I1127" s="9"/>
      <c r="J1127" s="16" t="str">
        <f aca="false">IF(OR(I1127="",H1127=""),"",I1127*H1127)</f>
        <v/>
      </c>
      <c r="K1127" s="9"/>
      <c r="L1127" s="9"/>
      <c r="M1127" s="9"/>
    </row>
    <row r="1128" customFormat="false" ht="15" hidden="false" customHeight="false" outlineLevel="0" collapsed="false">
      <c r="A1128" s="9"/>
      <c r="B1128" s="9"/>
      <c r="C1128" s="11"/>
      <c r="D1128" s="9"/>
      <c r="E1128" s="9"/>
      <c r="F1128" s="22" t="str">
        <f aca="false">IF(E1128="","",IFERROR(INDEX(02_INDICADORES!$B$2:$B$42,MATCH(E1128,02_INDICADORES!$A$2:$A$42,0)),"ID?"))</f>
        <v/>
      </c>
      <c r="G1128" s="21" t="str">
        <f aca="false">IF(E1128="","",IFERROR(INDEX(02_INDICADORES!$C$2:$C$42,MATCH(E1128,02_INDICADORES!$A$2:$A$42,0)),"ID?"))</f>
        <v/>
      </c>
      <c r="H1128" s="22" t="str">
        <f aca="false">IF(E1128="","",IFERROR(INDEX(02_INDICADORES!$D$2:$D$42,MATCH(E1128,02_INDICADORES!$A$2:$A$42,0)),""))</f>
        <v/>
      </c>
      <c r="I1128" s="9"/>
      <c r="J1128" s="16" t="str">
        <f aca="false">IF(OR(I1128="",H1128=""),"",I1128*H1128)</f>
        <v/>
      </c>
      <c r="K1128" s="9"/>
      <c r="L1128" s="9"/>
      <c r="M1128" s="9"/>
    </row>
    <row r="1129" customFormat="false" ht="15" hidden="false" customHeight="false" outlineLevel="0" collapsed="false">
      <c r="A1129" s="9"/>
      <c r="B1129" s="9"/>
      <c r="C1129" s="11"/>
      <c r="D1129" s="9"/>
      <c r="E1129" s="9"/>
      <c r="F1129" s="22" t="str">
        <f aca="false">IF(E1129="","",IFERROR(INDEX(02_INDICADORES!$B$2:$B$42,MATCH(E1129,02_INDICADORES!$A$2:$A$42,0)),"ID?"))</f>
        <v/>
      </c>
      <c r="G1129" s="21" t="str">
        <f aca="false">IF(E1129="","",IFERROR(INDEX(02_INDICADORES!$C$2:$C$42,MATCH(E1129,02_INDICADORES!$A$2:$A$42,0)),"ID?"))</f>
        <v/>
      </c>
      <c r="H1129" s="22" t="str">
        <f aca="false">IF(E1129="","",IFERROR(INDEX(02_INDICADORES!$D$2:$D$42,MATCH(E1129,02_INDICADORES!$A$2:$A$42,0)),""))</f>
        <v/>
      </c>
      <c r="I1129" s="9"/>
      <c r="J1129" s="16" t="str">
        <f aca="false">IF(OR(I1129="",H1129=""),"",I1129*H1129)</f>
        <v/>
      </c>
      <c r="K1129" s="9"/>
      <c r="L1129" s="9"/>
      <c r="M1129" s="9"/>
    </row>
    <row r="1130" customFormat="false" ht="15" hidden="false" customHeight="false" outlineLevel="0" collapsed="false">
      <c r="A1130" s="9"/>
      <c r="B1130" s="9"/>
      <c r="C1130" s="11"/>
      <c r="D1130" s="9"/>
      <c r="E1130" s="9"/>
      <c r="F1130" s="22" t="str">
        <f aca="false">IF(E1130="","",IFERROR(INDEX(02_INDICADORES!$B$2:$B$42,MATCH(E1130,02_INDICADORES!$A$2:$A$42,0)),"ID?"))</f>
        <v/>
      </c>
      <c r="G1130" s="21" t="str">
        <f aca="false">IF(E1130="","",IFERROR(INDEX(02_INDICADORES!$C$2:$C$42,MATCH(E1130,02_INDICADORES!$A$2:$A$42,0)),"ID?"))</f>
        <v/>
      </c>
      <c r="H1130" s="22" t="str">
        <f aca="false">IF(E1130="","",IFERROR(INDEX(02_INDICADORES!$D$2:$D$42,MATCH(E1130,02_INDICADORES!$A$2:$A$42,0)),""))</f>
        <v/>
      </c>
      <c r="I1130" s="9"/>
      <c r="J1130" s="16" t="str">
        <f aca="false">IF(OR(I1130="",H1130=""),"",I1130*H1130)</f>
        <v/>
      </c>
      <c r="K1130" s="9"/>
      <c r="L1130" s="9"/>
      <c r="M1130" s="9"/>
    </row>
    <row r="1131" customFormat="false" ht="15" hidden="false" customHeight="false" outlineLevel="0" collapsed="false">
      <c r="A1131" s="9"/>
      <c r="B1131" s="9"/>
      <c r="C1131" s="11"/>
      <c r="D1131" s="9"/>
      <c r="E1131" s="9"/>
      <c r="F1131" s="22" t="str">
        <f aca="false">IF(E1131="","",IFERROR(INDEX(02_INDICADORES!$B$2:$B$42,MATCH(E1131,02_INDICADORES!$A$2:$A$42,0)),"ID?"))</f>
        <v/>
      </c>
      <c r="G1131" s="21" t="str">
        <f aca="false">IF(E1131="","",IFERROR(INDEX(02_INDICADORES!$C$2:$C$42,MATCH(E1131,02_INDICADORES!$A$2:$A$42,0)),"ID?"))</f>
        <v/>
      </c>
      <c r="H1131" s="22" t="str">
        <f aca="false">IF(E1131="","",IFERROR(INDEX(02_INDICADORES!$D$2:$D$42,MATCH(E1131,02_INDICADORES!$A$2:$A$42,0)),""))</f>
        <v/>
      </c>
      <c r="I1131" s="9"/>
      <c r="J1131" s="16" t="str">
        <f aca="false">IF(OR(I1131="",H1131=""),"",I1131*H1131)</f>
        <v/>
      </c>
      <c r="K1131" s="9"/>
      <c r="L1131" s="9"/>
      <c r="M1131" s="9"/>
    </row>
    <row r="1132" customFormat="false" ht="15" hidden="false" customHeight="false" outlineLevel="0" collapsed="false">
      <c r="A1132" s="9"/>
      <c r="B1132" s="9"/>
      <c r="C1132" s="11"/>
      <c r="D1132" s="9"/>
      <c r="E1132" s="9"/>
      <c r="F1132" s="22" t="str">
        <f aca="false">IF(E1132="","",IFERROR(INDEX(02_INDICADORES!$B$2:$B$42,MATCH(E1132,02_INDICADORES!$A$2:$A$42,0)),"ID?"))</f>
        <v/>
      </c>
      <c r="G1132" s="21" t="str">
        <f aca="false">IF(E1132="","",IFERROR(INDEX(02_INDICADORES!$C$2:$C$42,MATCH(E1132,02_INDICADORES!$A$2:$A$42,0)),"ID?"))</f>
        <v/>
      </c>
      <c r="H1132" s="22" t="str">
        <f aca="false">IF(E1132="","",IFERROR(INDEX(02_INDICADORES!$D$2:$D$42,MATCH(E1132,02_INDICADORES!$A$2:$A$42,0)),""))</f>
        <v/>
      </c>
      <c r="I1132" s="9"/>
      <c r="J1132" s="16" t="str">
        <f aca="false">IF(OR(I1132="",H1132=""),"",I1132*H1132)</f>
        <v/>
      </c>
      <c r="K1132" s="9"/>
      <c r="L1132" s="9"/>
      <c r="M1132" s="9"/>
    </row>
    <row r="1133" customFormat="false" ht="15" hidden="false" customHeight="false" outlineLevel="0" collapsed="false">
      <c r="A1133" s="9"/>
      <c r="B1133" s="9"/>
      <c r="C1133" s="11"/>
      <c r="D1133" s="9"/>
      <c r="E1133" s="9"/>
      <c r="F1133" s="22" t="str">
        <f aca="false">IF(E1133="","",IFERROR(INDEX(02_INDICADORES!$B$2:$B$42,MATCH(E1133,02_INDICADORES!$A$2:$A$42,0)),"ID?"))</f>
        <v/>
      </c>
      <c r="G1133" s="21" t="str">
        <f aca="false">IF(E1133="","",IFERROR(INDEX(02_INDICADORES!$C$2:$C$42,MATCH(E1133,02_INDICADORES!$A$2:$A$42,0)),"ID?"))</f>
        <v/>
      </c>
      <c r="H1133" s="22" t="str">
        <f aca="false">IF(E1133="","",IFERROR(INDEX(02_INDICADORES!$D$2:$D$42,MATCH(E1133,02_INDICADORES!$A$2:$A$42,0)),""))</f>
        <v/>
      </c>
      <c r="I1133" s="9"/>
      <c r="J1133" s="16" t="str">
        <f aca="false">IF(OR(I1133="",H1133=""),"",I1133*H1133)</f>
        <v/>
      </c>
      <c r="K1133" s="9"/>
      <c r="L1133" s="9"/>
      <c r="M1133" s="9"/>
    </row>
    <row r="1134" customFormat="false" ht="15" hidden="false" customHeight="false" outlineLevel="0" collapsed="false">
      <c r="A1134" s="9"/>
      <c r="B1134" s="9"/>
      <c r="C1134" s="11"/>
      <c r="D1134" s="9"/>
      <c r="E1134" s="9"/>
      <c r="F1134" s="22" t="str">
        <f aca="false">IF(E1134="","",IFERROR(INDEX(02_INDICADORES!$B$2:$B$42,MATCH(E1134,02_INDICADORES!$A$2:$A$42,0)),"ID?"))</f>
        <v/>
      </c>
      <c r="G1134" s="21" t="str">
        <f aca="false">IF(E1134="","",IFERROR(INDEX(02_INDICADORES!$C$2:$C$42,MATCH(E1134,02_INDICADORES!$A$2:$A$42,0)),"ID?"))</f>
        <v/>
      </c>
      <c r="H1134" s="22" t="str">
        <f aca="false">IF(E1134="","",IFERROR(INDEX(02_INDICADORES!$D$2:$D$42,MATCH(E1134,02_INDICADORES!$A$2:$A$42,0)),""))</f>
        <v/>
      </c>
      <c r="I1134" s="9"/>
      <c r="J1134" s="16" t="str">
        <f aca="false">IF(OR(I1134="",H1134=""),"",I1134*H1134)</f>
        <v/>
      </c>
      <c r="K1134" s="9"/>
      <c r="L1134" s="9"/>
      <c r="M1134" s="9"/>
    </row>
    <row r="1135" customFormat="false" ht="15" hidden="false" customHeight="false" outlineLevel="0" collapsed="false">
      <c r="A1135" s="9"/>
      <c r="B1135" s="9"/>
      <c r="C1135" s="11"/>
      <c r="D1135" s="9"/>
      <c r="E1135" s="9"/>
      <c r="F1135" s="22" t="str">
        <f aca="false">IF(E1135="","",IFERROR(INDEX(02_INDICADORES!$B$2:$B$42,MATCH(E1135,02_INDICADORES!$A$2:$A$42,0)),"ID?"))</f>
        <v/>
      </c>
      <c r="G1135" s="21" t="str">
        <f aca="false">IF(E1135="","",IFERROR(INDEX(02_INDICADORES!$C$2:$C$42,MATCH(E1135,02_INDICADORES!$A$2:$A$42,0)),"ID?"))</f>
        <v/>
      </c>
      <c r="H1135" s="22" t="str">
        <f aca="false">IF(E1135="","",IFERROR(INDEX(02_INDICADORES!$D$2:$D$42,MATCH(E1135,02_INDICADORES!$A$2:$A$42,0)),""))</f>
        <v/>
      </c>
      <c r="I1135" s="9"/>
      <c r="J1135" s="16" t="str">
        <f aca="false">IF(OR(I1135="",H1135=""),"",I1135*H1135)</f>
        <v/>
      </c>
      <c r="K1135" s="9"/>
      <c r="L1135" s="9"/>
      <c r="M1135" s="9"/>
    </row>
    <row r="1136" customFormat="false" ht="15" hidden="false" customHeight="false" outlineLevel="0" collapsed="false">
      <c r="A1136" s="9"/>
      <c r="B1136" s="9"/>
      <c r="C1136" s="11"/>
      <c r="D1136" s="9"/>
      <c r="E1136" s="9"/>
      <c r="F1136" s="22" t="str">
        <f aca="false">IF(E1136="","",IFERROR(INDEX(02_INDICADORES!$B$2:$B$42,MATCH(E1136,02_INDICADORES!$A$2:$A$42,0)),"ID?"))</f>
        <v/>
      </c>
      <c r="G1136" s="21" t="str">
        <f aca="false">IF(E1136="","",IFERROR(INDEX(02_INDICADORES!$C$2:$C$42,MATCH(E1136,02_INDICADORES!$A$2:$A$42,0)),"ID?"))</f>
        <v/>
      </c>
      <c r="H1136" s="22" t="str">
        <f aca="false">IF(E1136="","",IFERROR(INDEX(02_INDICADORES!$D$2:$D$42,MATCH(E1136,02_INDICADORES!$A$2:$A$42,0)),""))</f>
        <v/>
      </c>
      <c r="I1136" s="9"/>
      <c r="J1136" s="16" t="str">
        <f aca="false">IF(OR(I1136="",H1136=""),"",I1136*H1136)</f>
        <v/>
      </c>
      <c r="K1136" s="9"/>
      <c r="L1136" s="9"/>
      <c r="M1136" s="9"/>
    </row>
    <row r="1137" customFormat="false" ht="15" hidden="false" customHeight="false" outlineLevel="0" collapsed="false">
      <c r="A1137" s="9"/>
      <c r="B1137" s="9"/>
      <c r="C1137" s="11"/>
      <c r="D1137" s="9"/>
      <c r="E1137" s="9"/>
      <c r="F1137" s="22" t="str">
        <f aca="false">IF(E1137="","",IFERROR(INDEX(02_INDICADORES!$B$2:$B$42,MATCH(E1137,02_INDICADORES!$A$2:$A$42,0)),"ID?"))</f>
        <v/>
      </c>
      <c r="G1137" s="21" t="str">
        <f aca="false">IF(E1137="","",IFERROR(INDEX(02_INDICADORES!$C$2:$C$42,MATCH(E1137,02_INDICADORES!$A$2:$A$42,0)),"ID?"))</f>
        <v/>
      </c>
      <c r="H1137" s="22" t="str">
        <f aca="false">IF(E1137="","",IFERROR(INDEX(02_INDICADORES!$D$2:$D$42,MATCH(E1137,02_INDICADORES!$A$2:$A$42,0)),""))</f>
        <v/>
      </c>
      <c r="I1137" s="9"/>
      <c r="J1137" s="16" t="str">
        <f aca="false">IF(OR(I1137="",H1137=""),"",I1137*H1137)</f>
        <v/>
      </c>
      <c r="K1137" s="9"/>
      <c r="L1137" s="9"/>
      <c r="M1137" s="9"/>
    </row>
    <row r="1138" customFormat="false" ht="15" hidden="false" customHeight="false" outlineLevel="0" collapsed="false">
      <c r="A1138" s="9"/>
      <c r="B1138" s="9"/>
      <c r="C1138" s="11"/>
      <c r="D1138" s="9"/>
      <c r="E1138" s="9"/>
      <c r="F1138" s="22" t="str">
        <f aca="false">IF(E1138="","",IFERROR(INDEX(02_INDICADORES!$B$2:$B$42,MATCH(E1138,02_INDICADORES!$A$2:$A$42,0)),"ID?"))</f>
        <v/>
      </c>
      <c r="G1138" s="21" t="str">
        <f aca="false">IF(E1138="","",IFERROR(INDEX(02_INDICADORES!$C$2:$C$42,MATCH(E1138,02_INDICADORES!$A$2:$A$42,0)),"ID?"))</f>
        <v/>
      </c>
      <c r="H1138" s="22" t="str">
        <f aca="false">IF(E1138="","",IFERROR(INDEX(02_INDICADORES!$D$2:$D$42,MATCH(E1138,02_INDICADORES!$A$2:$A$42,0)),""))</f>
        <v/>
      </c>
      <c r="I1138" s="9"/>
      <c r="J1138" s="16" t="str">
        <f aca="false">IF(OR(I1138="",H1138=""),"",I1138*H1138)</f>
        <v/>
      </c>
      <c r="K1138" s="9"/>
      <c r="L1138" s="9"/>
      <c r="M1138" s="9"/>
    </row>
    <row r="1139" customFormat="false" ht="15" hidden="false" customHeight="false" outlineLevel="0" collapsed="false">
      <c r="A1139" s="9"/>
      <c r="B1139" s="9"/>
      <c r="C1139" s="11"/>
      <c r="D1139" s="9"/>
      <c r="E1139" s="9"/>
      <c r="F1139" s="22" t="str">
        <f aca="false">IF(E1139="","",IFERROR(INDEX(02_INDICADORES!$B$2:$B$42,MATCH(E1139,02_INDICADORES!$A$2:$A$42,0)),"ID?"))</f>
        <v/>
      </c>
      <c r="G1139" s="21" t="str">
        <f aca="false">IF(E1139="","",IFERROR(INDEX(02_INDICADORES!$C$2:$C$42,MATCH(E1139,02_INDICADORES!$A$2:$A$42,0)),"ID?"))</f>
        <v/>
      </c>
      <c r="H1139" s="22" t="str">
        <f aca="false">IF(E1139="","",IFERROR(INDEX(02_INDICADORES!$D$2:$D$42,MATCH(E1139,02_INDICADORES!$A$2:$A$42,0)),""))</f>
        <v/>
      </c>
      <c r="I1139" s="9"/>
      <c r="J1139" s="16" t="str">
        <f aca="false">IF(OR(I1139="",H1139=""),"",I1139*H1139)</f>
        <v/>
      </c>
      <c r="K1139" s="9"/>
      <c r="L1139" s="9"/>
      <c r="M1139" s="9"/>
    </row>
    <row r="1140" customFormat="false" ht="15" hidden="false" customHeight="false" outlineLevel="0" collapsed="false">
      <c r="A1140" s="9"/>
      <c r="B1140" s="9"/>
      <c r="C1140" s="11"/>
      <c r="D1140" s="9"/>
      <c r="E1140" s="9"/>
      <c r="F1140" s="22" t="str">
        <f aca="false">IF(E1140="","",IFERROR(INDEX(02_INDICADORES!$B$2:$B$42,MATCH(E1140,02_INDICADORES!$A$2:$A$42,0)),"ID?"))</f>
        <v/>
      </c>
      <c r="G1140" s="21" t="str">
        <f aca="false">IF(E1140="","",IFERROR(INDEX(02_INDICADORES!$C$2:$C$42,MATCH(E1140,02_INDICADORES!$A$2:$A$42,0)),"ID?"))</f>
        <v/>
      </c>
      <c r="H1140" s="22" t="str">
        <f aca="false">IF(E1140="","",IFERROR(INDEX(02_INDICADORES!$D$2:$D$42,MATCH(E1140,02_INDICADORES!$A$2:$A$42,0)),""))</f>
        <v/>
      </c>
      <c r="I1140" s="9"/>
      <c r="J1140" s="16" t="str">
        <f aca="false">IF(OR(I1140="",H1140=""),"",I1140*H1140)</f>
        <v/>
      </c>
      <c r="K1140" s="9"/>
      <c r="L1140" s="9"/>
      <c r="M1140" s="9"/>
    </row>
    <row r="1141" customFormat="false" ht="15" hidden="false" customHeight="false" outlineLevel="0" collapsed="false">
      <c r="A1141" s="9"/>
      <c r="B1141" s="9"/>
      <c r="C1141" s="11"/>
      <c r="D1141" s="9"/>
      <c r="E1141" s="9"/>
      <c r="F1141" s="22" t="str">
        <f aca="false">IF(E1141="","",IFERROR(INDEX(02_INDICADORES!$B$2:$B$42,MATCH(E1141,02_INDICADORES!$A$2:$A$42,0)),"ID?"))</f>
        <v/>
      </c>
      <c r="G1141" s="21" t="str">
        <f aca="false">IF(E1141="","",IFERROR(INDEX(02_INDICADORES!$C$2:$C$42,MATCH(E1141,02_INDICADORES!$A$2:$A$42,0)),"ID?"))</f>
        <v/>
      </c>
      <c r="H1141" s="22" t="str">
        <f aca="false">IF(E1141="","",IFERROR(INDEX(02_INDICADORES!$D$2:$D$42,MATCH(E1141,02_INDICADORES!$A$2:$A$42,0)),""))</f>
        <v/>
      </c>
      <c r="I1141" s="9"/>
      <c r="J1141" s="16" t="str">
        <f aca="false">IF(OR(I1141="",H1141=""),"",I1141*H1141)</f>
        <v/>
      </c>
      <c r="K1141" s="9"/>
      <c r="L1141" s="9"/>
      <c r="M1141" s="9"/>
    </row>
    <row r="1142" customFormat="false" ht="15" hidden="false" customHeight="false" outlineLevel="0" collapsed="false">
      <c r="A1142" s="9"/>
      <c r="B1142" s="9"/>
      <c r="C1142" s="11"/>
      <c r="D1142" s="9"/>
      <c r="E1142" s="9"/>
      <c r="F1142" s="22" t="str">
        <f aca="false">IF(E1142="","",IFERROR(INDEX(02_INDICADORES!$B$2:$B$42,MATCH(E1142,02_INDICADORES!$A$2:$A$42,0)),"ID?"))</f>
        <v/>
      </c>
      <c r="G1142" s="21" t="str">
        <f aca="false">IF(E1142="","",IFERROR(INDEX(02_INDICADORES!$C$2:$C$42,MATCH(E1142,02_INDICADORES!$A$2:$A$42,0)),"ID?"))</f>
        <v/>
      </c>
      <c r="H1142" s="22" t="str">
        <f aca="false">IF(E1142="","",IFERROR(INDEX(02_INDICADORES!$D$2:$D$42,MATCH(E1142,02_INDICADORES!$A$2:$A$42,0)),""))</f>
        <v/>
      </c>
      <c r="I1142" s="9"/>
      <c r="J1142" s="16" t="str">
        <f aca="false">IF(OR(I1142="",H1142=""),"",I1142*H1142)</f>
        <v/>
      </c>
      <c r="K1142" s="9"/>
      <c r="L1142" s="9"/>
      <c r="M1142" s="9"/>
    </row>
    <row r="1143" customFormat="false" ht="15" hidden="false" customHeight="false" outlineLevel="0" collapsed="false">
      <c r="A1143" s="9"/>
      <c r="B1143" s="9"/>
      <c r="C1143" s="11"/>
      <c r="D1143" s="9"/>
      <c r="E1143" s="9"/>
      <c r="F1143" s="22" t="str">
        <f aca="false">IF(E1143="","",IFERROR(INDEX(02_INDICADORES!$B$2:$B$42,MATCH(E1143,02_INDICADORES!$A$2:$A$42,0)),"ID?"))</f>
        <v/>
      </c>
      <c r="G1143" s="21" t="str">
        <f aca="false">IF(E1143="","",IFERROR(INDEX(02_INDICADORES!$C$2:$C$42,MATCH(E1143,02_INDICADORES!$A$2:$A$42,0)),"ID?"))</f>
        <v/>
      </c>
      <c r="H1143" s="22" t="str">
        <f aca="false">IF(E1143="","",IFERROR(INDEX(02_INDICADORES!$D$2:$D$42,MATCH(E1143,02_INDICADORES!$A$2:$A$42,0)),""))</f>
        <v/>
      </c>
      <c r="I1143" s="9"/>
      <c r="J1143" s="16" t="str">
        <f aca="false">IF(OR(I1143="",H1143=""),"",I1143*H1143)</f>
        <v/>
      </c>
      <c r="K1143" s="9"/>
      <c r="L1143" s="9"/>
      <c r="M1143" s="9"/>
    </row>
    <row r="1144" customFormat="false" ht="15" hidden="false" customHeight="false" outlineLevel="0" collapsed="false">
      <c r="A1144" s="9"/>
      <c r="B1144" s="9"/>
      <c r="C1144" s="11"/>
      <c r="D1144" s="9"/>
      <c r="E1144" s="9"/>
      <c r="F1144" s="22" t="str">
        <f aca="false">IF(E1144="","",IFERROR(INDEX(02_INDICADORES!$B$2:$B$42,MATCH(E1144,02_INDICADORES!$A$2:$A$42,0)),"ID?"))</f>
        <v/>
      </c>
      <c r="G1144" s="21" t="str">
        <f aca="false">IF(E1144="","",IFERROR(INDEX(02_INDICADORES!$C$2:$C$42,MATCH(E1144,02_INDICADORES!$A$2:$A$42,0)),"ID?"))</f>
        <v/>
      </c>
      <c r="H1144" s="22" t="str">
        <f aca="false">IF(E1144="","",IFERROR(INDEX(02_INDICADORES!$D$2:$D$42,MATCH(E1144,02_INDICADORES!$A$2:$A$42,0)),""))</f>
        <v/>
      </c>
      <c r="I1144" s="9"/>
      <c r="J1144" s="16" t="str">
        <f aca="false">IF(OR(I1144="",H1144=""),"",I1144*H1144)</f>
        <v/>
      </c>
      <c r="K1144" s="9"/>
      <c r="L1144" s="9"/>
      <c r="M1144" s="9"/>
    </row>
    <row r="1145" customFormat="false" ht="15" hidden="false" customHeight="false" outlineLevel="0" collapsed="false">
      <c r="A1145" s="9"/>
      <c r="B1145" s="9"/>
      <c r="C1145" s="11"/>
      <c r="D1145" s="9"/>
      <c r="E1145" s="9"/>
      <c r="F1145" s="22" t="str">
        <f aca="false">IF(E1145="","",IFERROR(INDEX(02_INDICADORES!$B$2:$B$42,MATCH(E1145,02_INDICADORES!$A$2:$A$42,0)),"ID?"))</f>
        <v/>
      </c>
      <c r="G1145" s="21" t="str">
        <f aca="false">IF(E1145="","",IFERROR(INDEX(02_INDICADORES!$C$2:$C$42,MATCH(E1145,02_INDICADORES!$A$2:$A$42,0)),"ID?"))</f>
        <v/>
      </c>
      <c r="H1145" s="22" t="str">
        <f aca="false">IF(E1145="","",IFERROR(INDEX(02_INDICADORES!$D$2:$D$42,MATCH(E1145,02_INDICADORES!$A$2:$A$42,0)),""))</f>
        <v/>
      </c>
      <c r="I1145" s="9"/>
      <c r="J1145" s="16" t="str">
        <f aca="false">IF(OR(I1145="",H1145=""),"",I1145*H1145)</f>
        <v/>
      </c>
      <c r="K1145" s="9"/>
      <c r="L1145" s="9"/>
      <c r="M1145" s="9"/>
    </row>
    <row r="1146" customFormat="false" ht="15" hidden="false" customHeight="false" outlineLevel="0" collapsed="false">
      <c r="A1146" s="9"/>
      <c r="B1146" s="9"/>
      <c r="C1146" s="11"/>
      <c r="D1146" s="9"/>
      <c r="E1146" s="9"/>
      <c r="F1146" s="22" t="str">
        <f aca="false">IF(E1146="","",IFERROR(INDEX(02_INDICADORES!$B$2:$B$42,MATCH(E1146,02_INDICADORES!$A$2:$A$42,0)),"ID?"))</f>
        <v/>
      </c>
      <c r="G1146" s="21" t="str">
        <f aca="false">IF(E1146="","",IFERROR(INDEX(02_INDICADORES!$C$2:$C$42,MATCH(E1146,02_INDICADORES!$A$2:$A$42,0)),"ID?"))</f>
        <v/>
      </c>
      <c r="H1146" s="22" t="str">
        <f aca="false">IF(E1146="","",IFERROR(INDEX(02_INDICADORES!$D$2:$D$42,MATCH(E1146,02_INDICADORES!$A$2:$A$42,0)),""))</f>
        <v/>
      </c>
      <c r="I1146" s="9"/>
      <c r="J1146" s="16" t="str">
        <f aca="false">IF(OR(I1146="",H1146=""),"",I1146*H1146)</f>
        <v/>
      </c>
      <c r="K1146" s="9"/>
      <c r="L1146" s="9"/>
      <c r="M1146" s="9"/>
    </row>
    <row r="1147" customFormat="false" ht="15" hidden="false" customHeight="false" outlineLevel="0" collapsed="false">
      <c r="A1147" s="9"/>
      <c r="B1147" s="9"/>
      <c r="C1147" s="11"/>
      <c r="D1147" s="9"/>
      <c r="E1147" s="9"/>
      <c r="F1147" s="22" t="str">
        <f aca="false">IF(E1147="","",IFERROR(INDEX(02_INDICADORES!$B$2:$B$42,MATCH(E1147,02_INDICADORES!$A$2:$A$42,0)),"ID?"))</f>
        <v/>
      </c>
      <c r="G1147" s="21" t="str">
        <f aca="false">IF(E1147="","",IFERROR(INDEX(02_INDICADORES!$C$2:$C$42,MATCH(E1147,02_INDICADORES!$A$2:$A$42,0)),"ID?"))</f>
        <v/>
      </c>
      <c r="H1147" s="22" t="str">
        <f aca="false">IF(E1147="","",IFERROR(INDEX(02_INDICADORES!$D$2:$D$42,MATCH(E1147,02_INDICADORES!$A$2:$A$42,0)),""))</f>
        <v/>
      </c>
      <c r="I1147" s="9"/>
      <c r="J1147" s="16" t="str">
        <f aca="false">IF(OR(I1147="",H1147=""),"",I1147*H1147)</f>
        <v/>
      </c>
      <c r="K1147" s="9"/>
      <c r="L1147" s="9"/>
      <c r="M1147" s="9"/>
    </row>
    <row r="1148" customFormat="false" ht="15" hidden="false" customHeight="false" outlineLevel="0" collapsed="false">
      <c r="A1148" s="9"/>
      <c r="B1148" s="9"/>
      <c r="C1148" s="11"/>
      <c r="D1148" s="9"/>
      <c r="E1148" s="9"/>
      <c r="F1148" s="22" t="str">
        <f aca="false">IF(E1148="","",IFERROR(INDEX(02_INDICADORES!$B$2:$B$42,MATCH(E1148,02_INDICADORES!$A$2:$A$42,0)),"ID?"))</f>
        <v/>
      </c>
      <c r="G1148" s="21" t="str">
        <f aca="false">IF(E1148="","",IFERROR(INDEX(02_INDICADORES!$C$2:$C$42,MATCH(E1148,02_INDICADORES!$A$2:$A$42,0)),"ID?"))</f>
        <v/>
      </c>
      <c r="H1148" s="22" t="str">
        <f aca="false">IF(E1148="","",IFERROR(INDEX(02_INDICADORES!$D$2:$D$42,MATCH(E1148,02_INDICADORES!$A$2:$A$42,0)),""))</f>
        <v/>
      </c>
      <c r="I1148" s="9"/>
      <c r="J1148" s="16" t="str">
        <f aca="false">IF(OR(I1148="",H1148=""),"",I1148*H1148)</f>
        <v/>
      </c>
      <c r="K1148" s="9"/>
      <c r="L1148" s="9"/>
      <c r="M1148" s="9"/>
    </row>
    <row r="1149" customFormat="false" ht="15" hidden="false" customHeight="false" outlineLevel="0" collapsed="false">
      <c r="A1149" s="9"/>
      <c r="B1149" s="9"/>
      <c r="C1149" s="11"/>
      <c r="D1149" s="9"/>
      <c r="E1149" s="9"/>
      <c r="F1149" s="22" t="str">
        <f aca="false">IF(E1149="","",IFERROR(INDEX(02_INDICADORES!$B$2:$B$42,MATCH(E1149,02_INDICADORES!$A$2:$A$42,0)),"ID?"))</f>
        <v/>
      </c>
      <c r="G1149" s="21" t="str">
        <f aca="false">IF(E1149="","",IFERROR(INDEX(02_INDICADORES!$C$2:$C$42,MATCH(E1149,02_INDICADORES!$A$2:$A$42,0)),"ID?"))</f>
        <v/>
      </c>
      <c r="H1149" s="22" t="str">
        <f aca="false">IF(E1149="","",IFERROR(INDEX(02_INDICADORES!$D$2:$D$42,MATCH(E1149,02_INDICADORES!$A$2:$A$42,0)),""))</f>
        <v/>
      </c>
      <c r="I1149" s="9"/>
      <c r="J1149" s="16" t="str">
        <f aca="false">IF(OR(I1149="",H1149=""),"",I1149*H1149)</f>
        <v/>
      </c>
      <c r="K1149" s="9"/>
      <c r="L1149" s="9"/>
      <c r="M1149" s="9"/>
    </row>
    <row r="1150" customFormat="false" ht="15" hidden="false" customHeight="false" outlineLevel="0" collapsed="false">
      <c r="A1150" s="9"/>
      <c r="B1150" s="9"/>
      <c r="C1150" s="11"/>
      <c r="D1150" s="9"/>
      <c r="E1150" s="9"/>
      <c r="F1150" s="22" t="str">
        <f aca="false">IF(E1150="","",IFERROR(INDEX(02_INDICADORES!$B$2:$B$42,MATCH(E1150,02_INDICADORES!$A$2:$A$42,0)),"ID?"))</f>
        <v/>
      </c>
      <c r="G1150" s="21" t="str">
        <f aca="false">IF(E1150="","",IFERROR(INDEX(02_INDICADORES!$C$2:$C$42,MATCH(E1150,02_INDICADORES!$A$2:$A$42,0)),"ID?"))</f>
        <v/>
      </c>
      <c r="H1150" s="22" t="str">
        <f aca="false">IF(E1150="","",IFERROR(INDEX(02_INDICADORES!$D$2:$D$42,MATCH(E1150,02_INDICADORES!$A$2:$A$42,0)),""))</f>
        <v/>
      </c>
      <c r="I1150" s="9"/>
      <c r="J1150" s="16" t="str">
        <f aca="false">IF(OR(I1150="",H1150=""),"",I1150*H1150)</f>
        <v/>
      </c>
      <c r="K1150" s="9"/>
      <c r="L1150" s="9"/>
      <c r="M1150" s="9"/>
    </row>
    <row r="1151" customFormat="false" ht="15" hidden="false" customHeight="false" outlineLevel="0" collapsed="false">
      <c r="A1151" s="9"/>
      <c r="B1151" s="9"/>
      <c r="C1151" s="11"/>
      <c r="D1151" s="9"/>
      <c r="E1151" s="9"/>
      <c r="F1151" s="22" t="str">
        <f aca="false">IF(E1151="","",IFERROR(INDEX(02_INDICADORES!$B$2:$B$42,MATCH(E1151,02_INDICADORES!$A$2:$A$42,0)),"ID?"))</f>
        <v/>
      </c>
      <c r="G1151" s="21" t="str">
        <f aca="false">IF(E1151="","",IFERROR(INDEX(02_INDICADORES!$C$2:$C$42,MATCH(E1151,02_INDICADORES!$A$2:$A$42,0)),"ID?"))</f>
        <v/>
      </c>
      <c r="H1151" s="22" t="str">
        <f aca="false">IF(E1151="","",IFERROR(INDEX(02_INDICADORES!$D$2:$D$42,MATCH(E1151,02_INDICADORES!$A$2:$A$42,0)),""))</f>
        <v/>
      </c>
      <c r="I1151" s="9"/>
      <c r="J1151" s="16" t="str">
        <f aca="false">IF(OR(I1151="",H1151=""),"",I1151*H1151)</f>
        <v/>
      </c>
      <c r="K1151" s="9"/>
      <c r="L1151" s="9"/>
      <c r="M1151" s="9"/>
    </row>
    <row r="1152" customFormat="false" ht="15" hidden="false" customHeight="false" outlineLevel="0" collapsed="false">
      <c r="A1152" s="9"/>
      <c r="B1152" s="9"/>
      <c r="C1152" s="11"/>
      <c r="D1152" s="9"/>
      <c r="E1152" s="9"/>
      <c r="F1152" s="22" t="str">
        <f aca="false">IF(E1152="","",IFERROR(INDEX(02_INDICADORES!$B$2:$B$42,MATCH(E1152,02_INDICADORES!$A$2:$A$42,0)),"ID?"))</f>
        <v/>
      </c>
      <c r="G1152" s="21" t="str">
        <f aca="false">IF(E1152="","",IFERROR(INDEX(02_INDICADORES!$C$2:$C$42,MATCH(E1152,02_INDICADORES!$A$2:$A$42,0)),"ID?"))</f>
        <v/>
      </c>
      <c r="H1152" s="22" t="str">
        <f aca="false">IF(E1152="","",IFERROR(INDEX(02_INDICADORES!$D$2:$D$42,MATCH(E1152,02_INDICADORES!$A$2:$A$42,0)),""))</f>
        <v/>
      </c>
      <c r="I1152" s="9"/>
      <c r="J1152" s="16" t="str">
        <f aca="false">IF(OR(I1152="",H1152=""),"",I1152*H1152)</f>
        <v/>
      </c>
      <c r="K1152" s="9"/>
      <c r="L1152" s="9"/>
      <c r="M1152" s="9"/>
    </row>
    <row r="1153" customFormat="false" ht="15" hidden="false" customHeight="false" outlineLevel="0" collapsed="false">
      <c r="A1153" s="9"/>
      <c r="B1153" s="9"/>
      <c r="C1153" s="11"/>
      <c r="D1153" s="9"/>
      <c r="E1153" s="9"/>
      <c r="F1153" s="22" t="str">
        <f aca="false">IF(E1153="","",IFERROR(INDEX(02_INDICADORES!$B$2:$B$42,MATCH(E1153,02_INDICADORES!$A$2:$A$42,0)),"ID?"))</f>
        <v/>
      </c>
      <c r="G1153" s="21" t="str">
        <f aca="false">IF(E1153="","",IFERROR(INDEX(02_INDICADORES!$C$2:$C$42,MATCH(E1153,02_INDICADORES!$A$2:$A$42,0)),"ID?"))</f>
        <v/>
      </c>
      <c r="H1153" s="22" t="str">
        <f aca="false">IF(E1153="","",IFERROR(INDEX(02_INDICADORES!$D$2:$D$42,MATCH(E1153,02_INDICADORES!$A$2:$A$42,0)),""))</f>
        <v/>
      </c>
      <c r="I1153" s="9"/>
      <c r="J1153" s="16" t="str">
        <f aca="false">IF(OR(I1153="",H1153=""),"",I1153*H1153)</f>
        <v/>
      </c>
      <c r="K1153" s="9"/>
      <c r="L1153" s="9"/>
      <c r="M1153" s="9"/>
    </row>
    <row r="1154" customFormat="false" ht="15" hidden="false" customHeight="false" outlineLevel="0" collapsed="false">
      <c r="A1154" s="9"/>
      <c r="B1154" s="9"/>
      <c r="C1154" s="11"/>
      <c r="D1154" s="9"/>
      <c r="E1154" s="9"/>
      <c r="F1154" s="22" t="str">
        <f aca="false">IF(E1154="","",IFERROR(INDEX(02_INDICADORES!$B$2:$B$42,MATCH(E1154,02_INDICADORES!$A$2:$A$42,0)),"ID?"))</f>
        <v/>
      </c>
      <c r="G1154" s="21" t="str">
        <f aca="false">IF(E1154="","",IFERROR(INDEX(02_INDICADORES!$C$2:$C$42,MATCH(E1154,02_INDICADORES!$A$2:$A$42,0)),"ID?"))</f>
        <v/>
      </c>
      <c r="H1154" s="22" t="str">
        <f aca="false">IF(E1154="","",IFERROR(INDEX(02_INDICADORES!$D$2:$D$42,MATCH(E1154,02_INDICADORES!$A$2:$A$42,0)),""))</f>
        <v/>
      </c>
      <c r="I1154" s="9"/>
      <c r="J1154" s="16" t="str">
        <f aca="false">IF(OR(I1154="",H1154=""),"",I1154*H1154)</f>
        <v/>
      </c>
      <c r="K1154" s="9"/>
      <c r="L1154" s="9"/>
      <c r="M1154" s="9"/>
    </row>
    <row r="1155" customFormat="false" ht="15" hidden="false" customHeight="false" outlineLevel="0" collapsed="false">
      <c r="A1155" s="9"/>
      <c r="B1155" s="9"/>
      <c r="C1155" s="11"/>
      <c r="D1155" s="9"/>
      <c r="E1155" s="9"/>
      <c r="F1155" s="22" t="str">
        <f aca="false">IF(E1155="","",IFERROR(INDEX(02_INDICADORES!$B$2:$B$42,MATCH(E1155,02_INDICADORES!$A$2:$A$42,0)),"ID?"))</f>
        <v/>
      </c>
      <c r="G1155" s="21" t="str">
        <f aca="false">IF(E1155="","",IFERROR(INDEX(02_INDICADORES!$C$2:$C$42,MATCH(E1155,02_INDICADORES!$A$2:$A$42,0)),"ID?"))</f>
        <v/>
      </c>
      <c r="H1155" s="22" t="str">
        <f aca="false">IF(E1155="","",IFERROR(INDEX(02_INDICADORES!$D$2:$D$42,MATCH(E1155,02_INDICADORES!$A$2:$A$42,0)),""))</f>
        <v/>
      </c>
      <c r="I1155" s="9"/>
      <c r="J1155" s="16" t="str">
        <f aca="false">IF(OR(I1155="",H1155=""),"",I1155*H1155)</f>
        <v/>
      </c>
      <c r="K1155" s="9"/>
      <c r="L1155" s="9"/>
      <c r="M1155" s="9"/>
    </row>
    <row r="1156" customFormat="false" ht="15" hidden="false" customHeight="false" outlineLevel="0" collapsed="false">
      <c r="A1156" s="9"/>
      <c r="B1156" s="9"/>
      <c r="C1156" s="11"/>
      <c r="D1156" s="9"/>
      <c r="E1156" s="9"/>
      <c r="F1156" s="22" t="str">
        <f aca="false">IF(E1156="","",IFERROR(INDEX(02_INDICADORES!$B$2:$B$42,MATCH(E1156,02_INDICADORES!$A$2:$A$42,0)),"ID?"))</f>
        <v/>
      </c>
      <c r="G1156" s="21" t="str">
        <f aca="false">IF(E1156="","",IFERROR(INDEX(02_INDICADORES!$C$2:$C$42,MATCH(E1156,02_INDICADORES!$A$2:$A$42,0)),"ID?"))</f>
        <v/>
      </c>
      <c r="H1156" s="22" t="str">
        <f aca="false">IF(E1156="","",IFERROR(INDEX(02_INDICADORES!$D$2:$D$42,MATCH(E1156,02_INDICADORES!$A$2:$A$42,0)),""))</f>
        <v/>
      </c>
      <c r="I1156" s="9"/>
      <c r="J1156" s="16" t="str">
        <f aca="false">IF(OR(I1156="",H1156=""),"",I1156*H1156)</f>
        <v/>
      </c>
      <c r="K1156" s="9"/>
      <c r="L1156" s="9"/>
      <c r="M1156" s="9"/>
    </row>
    <row r="1157" customFormat="false" ht="15" hidden="false" customHeight="false" outlineLevel="0" collapsed="false">
      <c r="A1157" s="9"/>
      <c r="B1157" s="9"/>
      <c r="C1157" s="11"/>
      <c r="D1157" s="9"/>
      <c r="E1157" s="9"/>
      <c r="F1157" s="22" t="str">
        <f aca="false">IF(E1157="","",IFERROR(INDEX(02_INDICADORES!$B$2:$B$42,MATCH(E1157,02_INDICADORES!$A$2:$A$42,0)),"ID?"))</f>
        <v/>
      </c>
      <c r="G1157" s="21" t="str">
        <f aca="false">IF(E1157="","",IFERROR(INDEX(02_INDICADORES!$C$2:$C$42,MATCH(E1157,02_INDICADORES!$A$2:$A$42,0)),"ID?"))</f>
        <v/>
      </c>
      <c r="H1157" s="22" t="str">
        <f aca="false">IF(E1157="","",IFERROR(INDEX(02_INDICADORES!$D$2:$D$42,MATCH(E1157,02_INDICADORES!$A$2:$A$42,0)),""))</f>
        <v/>
      </c>
      <c r="I1157" s="9"/>
      <c r="J1157" s="16" t="str">
        <f aca="false">IF(OR(I1157="",H1157=""),"",I1157*H1157)</f>
        <v/>
      </c>
      <c r="K1157" s="9"/>
      <c r="L1157" s="9"/>
      <c r="M1157" s="9"/>
    </row>
    <row r="1158" customFormat="false" ht="15" hidden="false" customHeight="false" outlineLevel="0" collapsed="false">
      <c r="A1158" s="9"/>
      <c r="B1158" s="9"/>
      <c r="C1158" s="11"/>
      <c r="D1158" s="9"/>
      <c r="E1158" s="9"/>
      <c r="F1158" s="22" t="str">
        <f aca="false">IF(E1158="","",IFERROR(INDEX(02_INDICADORES!$B$2:$B$42,MATCH(E1158,02_INDICADORES!$A$2:$A$42,0)),"ID?"))</f>
        <v/>
      </c>
      <c r="G1158" s="21" t="str">
        <f aca="false">IF(E1158="","",IFERROR(INDEX(02_INDICADORES!$C$2:$C$42,MATCH(E1158,02_INDICADORES!$A$2:$A$42,0)),"ID?"))</f>
        <v/>
      </c>
      <c r="H1158" s="22" t="str">
        <f aca="false">IF(E1158="","",IFERROR(INDEX(02_INDICADORES!$D$2:$D$42,MATCH(E1158,02_INDICADORES!$A$2:$A$42,0)),""))</f>
        <v/>
      </c>
      <c r="I1158" s="9"/>
      <c r="J1158" s="16" t="str">
        <f aca="false">IF(OR(I1158="",H1158=""),"",I1158*H1158)</f>
        <v/>
      </c>
      <c r="K1158" s="9"/>
      <c r="L1158" s="9"/>
      <c r="M1158" s="9"/>
    </row>
    <row r="1159" customFormat="false" ht="15" hidden="false" customHeight="false" outlineLevel="0" collapsed="false">
      <c r="A1159" s="9"/>
      <c r="B1159" s="9"/>
      <c r="C1159" s="11"/>
      <c r="D1159" s="9"/>
      <c r="E1159" s="9"/>
      <c r="F1159" s="22" t="str">
        <f aca="false">IF(E1159="","",IFERROR(INDEX(02_INDICADORES!$B$2:$B$42,MATCH(E1159,02_INDICADORES!$A$2:$A$42,0)),"ID?"))</f>
        <v/>
      </c>
      <c r="G1159" s="21" t="str">
        <f aca="false">IF(E1159="","",IFERROR(INDEX(02_INDICADORES!$C$2:$C$42,MATCH(E1159,02_INDICADORES!$A$2:$A$42,0)),"ID?"))</f>
        <v/>
      </c>
      <c r="H1159" s="22" t="str">
        <f aca="false">IF(E1159="","",IFERROR(INDEX(02_INDICADORES!$D$2:$D$42,MATCH(E1159,02_INDICADORES!$A$2:$A$42,0)),""))</f>
        <v/>
      </c>
      <c r="I1159" s="9"/>
      <c r="J1159" s="16" t="str">
        <f aca="false">IF(OR(I1159="",H1159=""),"",I1159*H1159)</f>
        <v/>
      </c>
      <c r="K1159" s="9"/>
      <c r="L1159" s="9"/>
      <c r="M1159" s="9"/>
    </row>
    <row r="1160" customFormat="false" ht="15" hidden="false" customHeight="false" outlineLevel="0" collapsed="false">
      <c r="A1160" s="9"/>
      <c r="B1160" s="9"/>
      <c r="C1160" s="11"/>
      <c r="D1160" s="9"/>
      <c r="E1160" s="9"/>
      <c r="F1160" s="22" t="str">
        <f aca="false">IF(E1160="","",IFERROR(INDEX(02_INDICADORES!$B$2:$B$42,MATCH(E1160,02_INDICADORES!$A$2:$A$42,0)),"ID?"))</f>
        <v/>
      </c>
      <c r="G1160" s="21" t="str">
        <f aca="false">IF(E1160="","",IFERROR(INDEX(02_INDICADORES!$C$2:$C$42,MATCH(E1160,02_INDICADORES!$A$2:$A$42,0)),"ID?"))</f>
        <v/>
      </c>
      <c r="H1160" s="22" t="str">
        <f aca="false">IF(E1160="","",IFERROR(INDEX(02_INDICADORES!$D$2:$D$42,MATCH(E1160,02_INDICADORES!$A$2:$A$42,0)),""))</f>
        <v/>
      </c>
      <c r="I1160" s="9"/>
      <c r="J1160" s="16" t="str">
        <f aca="false">IF(OR(I1160="",H1160=""),"",I1160*H1160)</f>
        <v/>
      </c>
      <c r="K1160" s="9"/>
      <c r="L1160" s="9"/>
      <c r="M1160" s="9"/>
    </row>
    <row r="1161" customFormat="false" ht="15" hidden="false" customHeight="false" outlineLevel="0" collapsed="false">
      <c r="A1161" s="9"/>
      <c r="B1161" s="9"/>
      <c r="C1161" s="11"/>
      <c r="D1161" s="9"/>
      <c r="E1161" s="9"/>
      <c r="F1161" s="22" t="str">
        <f aca="false">IF(E1161="","",IFERROR(INDEX(02_INDICADORES!$B$2:$B$42,MATCH(E1161,02_INDICADORES!$A$2:$A$42,0)),"ID?"))</f>
        <v/>
      </c>
      <c r="G1161" s="21" t="str">
        <f aca="false">IF(E1161="","",IFERROR(INDEX(02_INDICADORES!$C$2:$C$42,MATCH(E1161,02_INDICADORES!$A$2:$A$42,0)),"ID?"))</f>
        <v/>
      </c>
      <c r="H1161" s="22" t="str">
        <f aca="false">IF(E1161="","",IFERROR(INDEX(02_INDICADORES!$D$2:$D$42,MATCH(E1161,02_INDICADORES!$A$2:$A$42,0)),""))</f>
        <v/>
      </c>
      <c r="I1161" s="9"/>
      <c r="J1161" s="16" t="str">
        <f aca="false">IF(OR(I1161="",H1161=""),"",I1161*H1161)</f>
        <v/>
      </c>
      <c r="K1161" s="9"/>
      <c r="L1161" s="9"/>
      <c r="M1161" s="9"/>
    </row>
    <row r="1162" customFormat="false" ht="15" hidden="false" customHeight="false" outlineLevel="0" collapsed="false">
      <c r="A1162" s="9"/>
      <c r="B1162" s="9"/>
      <c r="C1162" s="11"/>
      <c r="D1162" s="9"/>
      <c r="E1162" s="9"/>
      <c r="F1162" s="22" t="str">
        <f aca="false">IF(E1162="","",IFERROR(INDEX(02_INDICADORES!$B$2:$B$42,MATCH(E1162,02_INDICADORES!$A$2:$A$42,0)),"ID?"))</f>
        <v/>
      </c>
      <c r="G1162" s="21" t="str">
        <f aca="false">IF(E1162="","",IFERROR(INDEX(02_INDICADORES!$C$2:$C$42,MATCH(E1162,02_INDICADORES!$A$2:$A$42,0)),"ID?"))</f>
        <v/>
      </c>
      <c r="H1162" s="22" t="str">
        <f aca="false">IF(E1162="","",IFERROR(INDEX(02_INDICADORES!$D$2:$D$42,MATCH(E1162,02_INDICADORES!$A$2:$A$42,0)),""))</f>
        <v/>
      </c>
      <c r="I1162" s="9"/>
      <c r="J1162" s="16" t="str">
        <f aca="false">IF(OR(I1162="",H1162=""),"",I1162*H1162)</f>
        <v/>
      </c>
      <c r="K1162" s="9"/>
      <c r="L1162" s="9"/>
      <c r="M1162" s="9"/>
    </row>
    <row r="1163" customFormat="false" ht="15" hidden="false" customHeight="false" outlineLevel="0" collapsed="false">
      <c r="A1163" s="9"/>
      <c r="B1163" s="9"/>
      <c r="C1163" s="11"/>
      <c r="D1163" s="9"/>
      <c r="E1163" s="9"/>
      <c r="F1163" s="22" t="str">
        <f aca="false">IF(E1163="","",IFERROR(INDEX(02_INDICADORES!$B$2:$B$42,MATCH(E1163,02_INDICADORES!$A$2:$A$42,0)),"ID?"))</f>
        <v/>
      </c>
      <c r="G1163" s="21" t="str">
        <f aca="false">IF(E1163="","",IFERROR(INDEX(02_INDICADORES!$C$2:$C$42,MATCH(E1163,02_INDICADORES!$A$2:$A$42,0)),"ID?"))</f>
        <v/>
      </c>
      <c r="H1163" s="22" t="str">
        <f aca="false">IF(E1163="","",IFERROR(INDEX(02_INDICADORES!$D$2:$D$42,MATCH(E1163,02_INDICADORES!$A$2:$A$42,0)),""))</f>
        <v/>
      </c>
      <c r="I1163" s="9"/>
      <c r="J1163" s="16" t="str">
        <f aca="false">IF(OR(I1163="",H1163=""),"",I1163*H1163)</f>
        <v/>
      </c>
      <c r="K1163" s="9"/>
      <c r="L1163" s="9"/>
      <c r="M1163" s="9"/>
    </row>
    <row r="1164" customFormat="false" ht="15" hidden="false" customHeight="false" outlineLevel="0" collapsed="false">
      <c r="A1164" s="9"/>
      <c r="B1164" s="9"/>
      <c r="C1164" s="11"/>
      <c r="D1164" s="9"/>
      <c r="E1164" s="9"/>
      <c r="F1164" s="22" t="str">
        <f aca="false">IF(E1164="","",IFERROR(INDEX(02_INDICADORES!$B$2:$B$42,MATCH(E1164,02_INDICADORES!$A$2:$A$42,0)),"ID?"))</f>
        <v/>
      </c>
      <c r="G1164" s="21" t="str">
        <f aca="false">IF(E1164="","",IFERROR(INDEX(02_INDICADORES!$C$2:$C$42,MATCH(E1164,02_INDICADORES!$A$2:$A$42,0)),"ID?"))</f>
        <v/>
      </c>
      <c r="H1164" s="22" t="str">
        <f aca="false">IF(E1164="","",IFERROR(INDEX(02_INDICADORES!$D$2:$D$42,MATCH(E1164,02_INDICADORES!$A$2:$A$42,0)),""))</f>
        <v/>
      </c>
      <c r="I1164" s="9"/>
      <c r="J1164" s="16" t="str">
        <f aca="false">IF(OR(I1164="",H1164=""),"",I1164*H1164)</f>
        <v/>
      </c>
      <c r="K1164" s="9"/>
      <c r="L1164" s="9"/>
      <c r="M1164" s="9"/>
    </row>
    <row r="1165" customFormat="false" ht="15" hidden="false" customHeight="false" outlineLevel="0" collapsed="false">
      <c r="A1165" s="9"/>
      <c r="B1165" s="9"/>
      <c r="C1165" s="11"/>
      <c r="D1165" s="9"/>
      <c r="E1165" s="9"/>
      <c r="F1165" s="22" t="str">
        <f aca="false">IF(E1165="","",IFERROR(INDEX(02_INDICADORES!$B$2:$B$42,MATCH(E1165,02_INDICADORES!$A$2:$A$42,0)),"ID?"))</f>
        <v/>
      </c>
      <c r="G1165" s="21" t="str">
        <f aca="false">IF(E1165="","",IFERROR(INDEX(02_INDICADORES!$C$2:$C$42,MATCH(E1165,02_INDICADORES!$A$2:$A$42,0)),"ID?"))</f>
        <v/>
      </c>
      <c r="H1165" s="22" t="str">
        <f aca="false">IF(E1165="","",IFERROR(INDEX(02_INDICADORES!$D$2:$D$42,MATCH(E1165,02_INDICADORES!$A$2:$A$42,0)),""))</f>
        <v/>
      </c>
      <c r="I1165" s="9"/>
      <c r="J1165" s="16" t="str">
        <f aca="false">IF(OR(I1165="",H1165=""),"",I1165*H1165)</f>
        <v/>
      </c>
      <c r="K1165" s="9"/>
      <c r="L1165" s="9"/>
      <c r="M1165" s="9"/>
    </row>
    <row r="1166" customFormat="false" ht="15" hidden="false" customHeight="false" outlineLevel="0" collapsed="false">
      <c r="A1166" s="9"/>
      <c r="B1166" s="9"/>
      <c r="C1166" s="11"/>
      <c r="D1166" s="9"/>
      <c r="E1166" s="9"/>
      <c r="F1166" s="22" t="str">
        <f aca="false">IF(E1166="","",IFERROR(INDEX(02_INDICADORES!$B$2:$B$42,MATCH(E1166,02_INDICADORES!$A$2:$A$42,0)),"ID?"))</f>
        <v/>
      </c>
      <c r="G1166" s="21" t="str">
        <f aca="false">IF(E1166="","",IFERROR(INDEX(02_INDICADORES!$C$2:$C$42,MATCH(E1166,02_INDICADORES!$A$2:$A$42,0)),"ID?"))</f>
        <v/>
      </c>
      <c r="H1166" s="22" t="str">
        <f aca="false">IF(E1166="","",IFERROR(INDEX(02_INDICADORES!$D$2:$D$42,MATCH(E1166,02_INDICADORES!$A$2:$A$42,0)),""))</f>
        <v/>
      </c>
      <c r="I1166" s="9"/>
      <c r="J1166" s="16" t="str">
        <f aca="false">IF(OR(I1166="",H1166=""),"",I1166*H1166)</f>
        <v/>
      </c>
      <c r="K1166" s="9"/>
      <c r="L1166" s="9"/>
      <c r="M1166" s="9"/>
    </row>
    <row r="1167" customFormat="false" ht="15" hidden="false" customHeight="false" outlineLevel="0" collapsed="false">
      <c r="A1167" s="9"/>
      <c r="B1167" s="9"/>
      <c r="C1167" s="11"/>
      <c r="D1167" s="9"/>
      <c r="E1167" s="9"/>
      <c r="F1167" s="22" t="str">
        <f aca="false">IF(E1167="","",IFERROR(INDEX(02_INDICADORES!$B$2:$B$42,MATCH(E1167,02_INDICADORES!$A$2:$A$42,0)),"ID?"))</f>
        <v/>
      </c>
      <c r="G1167" s="21" t="str">
        <f aca="false">IF(E1167="","",IFERROR(INDEX(02_INDICADORES!$C$2:$C$42,MATCH(E1167,02_INDICADORES!$A$2:$A$42,0)),"ID?"))</f>
        <v/>
      </c>
      <c r="H1167" s="22" t="str">
        <f aca="false">IF(E1167="","",IFERROR(INDEX(02_INDICADORES!$D$2:$D$42,MATCH(E1167,02_INDICADORES!$A$2:$A$42,0)),""))</f>
        <v/>
      </c>
      <c r="I1167" s="9"/>
      <c r="J1167" s="16" t="str">
        <f aca="false">IF(OR(I1167="",H1167=""),"",I1167*H1167)</f>
        <v/>
      </c>
      <c r="K1167" s="9"/>
      <c r="L1167" s="9"/>
      <c r="M1167" s="9"/>
    </row>
    <row r="1168" customFormat="false" ht="15" hidden="false" customHeight="false" outlineLevel="0" collapsed="false">
      <c r="A1168" s="9"/>
      <c r="B1168" s="9"/>
      <c r="C1168" s="11"/>
      <c r="D1168" s="9"/>
      <c r="E1168" s="9"/>
      <c r="F1168" s="22" t="str">
        <f aca="false">IF(E1168="","",IFERROR(INDEX(02_INDICADORES!$B$2:$B$42,MATCH(E1168,02_INDICADORES!$A$2:$A$42,0)),"ID?"))</f>
        <v/>
      </c>
      <c r="G1168" s="21" t="str">
        <f aca="false">IF(E1168="","",IFERROR(INDEX(02_INDICADORES!$C$2:$C$42,MATCH(E1168,02_INDICADORES!$A$2:$A$42,0)),"ID?"))</f>
        <v/>
      </c>
      <c r="H1168" s="22" t="str">
        <f aca="false">IF(E1168="","",IFERROR(INDEX(02_INDICADORES!$D$2:$D$42,MATCH(E1168,02_INDICADORES!$A$2:$A$42,0)),""))</f>
        <v/>
      </c>
      <c r="I1168" s="9"/>
      <c r="J1168" s="16" t="str">
        <f aca="false">IF(OR(I1168="",H1168=""),"",I1168*H1168)</f>
        <v/>
      </c>
      <c r="K1168" s="9"/>
      <c r="L1168" s="9"/>
      <c r="M1168" s="9"/>
    </row>
    <row r="1169" customFormat="false" ht="15" hidden="false" customHeight="false" outlineLevel="0" collapsed="false">
      <c r="A1169" s="9"/>
      <c r="B1169" s="9"/>
      <c r="C1169" s="11"/>
      <c r="D1169" s="9"/>
      <c r="E1169" s="9"/>
      <c r="F1169" s="22" t="str">
        <f aca="false">IF(E1169="","",IFERROR(INDEX(02_INDICADORES!$B$2:$B$42,MATCH(E1169,02_INDICADORES!$A$2:$A$42,0)),"ID?"))</f>
        <v/>
      </c>
      <c r="G1169" s="21" t="str">
        <f aca="false">IF(E1169="","",IFERROR(INDEX(02_INDICADORES!$C$2:$C$42,MATCH(E1169,02_INDICADORES!$A$2:$A$42,0)),"ID?"))</f>
        <v/>
      </c>
      <c r="H1169" s="22" t="str">
        <f aca="false">IF(E1169="","",IFERROR(INDEX(02_INDICADORES!$D$2:$D$42,MATCH(E1169,02_INDICADORES!$A$2:$A$42,0)),""))</f>
        <v/>
      </c>
      <c r="I1169" s="9"/>
      <c r="J1169" s="16" t="str">
        <f aca="false">IF(OR(I1169="",H1169=""),"",I1169*H1169)</f>
        <v/>
      </c>
      <c r="K1169" s="9"/>
      <c r="L1169" s="9"/>
      <c r="M1169" s="9"/>
    </row>
    <row r="1170" customFormat="false" ht="15" hidden="false" customHeight="false" outlineLevel="0" collapsed="false">
      <c r="A1170" s="9"/>
      <c r="B1170" s="9"/>
      <c r="C1170" s="11"/>
      <c r="D1170" s="9"/>
      <c r="E1170" s="9"/>
      <c r="F1170" s="22" t="str">
        <f aca="false">IF(E1170="","",IFERROR(INDEX(02_INDICADORES!$B$2:$B$42,MATCH(E1170,02_INDICADORES!$A$2:$A$42,0)),"ID?"))</f>
        <v/>
      </c>
      <c r="G1170" s="21" t="str">
        <f aca="false">IF(E1170="","",IFERROR(INDEX(02_INDICADORES!$C$2:$C$42,MATCH(E1170,02_INDICADORES!$A$2:$A$42,0)),"ID?"))</f>
        <v/>
      </c>
      <c r="H1170" s="22" t="str">
        <f aca="false">IF(E1170="","",IFERROR(INDEX(02_INDICADORES!$D$2:$D$42,MATCH(E1170,02_INDICADORES!$A$2:$A$42,0)),""))</f>
        <v/>
      </c>
      <c r="I1170" s="9"/>
      <c r="J1170" s="16" t="str">
        <f aca="false">IF(OR(I1170="",H1170=""),"",I1170*H1170)</f>
        <v/>
      </c>
      <c r="K1170" s="9"/>
      <c r="L1170" s="9"/>
      <c r="M1170" s="9"/>
    </row>
    <row r="1171" customFormat="false" ht="15" hidden="false" customHeight="false" outlineLevel="0" collapsed="false">
      <c r="A1171" s="9"/>
      <c r="B1171" s="9"/>
      <c r="C1171" s="11"/>
      <c r="D1171" s="9"/>
      <c r="E1171" s="9"/>
      <c r="F1171" s="22" t="str">
        <f aca="false">IF(E1171="","",IFERROR(INDEX(02_INDICADORES!$B$2:$B$42,MATCH(E1171,02_INDICADORES!$A$2:$A$42,0)),"ID?"))</f>
        <v/>
      </c>
      <c r="G1171" s="21" t="str">
        <f aca="false">IF(E1171="","",IFERROR(INDEX(02_INDICADORES!$C$2:$C$42,MATCH(E1171,02_INDICADORES!$A$2:$A$42,0)),"ID?"))</f>
        <v/>
      </c>
      <c r="H1171" s="22" t="str">
        <f aca="false">IF(E1171="","",IFERROR(INDEX(02_INDICADORES!$D$2:$D$42,MATCH(E1171,02_INDICADORES!$A$2:$A$42,0)),""))</f>
        <v/>
      </c>
      <c r="I1171" s="9"/>
      <c r="J1171" s="16" t="str">
        <f aca="false">IF(OR(I1171="",H1171=""),"",I1171*H1171)</f>
        <v/>
      </c>
      <c r="K1171" s="9"/>
      <c r="L1171" s="9"/>
      <c r="M1171" s="9"/>
    </row>
    <row r="1172" customFormat="false" ht="15" hidden="false" customHeight="false" outlineLevel="0" collapsed="false">
      <c r="A1172" s="9"/>
      <c r="B1172" s="9"/>
      <c r="C1172" s="11"/>
      <c r="D1172" s="9"/>
      <c r="E1172" s="9"/>
      <c r="F1172" s="22" t="str">
        <f aca="false">IF(E1172="","",IFERROR(INDEX(02_INDICADORES!$B$2:$B$42,MATCH(E1172,02_INDICADORES!$A$2:$A$42,0)),"ID?"))</f>
        <v/>
      </c>
      <c r="G1172" s="21" t="str">
        <f aca="false">IF(E1172="","",IFERROR(INDEX(02_INDICADORES!$C$2:$C$42,MATCH(E1172,02_INDICADORES!$A$2:$A$42,0)),"ID?"))</f>
        <v/>
      </c>
      <c r="H1172" s="22" t="str">
        <f aca="false">IF(E1172="","",IFERROR(INDEX(02_INDICADORES!$D$2:$D$42,MATCH(E1172,02_INDICADORES!$A$2:$A$42,0)),""))</f>
        <v/>
      </c>
      <c r="I1172" s="9"/>
      <c r="J1172" s="16" t="str">
        <f aca="false">IF(OR(I1172="",H1172=""),"",I1172*H1172)</f>
        <v/>
      </c>
      <c r="K1172" s="9"/>
      <c r="L1172" s="9"/>
      <c r="M1172" s="9"/>
    </row>
    <row r="1173" customFormat="false" ht="15" hidden="false" customHeight="false" outlineLevel="0" collapsed="false">
      <c r="A1173" s="9"/>
      <c r="B1173" s="9"/>
      <c r="C1173" s="11"/>
      <c r="D1173" s="9"/>
      <c r="E1173" s="9"/>
      <c r="F1173" s="22" t="str">
        <f aca="false">IF(E1173="","",IFERROR(INDEX(02_INDICADORES!$B$2:$B$42,MATCH(E1173,02_INDICADORES!$A$2:$A$42,0)),"ID?"))</f>
        <v/>
      </c>
      <c r="G1173" s="21" t="str">
        <f aca="false">IF(E1173="","",IFERROR(INDEX(02_INDICADORES!$C$2:$C$42,MATCH(E1173,02_INDICADORES!$A$2:$A$42,0)),"ID?"))</f>
        <v/>
      </c>
      <c r="H1173" s="22" t="str">
        <f aca="false">IF(E1173="","",IFERROR(INDEX(02_INDICADORES!$D$2:$D$42,MATCH(E1173,02_INDICADORES!$A$2:$A$42,0)),""))</f>
        <v/>
      </c>
      <c r="I1173" s="9"/>
      <c r="J1173" s="16" t="str">
        <f aca="false">IF(OR(I1173="",H1173=""),"",I1173*H1173)</f>
        <v/>
      </c>
      <c r="K1173" s="9"/>
      <c r="L1173" s="9"/>
      <c r="M1173" s="9"/>
    </row>
    <row r="1174" customFormat="false" ht="15" hidden="false" customHeight="false" outlineLevel="0" collapsed="false">
      <c r="A1174" s="9"/>
      <c r="B1174" s="9"/>
      <c r="C1174" s="11"/>
      <c r="D1174" s="9"/>
      <c r="E1174" s="9"/>
      <c r="F1174" s="22" t="str">
        <f aca="false">IF(E1174="","",IFERROR(INDEX(02_INDICADORES!$B$2:$B$42,MATCH(E1174,02_INDICADORES!$A$2:$A$42,0)),"ID?"))</f>
        <v/>
      </c>
      <c r="G1174" s="21" t="str">
        <f aca="false">IF(E1174="","",IFERROR(INDEX(02_INDICADORES!$C$2:$C$42,MATCH(E1174,02_INDICADORES!$A$2:$A$42,0)),"ID?"))</f>
        <v/>
      </c>
      <c r="H1174" s="22" t="str">
        <f aca="false">IF(E1174="","",IFERROR(INDEX(02_INDICADORES!$D$2:$D$42,MATCH(E1174,02_INDICADORES!$A$2:$A$42,0)),""))</f>
        <v/>
      </c>
      <c r="I1174" s="9"/>
      <c r="J1174" s="16" t="str">
        <f aca="false">IF(OR(I1174="",H1174=""),"",I1174*H1174)</f>
        <v/>
      </c>
      <c r="K1174" s="9"/>
      <c r="L1174" s="9"/>
      <c r="M1174" s="9"/>
    </row>
    <row r="1175" customFormat="false" ht="15" hidden="false" customHeight="false" outlineLevel="0" collapsed="false">
      <c r="A1175" s="9"/>
      <c r="B1175" s="9"/>
      <c r="C1175" s="11"/>
      <c r="D1175" s="9"/>
      <c r="E1175" s="9"/>
      <c r="F1175" s="22" t="str">
        <f aca="false">IF(E1175="","",IFERROR(INDEX(02_INDICADORES!$B$2:$B$42,MATCH(E1175,02_INDICADORES!$A$2:$A$42,0)),"ID?"))</f>
        <v/>
      </c>
      <c r="G1175" s="21" t="str">
        <f aca="false">IF(E1175="","",IFERROR(INDEX(02_INDICADORES!$C$2:$C$42,MATCH(E1175,02_INDICADORES!$A$2:$A$42,0)),"ID?"))</f>
        <v/>
      </c>
      <c r="H1175" s="22" t="str">
        <f aca="false">IF(E1175="","",IFERROR(INDEX(02_INDICADORES!$D$2:$D$42,MATCH(E1175,02_INDICADORES!$A$2:$A$42,0)),""))</f>
        <v/>
      </c>
      <c r="I1175" s="9"/>
      <c r="J1175" s="16" t="str">
        <f aca="false">IF(OR(I1175="",H1175=""),"",I1175*H1175)</f>
        <v/>
      </c>
      <c r="K1175" s="9"/>
      <c r="L1175" s="9"/>
      <c r="M1175" s="9"/>
    </row>
    <row r="1176" customFormat="false" ht="15" hidden="false" customHeight="false" outlineLevel="0" collapsed="false">
      <c r="A1176" s="9"/>
      <c r="B1176" s="9"/>
      <c r="C1176" s="11"/>
      <c r="D1176" s="9"/>
      <c r="E1176" s="9"/>
      <c r="F1176" s="22" t="str">
        <f aca="false">IF(E1176="","",IFERROR(INDEX(02_INDICADORES!$B$2:$B$42,MATCH(E1176,02_INDICADORES!$A$2:$A$42,0)),"ID?"))</f>
        <v/>
      </c>
      <c r="G1176" s="21" t="str">
        <f aca="false">IF(E1176="","",IFERROR(INDEX(02_INDICADORES!$C$2:$C$42,MATCH(E1176,02_INDICADORES!$A$2:$A$42,0)),"ID?"))</f>
        <v/>
      </c>
      <c r="H1176" s="22" t="str">
        <f aca="false">IF(E1176="","",IFERROR(INDEX(02_INDICADORES!$D$2:$D$42,MATCH(E1176,02_INDICADORES!$A$2:$A$42,0)),""))</f>
        <v/>
      </c>
      <c r="I1176" s="9"/>
      <c r="J1176" s="16" t="str">
        <f aca="false">IF(OR(I1176="",H1176=""),"",I1176*H1176)</f>
        <v/>
      </c>
      <c r="K1176" s="9"/>
      <c r="L1176" s="9"/>
      <c r="M1176" s="9"/>
    </row>
    <row r="1177" customFormat="false" ht="15" hidden="false" customHeight="false" outlineLevel="0" collapsed="false">
      <c r="A1177" s="9"/>
      <c r="B1177" s="9"/>
      <c r="C1177" s="11"/>
      <c r="D1177" s="9"/>
      <c r="E1177" s="9"/>
      <c r="F1177" s="22" t="str">
        <f aca="false">IF(E1177="","",IFERROR(INDEX(02_INDICADORES!$B$2:$B$42,MATCH(E1177,02_INDICADORES!$A$2:$A$42,0)),"ID?"))</f>
        <v/>
      </c>
      <c r="G1177" s="21" t="str">
        <f aca="false">IF(E1177="","",IFERROR(INDEX(02_INDICADORES!$C$2:$C$42,MATCH(E1177,02_INDICADORES!$A$2:$A$42,0)),"ID?"))</f>
        <v/>
      </c>
      <c r="H1177" s="22" t="str">
        <f aca="false">IF(E1177="","",IFERROR(INDEX(02_INDICADORES!$D$2:$D$42,MATCH(E1177,02_INDICADORES!$A$2:$A$42,0)),""))</f>
        <v/>
      </c>
      <c r="I1177" s="9"/>
      <c r="J1177" s="16" t="str">
        <f aca="false">IF(OR(I1177="",H1177=""),"",I1177*H1177)</f>
        <v/>
      </c>
      <c r="K1177" s="9"/>
      <c r="L1177" s="9"/>
      <c r="M1177" s="9"/>
    </row>
    <row r="1178" customFormat="false" ht="15" hidden="false" customHeight="false" outlineLevel="0" collapsed="false">
      <c r="A1178" s="9"/>
      <c r="B1178" s="9"/>
      <c r="C1178" s="11"/>
      <c r="D1178" s="9"/>
      <c r="E1178" s="9"/>
      <c r="F1178" s="22" t="str">
        <f aca="false">IF(E1178="","",IFERROR(INDEX(02_INDICADORES!$B$2:$B$42,MATCH(E1178,02_INDICADORES!$A$2:$A$42,0)),"ID?"))</f>
        <v/>
      </c>
      <c r="G1178" s="21" t="str">
        <f aca="false">IF(E1178="","",IFERROR(INDEX(02_INDICADORES!$C$2:$C$42,MATCH(E1178,02_INDICADORES!$A$2:$A$42,0)),"ID?"))</f>
        <v/>
      </c>
      <c r="H1178" s="22" t="str">
        <f aca="false">IF(E1178="","",IFERROR(INDEX(02_INDICADORES!$D$2:$D$42,MATCH(E1178,02_INDICADORES!$A$2:$A$42,0)),""))</f>
        <v/>
      </c>
      <c r="I1178" s="9"/>
      <c r="J1178" s="16" t="str">
        <f aca="false">IF(OR(I1178="",H1178=""),"",I1178*H1178)</f>
        <v/>
      </c>
      <c r="K1178" s="9"/>
      <c r="L1178" s="9"/>
      <c r="M1178" s="9"/>
    </row>
    <row r="1179" customFormat="false" ht="15" hidden="false" customHeight="false" outlineLevel="0" collapsed="false">
      <c r="A1179" s="9"/>
      <c r="B1179" s="9"/>
      <c r="C1179" s="11"/>
      <c r="D1179" s="9"/>
      <c r="E1179" s="9"/>
      <c r="F1179" s="22" t="str">
        <f aca="false">IF(E1179="","",IFERROR(INDEX(02_INDICADORES!$B$2:$B$42,MATCH(E1179,02_INDICADORES!$A$2:$A$42,0)),"ID?"))</f>
        <v/>
      </c>
      <c r="G1179" s="21" t="str">
        <f aca="false">IF(E1179="","",IFERROR(INDEX(02_INDICADORES!$C$2:$C$42,MATCH(E1179,02_INDICADORES!$A$2:$A$42,0)),"ID?"))</f>
        <v/>
      </c>
      <c r="H1179" s="22" t="str">
        <f aca="false">IF(E1179="","",IFERROR(INDEX(02_INDICADORES!$D$2:$D$42,MATCH(E1179,02_INDICADORES!$A$2:$A$42,0)),""))</f>
        <v/>
      </c>
      <c r="I1179" s="9"/>
      <c r="J1179" s="16" t="str">
        <f aca="false">IF(OR(I1179="",H1179=""),"",I1179*H1179)</f>
        <v/>
      </c>
      <c r="K1179" s="9"/>
      <c r="L1179" s="9"/>
      <c r="M1179" s="9"/>
    </row>
    <row r="1180" customFormat="false" ht="15" hidden="false" customHeight="false" outlineLevel="0" collapsed="false">
      <c r="A1180" s="9"/>
      <c r="B1180" s="9"/>
      <c r="C1180" s="11"/>
      <c r="D1180" s="9"/>
      <c r="E1180" s="9"/>
      <c r="F1180" s="22" t="str">
        <f aca="false">IF(E1180="","",IFERROR(INDEX(02_INDICADORES!$B$2:$B$42,MATCH(E1180,02_INDICADORES!$A$2:$A$42,0)),"ID?"))</f>
        <v/>
      </c>
      <c r="G1180" s="21" t="str">
        <f aca="false">IF(E1180="","",IFERROR(INDEX(02_INDICADORES!$C$2:$C$42,MATCH(E1180,02_INDICADORES!$A$2:$A$42,0)),"ID?"))</f>
        <v/>
      </c>
      <c r="H1180" s="22" t="str">
        <f aca="false">IF(E1180="","",IFERROR(INDEX(02_INDICADORES!$D$2:$D$42,MATCH(E1180,02_INDICADORES!$A$2:$A$42,0)),""))</f>
        <v/>
      </c>
      <c r="I1180" s="9"/>
      <c r="J1180" s="16" t="str">
        <f aca="false">IF(OR(I1180="",H1180=""),"",I1180*H1180)</f>
        <v/>
      </c>
      <c r="K1180" s="9"/>
      <c r="L1180" s="9"/>
      <c r="M1180" s="9"/>
    </row>
    <row r="1181" customFormat="false" ht="15" hidden="false" customHeight="false" outlineLevel="0" collapsed="false">
      <c r="A1181" s="9"/>
      <c r="B1181" s="9"/>
      <c r="C1181" s="11"/>
      <c r="D1181" s="9"/>
      <c r="E1181" s="9"/>
      <c r="F1181" s="22" t="str">
        <f aca="false">IF(E1181="","",IFERROR(INDEX(02_INDICADORES!$B$2:$B$42,MATCH(E1181,02_INDICADORES!$A$2:$A$42,0)),"ID?"))</f>
        <v/>
      </c>
      <c r="G1181" s="21" t="str">
        <f aca="false">IF(E1181="","",IFERROR(INDEX(02_INDICADORES!$C$2:$C$42,MATCH(E1181,02_INDICADORES!$A$2:$A$42,0)),"ID?"))</f>
        <v/>
      </c>
      <c r="H1181" s="22" t="str">
        <f aca="false">IF(E1181="","",IFERROR(INDEX(02_INDICADORES!$D$2:$D$42,MATCH(E1181,02_INDICADORES!$A$2:$A$42,0)),""))</f>
        <v/>
      </c>
      <c r="I1181" s="9"/>
      <c r="J1181" s="16" t="str">
        <f aca="false">IF(OR(I1181="",H1181=""),"",I1181*H1181)</f>
        <v/>
      </c>
      <c r="K1181" s="9"/>
      <c r="L1181" s="9"/>
      <c r="M1181" s="9"/>
    </row>
    <row r="1182" customFormat="false" ht="15" hidden="false" customHeight="false" outlineLevel="0" collapsed="false">
      <c r="A1182" s="9"/>
      <c r="B1182" s="9"/>
      <c r="C1182" s="11"/>
      <c r="D1182" s="9"/>
      <c r="E1182" s="9"/>
      <c r="F1182" s="22" t="str">
        <f aca="false">IF(E1182="","",IFERROR(INDEX(02_INDICADORES!$B$2:$B$42,MATCH(E1182,02_INDICADORES!$A$2:$A$42,0)),"ID?"))</f>
        <v/>
      </c>
      <c r="G1182" s="21" t="str">
        <f aca="false">IF(E1182="","",IFERROR(INDEX(02_INDICADORES!$C$2:$C$42,MATCH(E1182,02_INDICADORES!$A$2:$A$42,0)),"ID?"))</f>
        <v/>
      </c>
      <c r="H1182" s="22" t="str">
        <f aca="false">IF(E1182="","",IFERROR(INDEX(02_INDICADORES!$D$2:$D$42,MATCH(E1182,02_INDICADORES!$A$2:$A$42,0)),""))</f>
        <v/>
      </c>
      <c r="I1182" s="9"/>
      <c r="J1182" s="16" t="str">
        <f aca="false">IF(OR(I1182="",H1182=""),"",I1182*H1182)</f>
        <v/>
      </c>
      <c r="K1182" s="9"/>
      <c r="L1182" s="9"/>
      <c r="M1182" s="9"/>
    </row>
    <row r="1183" customFormat="false" ht="15" hidden="false" customHeight="false" outlineLevel="0" collapsed="false">
      <c r="A1183" s="9"/>
      <c r="B1183" s="9"/>
      <c r="C1183" s="11"/>
      <c r="D1183" s="9"/>
      <c r="E1183" s="9"/>
      <c r="F1183" s="22" t="str">
        <f aca="false">IF(E1183="","",IFERROR(INDEX(02_INDICADORES!$B$2:$B$42,MATCH(E1183,02_INDICADORES!$A$2:$A$42,0)),"ID?"))</f>
        <v/>
      </c>
      <c r="G1183" s="21" t="str">
        <f aca="false">IF(E1183="","",IFERROR(INDEX(02_INDICADORES!$C$2:$C$42,MATCH(E1183,02_INDICADORES!$A$2:$A$42,0)),"ID?"))</f>
        <v/>
      </c>
      <c r="H1183" s="22" t="str">
        <f aca="false">IF(E1183="","",IFERROR(INDEX(02_INDICADORES!$D$2:$D$42,MATCH(E1183,02_INDICADORES!$A$2:$A$42,0)),""))</f>
        <v/>
      </c>
      <c r="I1183" s="9"/>
      <c r="J1183" s="16" t="str">
        <f aca="false">IF(OR(I1183="",H1183=""),"",I1183*H1183)</f>
        <v/>
      </c>
      <c r="K1183" s="9"/>
      <c r="L1183" s="9"/>
      <c r="M1183" s="9"/>
    </row>
    <row r="1184" customFormat="false" ht="15" hidden="false" customHeight="false" outlineLevel="0" collapsed="false">
      <c r="A1184" s="9"/>
      <c r="B1184" s="9"/>
      <c r="C1184" s="11"/>
      <c r="D1184" s="9"/>
      <c r="E1184" s="9"/>
      <c r="F1184" s="22" t="str">
        <f aca="false">IF(E1184="","",IFERROR(INDEX(02_INDICADORES!$B$2:$B$42,MATCH(E1184,02_INDICADORES!$A$2:$A$42,0)),"ID?"))</f>
        <v/>
      </c>
      <c r="G1184" s="21" t="str">
        <f aca="false">IF(E1184="","",IFERROR(INDEX(02_INDICADORES!$C$2:$C$42,MATCH(E1184,02_INDICADORES!$A$2:$A$42,0)),"ID?"))</f>
        <v/>
      </c>
      <c r="H1184" s="22" t="str">
        <f aca="false">IF(E1184="","",IFERROR(INDEX(02_INDICADORES!$D$2:$D$42,MATCH(E1184,02_INDICADORES!$A$2:$A$42,0)),""))</f>
        <v/>
      </c>
      <c r="I1184" s="9"/>
      <c r="J1184" s="16" t="str">
        <f aca="false">IF(OR(I1184="",H1184=""),"",I1184*H1184)</f>
        <v/>
      </c>
      <c r="K1184" s="9"/>
      <c r="L1184" s="9"/>
      <c r="M1184" s="9"/>
    </row>
    <row r="1185" customFormat="false" ht="15" hidden="false" customHeight="false" outlineLevel="0" collapsed="false">
      <c r="A1185" s="9"/>
      <c r="B1185" s="9"/>
      <c r="C1185" s="11"/>
      <c r="D1185" s="9"/>
      <c r="E1185" s="9"/>
      <c r="F1185" s="22" t="str">
        <f aca="false">IF(E1185="","",IFERROR(INDEX(02_INDICADORES!$B$2:$B$42,MATCH(E1185,02_INDICADORES!$A$2:$A$42,0)),"ID?"))</f>
        <v/>
      </c>
      <c r="G1185" s="21" t="str">
        <f aca="false">IF(E1185="","",IFERROR(INDEX(02_INDICADORES!$C$2:$C$42,MATCH(E1185,02_INDICADORES!$A$2:$A$42,0)),"ID?"))</f>
        <v/>
      </c>
      <c r="H1185" s="22" t="str">
        <f aca="false">IF(E1185="","",IFERROR(INDEX(02_INDICADORES!$D$2:$D$42,MATCH(E1185,02_INDICADORES!$A$2:$A$42,0)),""))</f>
        <v/>
      </c>
      <c r="I1185" s="9"/>
      <c r="J1185" s="16" t="str">
        <f aca="false">IF(OR(I1185="",H1185=""),"",I1185*H1185)</f>
        <v/>
      </c>
      <c r="K1185" s="9"/>
      <c r="L1185" s="9"/>
      <c r="M1185" s="9"/>
    </row>
    <row r="1186" customFormat="false" ht="15" hidden="false" customHeight="false" outlineLevel="0" collapsed="false">
      <c r="A1186" s="9"/>
      <c r="B1186" s="9"/>
      <c r="C1186" s="11"/>
      <c r="D1186" s="9"/>
      <c r="E1186" s="9"/>
      <c r="F1186" s="22" t="str">
        <f aca="false">IF(E1186="","",IFERROR(INDEX(02_INDICADORES!$B$2:$B$42,MATCH(E1186,02_INDICADORES!$A$2:$A$42,0)),"ID?"))</f>
        <v/>
      </c>
      <c r="G1186" s="21" t="str">
        <f aca="false">IF(E1186="","",IFERROR(INDEX(02_INDICADORES!$C$2:$C$42,MATCH(E1186,02_INDICADORES!$A$2:$A$42,0)),"ID?"))</f>
        <v/>
      </c>
      <c r="H1186" s="22" t="str">
        <f aca="false">IF(E1186="","",IFERROR(INDEX(02_INDICADORES!$D$2:$D$42,MATCH(E1186,02_INDICADORES!$A$2:$A$42,0)),""))</f>
        <v/>
      </c>
      <c r="I1186" s="9"/>
      <c r="J1186" s="16" t="str">
        <f aca="false">IF(OR(I1186="",H1186=""),"",I1186*H1186)</f>
        <v/>
      </c>
      <c r="K1186" s="9"/>
      <c r="L1186" s="9"/>
      <c r="M1186" s="9"/>
    </row>
    <row r="1187" customFormat="false" ht="15" hidden="false" customHeight="false" outlineLevel="0" collapsed="false">
      <c r="A1187" s="9"/>
      <c r="B1187" s="9"/>
      <c r="C1187" s="11"/>
      <c r="D1187" s="9"/>
      <c r="E1187" s="9"/>
      <c r="F1187" s="22" t="str">
        <f aca="false">IF(E1187="","",IFERROR(INDEX(02_INDICADORES!$B$2:$B$42,MATCH(E1187,02_INDICADORES!$A$2:$A$42,0)),"ID?"))</f>
        <v/>
      </c>
      <c r="G1187" s="21" t="str">
        <f aca="false">IF(E1187="","",IFERROR(INDEX(02_INDICADORES!$C$2:$C$42,MATCH(E1187,02_INDICADORES!$A$2:$A$42,0)),"ID?"))</f>
        <v/>
      </c>
      <c r="H1187" s="22" t="str">
        <f aca="false">IF(E1187="","",IFERROR(INDEX(02_INDICADORES!$D$2:$D$42,MATCH(E1187,02_INDICADORES!$A$2:$A$42,0)),""))</f>
        <v/>
      </c>
      <c r="I1187" s="9"/>
      <c r="J1187" s="16" t="str">
        <f aca="false">IF(OR(I1187="",H1187=""),"",I1187*H1187)</f>
        <v/>
      </c>
      <c r="K1187" s="9"/>
      <c r="L1187" s="9"/>
      <c r="M1187" s="9"/>
    </row>
    <row r="1188" customFormat="false" ht="15" hidden="false" customHeight="false" outlineLevel="0" collapsed="false">
      <c r="A1188" s="9"/>
      <c r="B1188" s="9"/>
      <c r="C1188" s="11"/>
      <c r="D1188" s="9"/>
      <c r="E1188" s="9"/>
      <c r="F1188" s="22" t="str">
        <f aca="false">IF(E1188="","",IFERROR(INDEX(02_INDICADORES!$B$2:$B$42,MATCH(E1188,02_INDICADORES!$A$2:$A$42,0)),"ID?"))</f>
        <v/>
      </c>
      <c r="G1188" s="21" t="str">
        <f aca="false">IF(E1188="","",IFERROR(INDEX(02_INDICADORES!$C$2:$C$42,MATCH(E1188,02_INDICADORES!$A$2:$A$42,0)),"ID?"))</f>
        <v/>
      </c>
      <c r="H1188" s="22" t="str">
        <f aca="false">IF(E1188="","",IFERROR(INDEX(02_INDICADORES!$D$2:$D$42,MATCH(E1188,02_INDICADORES!$A$2:$A$42,0)),""))</f>
        <v/>
      </c>
      <c r="I1188" s="9"/>
      <c r="J1188" s="16" t="str">
        <f aca="false">IF(OR(I1188="",H1188=""),"",I1188*H1188)</f>
        <v/>
      </c>
      <c r="K1188" s="9"/>
      <c r="L1188" s="9"/>
      <c r="M1188" s="9"/>
    </row>
    <row r="1189" customFormat="false" ht="15" hidden="false" customHeight="false" outlineLevel="0" collapsed="false">
      <c r="A1189" s="9"/>
      <c r="B1189" s="9"/>
      <c r="C1189" s="11"/>
      <c r="D1189" s="9"/>
      <c r="E1189" s="9"/>
      <c r="F1189" s="22" t="str">
        <f aca="false">IF(E1189="","",IFERROR(INDEX(02_INDICADORES!$B$2:$B$42,MATCH(E1189,02_INDICADORES!$A$2:$A$42,0)),"ID?"))</f>
        <v/>
      </c>
      <c r="G1189" s="21" t="str">
        <f aca="false">IF(E1189="","",IFERROR(INDEX(02_INDICADORES!$C$2:$C$42,MATCH(E1189,02_INDICADORES!$A$2:$A$42,0)),"ID?"))</f>
        <v/>
      </c>
      <c r="H1189" s="22" t="str">
        <f aca="false">IF(E1189="","",IFERROR(INDEX(02_INDICADORES!$D$2:$D$42,MATCH(E1189,02_INDICADORES!$A$2:$A$42,0)),""))</f>
        <v/>
      </c>
      <c r="I1189" s="9"/>
      <c r="J1189" s="16" t="str">
        <f aca="false">IF(OR(I1189="",H1189=""),"",I1189*H1189)</f>
        <v/>
      </c>
      <c r="K1189" s="9"/>
      <c r="L1189" s="9"/>
      <c r="M1189" s="9"/>
    </row>
    <row r="1190" customFormat="false" ht="15" hidden="false" customHeight="false" outlineLevel="0" collapsed="false">
      <c r="A1190" s="9"/>
      <c r="B1190" s="9"/>
      <c r="C1190" s="11"/>
      <c r="D1190" s="9"/>
      <c r="E1190" s="9"/>
      <c r="F1190" s="22" t="str">
        <f aca="false">IF(E1190="","",IFERROR(INDEX(02_INDICADORES!$B$2:$B$42,MATCH(E1190,02_INDICADORES!$A$2:$A$42,0)),"ID?"))</f>
        <v/>
      </c>
      <c r="G1190" s="21" t="str">
        <f aca="false">IF(E1190="","",IFERROR(INDEX(02_INDICADORES!$C$2:$C$42,MATCH(E1190,02_INDICADORES!$A$2:$A$42,0)),"ID?"))</f>
        <v/>
      </c>
      <c r="H1190" s="22" t="str">
        <f aca="false">IF(E1190="","",IFERROR(INDEX(02_INDICADORES!$D$2:$D$42,MATCH(E1190,02_INDICADORES!$A$2:$A$42,0)),""))</f>
        <v/>
      </c>
      <c r="I1190" s="9"/>
      <c r="J1190" s="16" t="str">
        <f aca="false">IF(OR(I1190="",H1190=""),"",I1190*H1190)</f>
        <v/>
      </c>
      <c r="K1190" s="9"/>
      <c r="L1190" s="9"/>
      <c r="M1190" s="9"/>
    </row>
    <row r="1191" customFormat="false" ht="15" hidden="false" customHeight="false" outlineLevel="0" collapsed="false">
      <c r="A1191" s="9"/>
      <c r="B1191" s="9"/>
      <c r="C1191" s="11"/>
      <c r="D1191" s="9"/>
      <c r="E1191" s="9"/>
      <c r="F1191" s="22" t="str">
        <f aca="false">IF(E1191="","",IFERROR(INDEX(02_INDICADORES!$B$2:$B$42,MATCH(E1191,02_INDICADORES!$A$2:$A$42,0)),"ID?"))</f>
        <v/>
      </c>
      <c r="G1191" s="21" t="str">
        <f aca="false">IF(E1191="","",IFERROR(INDEX(02_INDICADORES!$C$2:$C$42,MATCH(E1191,02_INDICADORES!$A$2:$A$42,0)),"ID?"))</f>
        <v/>
      </c>
      <c r="H1191" s="22" t="str">
        <f aca="false">IF(E1191="","",IFERROR(INDEX(02_INDICADORES!$D$2:$D$42,MATCH(E1191,02_INDICADORES!$A$2:$A$42,0)),""))</f>
        <v/>
      </c>
      <c r="I1191" s="9"/>
      <c r="J1191" s="16" t="str">
        <f aca="false">IF(OR(I1191="",H1191=""),"",I1191*H1191)</f>
        <v/>
      </c>
      <c r="K1191" s="9"/>
      <c r="L1191" s="9"/>
      <c r="M1191" s="9"/>
    </row>
    <row r="1192" customFormat="false" ht="15" hidden="false" customHeight="false" outlineLevel="0" collapsed="false">
      <c r="A1192" s="9"/>
      <c r="B1192" s="9"/>
      <c r="C1192" s="11"/>
      <c r="D1192" s="9"/>
      <c r="E1192" s="9"/>
      <c r="F1192" s="22" t="str">
        <f aca="false">IF(E1192="","",IFERROR(INDEX(02_INDICADORES!$B$2:$B$42,MATCH(E1192,02_INDICADORES!$A$2:$A$42,0)),"ID?"))</f>
        <v/>
      </c>
      <c r="G1192" s="21" t="str">
        <f aca="false">IF(E1192="","",IFERROR(INDEX(02_INDICADORES!$C$2:$C$42,MATCH(E1192,02_INDICADORES!$A$2:$A$42,0)),"ID?"))</f>
        <v/>
      </c>
      <c r="H1192" s="22" t="str">
        <f aca="false">IF(E1192="","",IFERROR(INDEX(02_INDICADORES!$D$2:$D$42,MATCH(E1192,02_INDICADORES!$A$2:$A$42,0)),""))</f>
        <v/>
      </c>
      <c r="I1192" s="9"/>
      <c r="J1192" s="16" t="str">
        <f aca="false">IF(OR(I1192="",H1192=""),"",I1192*H1192)</f>
        <v/>
      </c>
      <c r="K1192" s="9"/>
      <c r="L1192" s="9"/>
      <c r="M1192" s="9"/>
    </row>
    <row r="1193" customFormat="false" ht="15" hidden="false" customHeight="false" outlineLevel="0" collapsed="false">
      <c r="A1193" s="9"/>
      <c r="B1193" s="9"/>
      <c r="C1193" s="11"/>
      <c r="D1193" s="9"/>
      <c r="E1193" s="9"/>
      <c r="F1193" s="22" t="str">
        <f aca="false">IF(E1193="","",IFERROR(INDEX(02_INDICADORES!$B$2:$B$42,MATCH(E1193,02_INDICADORES!$A$2:$A$42,0)),"ID?"))</f>
        <v/>
      </c>
      <c r="G1193" s="21" t="str">
        <f aca="false">IF(E1193="","",IFERROR(INDEX(02_INDICADORES!$C$2:$C$42,MATCH(E1193,02_INDICADORES!$A$2:$A$42,0)),"ID?"))</f>
        <v/>
      </c>
      <c r="H1193" s="22" t="str">
        <f aca="false">IF(E1193="","",IFERROR(INDEX(02_INDICADORES!$D$2:$D$42,MATCH(E1193,02_INDICADORES!$A$2:$A$42,0)),""))</f>
        <v/>
      </c>
      <c r="I1193" s="9"/>
      <c r="J1193" s="16" t="str">
        <f aca="false">IF(OR(I1193="",H1193=""),"",I1193*H1193)</f>
        <v/>
      </c>
      <c r="K1193" s="9"/>
      <c r="L1193" s="9"/>
      <c r="M1193" s="9"/>
    </row>
    <row r="1194" customFormat="false" ht="15" hidden="false" customHeight="false" outlineLevel="0" collapsed="false">
      <c r="A1194" s="9"/>
      <c r="B1194" s="9"/>
      <c r="C1194" s="11"/>
      <c r="D1194" s="9"/>
      <c r="E1194" s="9"/>
      <c r="F1194" s="22" t="str">
        <f aca="false">IF(E1194="","",IFERROR(INDEX(02_INDICADORES!$B$2:$B$42,MATCH(E1194,02_INDICADORES!$A$2:$A$42,0)),"ID?"))</f>
        <v/>
      </c>
      <c r="G1194" s="21" t="str">
        <f aca="false">IF(E1194="","",IFERROR(INDEX(02_INDICADORES!$C$2:$C$42,MATCH(E1194,02_INDICADORES!$A$2:$A$42,0)),"ID?"))</f>
        <v/>
      </c>
      <c r="H1194" s="22" t="str">
        <f aca="false">IF(E1194="","",IFERROR(INDEX(02_INDICADORES!$D$2:$D$42,MATCH(E1194,02_INDICADORES!$A$2:$A$42,0)),""))</f>
        <v/>
      </c>
      <c r="I1194" s="9"/>
      <c r="J1194" s="16" t="str">
        <f aca="false">IF(OR(I1194="",H1194=""),"",I1194*H1194)</f>
        <v/>
      </c>
      <c r="K1194" s="9"/>
      <c r="L1194" s="9"/>
      <c r="M1194" s="9"/>
    </row>
    <row r="1195" customFormat="false" ht="15" hidden="false" customHeight="false" outlineLevel="0" collapsed="false">
      <c r="A1195" s="9"/>
      <c r="B1195" s="9"/>
      <c r="C1195" s="11"/>
      <c r="D1195" s="9"/>
      <c r="E1195" s="9"/>
      <c r="F1195" s="22" t="str">
        <f aca="false">IF(E1195="","",IFERROR(INDEX(02_INDICADORES!$B$2:$B$42,MATCH(E1195,02_INDICADORES!$A$2:$A$42,0)),"ID?"))</f>
        <v/>
      </c>
      <c r="G1195" s="21" t="str">
        <f aca="false">IF(E1195="","",IFERROR(INDEX(02_INDICADORES!$C$2:$C$42,MATCH(E1195,02_INDICADORES!$A$2:$A$42,0)),"ID?"))</f>
        <v/>
      </c>
      <c r="H1195" s="22" t="str">
        <f aca="false">IF(E1195="","",IFERROR(INDEX(02_INDICADORES!$D$2:$D$42,MATCH(E1195,02_INDICADORES!$A$2:$A$42,0)),""))</f>
        <v/>
      </c>
      <c r="I1195" s="9"/>
      <c r="J1195" s="16" t="str">
        <f aca="false">IF(OR(I1195="",H1195=""),"",I1195*H1195)</f>
        <v/>
      </c>
      <c r="K1195" s="9"/>
      <c r="L1195" s="9"/>
      <c r="M1195" s="9"/>
    </row>
    <row r="1196" customFormat="false" ht="15" hidden="false" customHeight="false" outlineLevel="0" collapsed="false">
      <c r="A1196" s="9"/>
      <c r="B1196" s="9"/>
      <c r="C1196" s="11"/>
      <c r="D1196" s="9"/>
      <c r="E1196" s="9"/>
      <c r="F1196" s="22" t="str">
        <f aca="false">IF(E1196="","",IFERROR(INDEX(02_INDICADORES!$B$2:$B$42,MATCH(E1196,02_INDICADORES!$A$2:$A$42,0)),"ID?"))</f>
        <v/>
      </c>
      <c r="G1196" s="21" t="str">
        <f aca="false">IF(E1196="","",IFERROR(INDEX(02_INDICADORES!$C$2:$C$42,MATCH(E1196,02_INDICADORES!$A$2:$A$42,0)),"ID?"))</f>
        <v/>
      </c>
      <c r="H1196" s="22" t="str">
        <f aca="false">IF(E1196="","",IFERROR(INDEX(02_INDICADORES!$D$2:$D$42,MATCH(E1196,02_INDICADORES!$A$2:$A$42,0)),""))</f>
        <v/>
      </c>
      <c r="I1196" s="9"/>
      <c r="J1196" s="16" t="str">
        <f aca="false">IF(OR(I1196="",H1196=""),"",I1196*H1196)</f>
        <v/>
      </c>
      <c r="K1196" s="9"/>
      <c r="L1196" s="9"/>
      <c r="M1196" s="9"/>
    </row>
    <row r="1197" customFormat="false" ht="15" hidden="false" customHeight="false" outlineLevel="0" collapsed="false">
      <c r="A1197" s="9"/>
      <c r="B1197" s="9"/>
      <c r="C1197" s="11"/>
      <c r="D1197" s="9"/>
      <c r="E1197" s="9"/>
      <c r="F1197" s="22" t="str">
        <f aca="false">IF(E1197="","",IFERROR(INDEX(02_INDICADORES!$B$2:$B$42,MATCH(E1197,02_INDICADORES!$A$2:$A$42,0)),"ID?"))</f>
        <v/>
      </c>
      <c r="G1197" s="21" t="str">
        <f aca="false">IF(E1197="","",IFERROR(INDEX(02_INDICADORES!$C$2:$C$42,MATCH(E1197,02_INDICADORES!$A$2:$A$42,0)),"ID?"))</f>
        <v/>
      </c>
      <c r="H1197" s="22" t="str">
        <f aca="false">IF(E1197="","",IFERROR(INDEX(02_INDICADORES!$D$2:$D$42,MATCH(E1197,02_INDICADORES!$A$2:$A$42,0)),""))</f>
        <v/>
      </c>
      <c r="I1197" s="9"/>
      <c r="J1197" s="16" t="str">
        <f aca="false">IF(OR(I1197="",H1197=""),"",I1197*H1197)</f>
        <v/>
      </c>
      <c r="K1197" s="9"/>
      <c r="L1197" s="9"/>
      <c r="M1197" s="9"/>
    </row>
    <row r="1198" customFormat="false" ht="15" hidden="false" customHeight="false" outlineLevel="0" collapsed="false">
      <c r="A1198" s="9"/>
      <c r="B1198" s="9"/>
      <c r="C1198" s="11"/>
      <c r="D1198" s="9"/>
      <c r="E1198" s="9"/>
      <c r="F1198" s="22" t="str">
        <f aca="false">IF(E1198="","",IFERROR(INDEX(02_INDICADORES!$B$2:$B$42,MATCH(E1198,02_INDICADORES!$A$2:$A$42,0)),"ID?"))</f>
        <v/>
      </c>
      <c r="G1198" s="21" t="str">
        <f aca="false">IF(E1198="","",IFERROR(INDEX(02_INDICADORES!$C$2:$C$42,MATCH(E1198,02_INDICADORES!$A$2:$A$42,0)),"ID?"))</f>
        <v/>
      </c>
      <c r="H1198" s="22" t="str">
        <f aca="false">IF(E1198="","",IFERROR(INDEX(02_INDICADORES!$D$2:$D$42,MATCH(E1198,02_INDICADORES!$A$2:$A$42,0)),""))</f>
        <v/>
      </c>
      <c r="I1198" s="9"/>
      <c r="J1198" s="16" t="str">
        <f aca="false">IF(OR(I1198="",H1198=""),"",I1198*H1198)</f>
        <v/>
      </c>
      <c r="K1198" s="9"/>
      <c r="L1198" s="9"/>
      <c r="M1198" s="9"/>
    </row>
    <row r="1199" customFormat="false" ht="15" hidden="false" customHeight="false" outlineLevel="0" collapsed="false">
      <c r="A1199" s="9"/>
      <c r="B1199" s="9"/>
      <c r="C1199" s="11"/>
      <c r="D1199" s="9"/>
      <c r="E1199" s="9"/>
      <c r="F1199" s="22" t="str">
        <f aca="false">IF(E1199="","",IFERROR(INDEX(02_INDICADORES!$B$2:$B$42,MATCH(E1199,02_INDICADORES!$A$2:$A$42,0)),"ID?"))</f>
        <v/>
      </c>
      <c r="G1199" s="21" t="str">
        <f aca="false">IF(E1199="","",IFERROR(INDEX(02_INDICADORES!$C$2:$C$42,MATCH(E1199,02_INDICADORES!$A$2:$A$42,0)),"ID?"))</f>
        <v/>
      </c>
      <c r="H1199" s="22" t="str">
        <f aca="false">IF(E1199="","",IFERROR(INDEX(02_INDICADORES!$D$2:$D$42,MATCH(E1199,02_INDICADORES!$A$2:$A$42,0)),""))</f>
        <v/>
      </c>
      <c r="I1199" s="9"/>
      <c r="J1199" s="16" t="str">
        <f aca="false">IF(OR(I1199="",H1199=""),"",I1199*H1199)</f>
        <v/>
      </c>
      <c r="K1199" s="9"/>
      <c r="L1199" s="9"/>
      <c r="M1199" s="9"/>
    </row>
    <row r="1200" customFormat="false" ht="15" hidden="false" customHeight="false" outlineLevel="0" collapsed="false">
      <c r="A1200" s="9"/>
      <c r="B1200" s="9"/>
      <c r="C1200" s="11"/>
      <c r="D1200" s="9"/>
      <c r="E1200" s="9"/>
      <c r="F1200" s="22" t="str">
        <f aca="false">IF(E1200="","",IFERROR(INDEX(02_INDICADORES!$B$2:$B$42,MATCH(E1200,02_INDICADORES!$A$2:$A$42,0)),"ID?"))</f>
        <v/>
      </c>
      <c r="G1200" s="21" t="str">
        <f aca="false">IF(E1200="","",IFERROR(INDEX(02_INDICADORES!$C$2:$C$42,MATCH(E1200,02_INDICADORES!$A$2:$A$42,0)),"ID?"))</f>
        <v/>
      </c>
      <c r="H1200" s="22" t="str">
        <f aca="false">IF(E1200="","",IFERROR(INDEX(02_INDICADORES!$D$2:$D$42,MATCH(E1200,02_INDICADORES!$A$2:$A$42,0)),""))</f>
        <v/>
      </c>
      <c r="I1200" s="9"/>
      <c r="J1200" s="16" t="str">
        <f aca="false">IF(OR(I1200="",H1200=""),"",I1200*H1200)</f>
        <v/>
      </c>
      <c r="K1200" s="9"/>
      <c r="L1200" s="9"/>
      <c r="M1200" s="9"/>
    </row>
    <row r="1201" customFormat="false" ht="15" hidden="false" customHeight="false" outlineLevel="0" collapsed="false">
      <c r="A1201" s="9"/>
      <c r="B1201" s="9"/>
      <c r="C1201" s="11"/>
      <c r="D1201" s="9"/>
      <c r="E1201" s="9"/>
      <c r="F1201" s="22" t="str">
        <f aca="false">IF(E1201="","",IFERROR(INDEX(02_INDICADORES!$B$2:$B$42,MATCH(E1201,02_INDICADORES!$A$2:$A$42,0)),"ID?"))</f>
        <v/>
      </c>
      <c r="G1201" s="21" t="str">
        <f aca="false">IF(E1201="","",IFERROR(INDEX(02_INDICADORES!$C$2:$C$42,MATCH(E1201,02_INDICADORES!$A$2:$A$42,0)),"ID?"))</f>
        <v/>
      </c>
      <c r="H1201" s="22" t="str">
        <f aca="false">IF(E1201="","",IFERROR(INDEX(02_INDICADORES!$D$2:$D$42,MATCH(E1201,02_INDICADORES!$A$2:$A$42,0)),""))</f>
        <v/>
      </c>
      <c r="I1201" s="9"/>
      <c r="J1201" s="16" t="str">
        <f aca="false">IF(OR(I1201="",H1201=""),"",I1201*H1201)</f>
        <v/>
      </c>
      <c r="K1201" s="9"/>
      <c r="L1201" s="9"/>
      <c r="M1201" s="9"/>
    </row>
    <row r="1202" customFormat="false" ht="15" hidden="false" customHeight="false" outlineLevel="0" collapsed="false">
      <c r="A1202" s="9"/>
      <c r="B1202" s="9"/>
      <c r="C1202" s="11"/>
      <c r="D1202" s="9"/>
      <c r="E1202" s="9"/>
      <c r="F1202" s="22" t="str">
        <f aca="false">IF(E1202="","",IFERROR(INDEX(02_INDICADORES!$B$2:$B$42,MATCH(E1202,02_INDICADORES!$A$2:$A$42,0)),"ID?"))</f>
        <v/>
      </c>
      <c r="G1202" s="21" t="str">
        <f aca="false">IF(E1202="","",IFERROR(INDEX(02_INDICADORES!$C$2:$C$42,MATCH(E1202,02_INDICADORES!$A$2:$A$42,0)),"ID?"))</f>
        <v/>
      </c>
      <c r="H1202" s="22" t="str">
        <f aca="false">IF(E1202="","",IFERROR(INDEX(02_INDICADORES!$D$2:$D$42,MATCH(E1202,02_INDICADORES!$A$2:$A$42,0)),""))</f>
        <v/>
      </c>
      <c r="I1202" s="9"/>
      <c r="J1202" s="16" t="str">
        <f aca="false">IF(OR(I1202="",H1202=""),"",I1202*H1202)</f>
        <v/>
      </c>
      <c r="K1202" s="9"/>
      <c r="L1202" s="9"/>
      <c r="M1202" s="9"/>
    </row>
    <row r="1203" customFormat="false" ht="15" hidden="false" customHeight="false" outlineLevel="0" collapsed="false">
      <c r="A1203" s="9"/>
      <c r="B1203" s="9"/>
      <c r="C1203" s="11"/>
      <c r="D1203" s="9"/>
      <c r="E1203" s="9"/>
      <c r="F1203" s="22" t="str">
        <f aca="false">IF(E1203="","",IFERROR(INDEX(02_INDICADORES!$B$2:$B$42,MATCH(E1203,02_INDICADORES!$A$2:$A$42,0)),"ID?"))</f>
        <v/>
      </c>
      <c r="G1203" s="21" t="str">
        <f aca="false">IF(E1203="","",IFERROR(INDEX(02_INDICADORES!$C$2:$C$42,MATCH(E1203,02_INDICADORES!$A$2:$A$42,0)),"ID?"))</f>
        <v/>
      </c>
      <c r="H1203" s="22" t="str">
        <f aca="false">IF(E1203="","",IFERROR(INDEX(02_INDICADORES!$D$2:$D$42,MATCH(E1203,02_INDICADORES!$A$2:$A$42,0)),""))</f>
        <v/>
      </c>
      <c r="I1203" s="9"/>
      <c r="J1203" s="16" t="str">
        <f aca="false">IF(OR(I1203="",H1203=""),"",I1203*H1203)</f>
        <v/>
      </c>
      <c r="K1203" s="9"/>
      <c r="L1203" s="9"/>
      <c r="M1203" s="9"/>
    </row>
    <row r="1204" customFormat="false" ht="15" hidden="false" customHeight="false" outlineLevel="0" collapsed="false">
      <c r="A1204" s="9"/>
      <c r="B1204" s="9"/>
      <c r="C1204" s="11"/>
      <c r="D1204" s="9"/>
      <c r="E1204" s="9"/>
      <c r="F1204" s="22" t="str">
        <f aca="false">IF(E1204="","",IFERROR(INDEX(02_INDICADORES!$B$2:$B$42,MATCH(E1204,02_INDICADORES!$A$2:$A$42,0)),"ID?"))</f>
        <v/>
      </c>
      <c r="G1204" s="21" t="str">
        <f aca="false">IF(E1204="","",IFERROR(INDEX(02_INDICADORES!$C$2:$C$42,MATCH(E1204,02_INDICADORES!$A$2:$A$42,0)),"ID?"))</f>
        <v/>
      </c>
      <c r="H1204" s="22" t="str">
        <f aca="false">IF(E1204="","",IFERROR(INDEX(02_INDICADORES!$D$2:$D$42,MATCH(E1204,02_INDICADORES!$A$2:$A$42,0)),""))</f>
        <v/>
      </c>
      <c r="I1204" s="9"/>
      <c r="J1204" s="16" t="str">
        <f aca="false">IF(OR(I1204="",H1204=""),"",I1204*H1204)</f>
        <v/>
      </c>
      <c r="K1204" s="9"/>
      <c r="L1204" s="9"/>
      <c r="M1204" s="9"/>
    </row>
    <row r="1205" customFormat="false" ht="15" hidden="false" customHeight="false" outlineLevel="0" collapsed="false">
      <c r="A1205" s="9"/>
      <c r="B1205" s="9"/>
      <c r="C1205" s="11"/>
      <c r="D1205" s="9"/>
      <c r="E1205" s="9"/>
      <c r="F1205" s="22" t="str">
        <f aca="false">IF(E1205="","",IFERROR(INDEX(02_INDICADORES!$B$2:$B$42,MATCH(E1205,02_INDICADORES!$A$2:$A$42,0)),"ID?"))</f>
        <v/>
      </c>
      <c r="G1205" s="21" t="str">
        <f aca="false">IF(E1205="","",IFERROR(INDEX(02_INDICADORES!$C$2:$C$42,MATCH(E1205,02_INDICADORES!$A$2:$A$42,0)),"ID?"))</f>
        <v/>
      </c>
      <c r="H1205" s="22" t="str">
        <f aca="false">IF(E1205="","",IFERROR(INDEX(02_INDICADORES!$D$2:$D$42,MATCH(E1205,02_INDICADORES!$A$2:$A$42,0)),""))</f>
        <v/>
      </c>
      <c r="I1205" s="9"/>
      <c r="J1205" s="16" t="str">
        <f aca="false">IF(OR(I1205="",H1205=""),"",I1205*H1205)</f>
        <v/>
      </c>
      <c r="K1205" s="9"/>
      <c r="L1205" s="9"/>
      <c r="M1205" s="9"/>
    </row>
    <row r="1206" customFormat="false" ht="15" hidden="false" customHeight="false" outlineLevel="0" collapsed="false">
      <c r="A1206" s="9"/>
      <c r="B1206" s="9"/>
      <c r="C1206" s="11"/>
      <c r="D1206" s="9"/>
      <c r="E1206" s="9"/>
      <c r="F1206" s="22" t="str">
        <f aca="false">IF(E1206="","",IFERROR(INDEX(02_INDICADORES!$B$2:$B$42,MATCH(E1206,02_INDICADORES!$A$2:$A$42,0)),"ID?"))</f>
        <v/>
      </c>
      <c r="G1206" s="21" t="str">
        <f aca="false">IF(E1206="","",IFERROR(INDEX(02_INDICADORES!$C$2:$C$42,MATCH(E1206,02_INDICADORES!$A$2:$A$42,0)),"ID?"))</f>
        <v/>
      </c>
      <c r="H1206" s="22" t="str">
        <f aca="false">IF(E1206="","",IFERROR(INDEX(02_INDICADORES!$D$2:$D$42,MATCH(E1206,02_INDICADORES!$A$2:$A$42,0)),""))</f>
        <v/>
      </c>
      <c r="I1206" s="9"/>
      <c r="J1206" s="16" t="str">
        <f aca="false">IF(OR(I1206="",H1206=""),"",I1206*H1206)</f>
        <v/>
      </c>
      <c r="K1206" s="9"/>
      <c r="L1206" s="9"/>
      <c r="M1206" s="9"/>
    </row>
    <row r="1207" customFormat="false" ht="15" hidden="false" customHeight="false" outlineLevel="0" collapsed="false">
      <c r="A1207" s="9"/>
      <c r="B1207" s="9"/>
      <c r="C1207" s="11"/>
      <c r="D1207" s="9"/>
      <c r="E1207" s="9"/>
      <c r="F1207" s="22" t="str">
        <f aca="false">IF(E1207="","",IFERROR(INDEX(02_INDICADORES!$B$2:$B$42,MATCH(E1207,02_INDICADORES!$A$2:$A$42,0)),"ID?"))</f>
        <v/>
      </c>
      <c r="G1207" s="21" t="str">
        <f aca="false">IF(E1207="","",IFERROR(INDEX(02_INDICADORES!$C$2:$C$42,MATCH(E1207,02_INDICADORES!$A$2:$A$42,0)),"ID?"))</f>
        <v/>
      </c>
      <c r="H1207" s="22" t="str">
        <f aca="false">IF(E1207="","",IFERROR(INDEX(02_INDICADORES!$D$2:$D$42,MATCH(E1207,02_INDICADORES!$A$2:$A$42,0)),""))</f>
        <v/>
      </c>
      <c r="I1207" s="9"/>
      <c r="J1207" s="16" t="str">
        <f aca="false">IF(OR(I1207="",H1207=""),"",I1207*H1207)</f>
        <v/>
      </c>
      <c r="K1207" s="9"/>
      <c r="L1207" s="9"/>
      <c r="M1207" s="9"/>
    </row>
    <row r="1208" customFormat="false" ht="15" hidden="false" customHeight="false" outlineLevel="0" collapsed="false">
      <c r="A1208" s="9"/>
      <c r="B1208" s="9"/>
      <c r="C1208" s="11"/>
      <c r="D1208" s="9"/>
      <c r="E1208" s="9"/>
      <c r="F1208" s="22" t="str">
        <f aca="false">IF(E1208="","",IFERROR(INDEX(02_INDICADORES!$B$2:$B$42,MATCH(E1208,02_INDICADORES!$A$2:$A$42,0)),"ID?"))</f>
        <v/>
      </c>
      <c r="G1208" s="21" t="str">
        <f aca="false">IF(E1208="","",IFERROR(INDEX(02_INDICADORES!$C$2:$C$42,MATCH(E1208,02_INDICADORES!$A$2:$A$42,0)),"ID?"))</f>
        <v/>
      </c>
      <c r="H1208" s="22" t="str">
        <f aca="false">IF(E1208="","",IFERROR(INDEX(02_INDICADORES!$D$2:$D$42,MATCH(E1208,02_INDICADORES!$A$2:$A$42,0)),""))</f>
        <v/>
      </c>
      <c r="I1208" s="9"/>
      <c r="J1208" s="16" t="str">
        <f aca="false">IF(OR(I1208="",H1208=""),"",I1208*H1208)</f>
        <v/>
      </c>
      <c r="K1208" s="9"/>
      <c r="L1208" s="9"/>
      <c r="M1208" s="9"/>
    </row>
    <row r="1209" customFormat="false" ht="15" hidden="false" customHeight="false" outlineLevel="0" collapsed="false">
      <c r="A1209" s="9"/>
      <c r="B1209" s="9"/>
      <c r="C1209" s="11"/>
      <c r="D1209" s="9"/>
      <c r="E1209" s="9"/>
      <c r="F1209" s="22" t="str">
        <f aca="false">IF(E1209="","",IFERROR(INDEX(02_INDICADORES!$B$2:$B$42,MATCH(E1209,02_INDICADORES!$A$2:$A$42,0)),"ID?"))</f>
        <v/>
      </c>
      <c r="G1209" s="21" t="str">
        <f aca="false">IF(E1209="","",IFERROR(INDEX(02_INDICADORES!$C$2:$C$42,MATCH(E1209,02_INDICADORES!$A$2:$A$42,0)),"ID?"))</f>
        <v/>
      </c>
      <c r="H1209" s="22" t="str">
        <f aca="false">IF(E1209="","",IFERROR(INDEX(02_INDICADORES!$D$2:$D$42,MATCH(E1209,02_INDICADORES!$A$2:$A$42,0)),""))</f>
        <v/>
      </c>
      <c r="I1209" s="9"/>
      <c r="J1209" s="16" t="str">
        <f aca="false">IF(OR(I1209="",H1209=""),"",I1209*H1209)</f>
        <v/>
      </c>
      <c r="K1209" s="9"/>
      <c r="L1209" s="9"/>
      <c r="M1209" s="9"/>
    </row>
    <row r="1210" customFormat="false" ht="15" hidden="false" customHeight="false" outlineLevel="0" collapsed="false">
      <c r="A1210" s="9"/>
      <c r="B1210" s="9"/>
      <c r="C1210" s="11"/>
      <c r="D1210" s="9"/>
      <c r="E1210" s="9"/>
      <c r="F1210" s="22" t="str">
        <f aca="false">IF(E1210="","",IFERROR(INDEX(02_INDICADORES!$B$2:$B$42,MATCH(E1210,02_INDICADORES!$A$2:$A$42,0)),"ID?"))</f>
        <v/>
      </c>
      <c r="G1210" s="21" t="str">
        <f aca="false">IF(E1210="","",IFERROR(INDEX(02_INDICADORES!$C$2:$C$42,MATCH(E1210,02_INDICADORES!$A$2:$A$42,0)),"ID?"))</f>
        <v/>
      </c>
      <c r="H1210" s="22" t="str">
        <f aca="false">IF(E1210="","",IFERROR(INDEX(02_INDICADORES!$D$2:$D$42,MATCH(E1210,02_INDICADORES!$A$2:$A$42,0)),""))</f>
        <v/>
      </c>
      <c r="I1210" s="9"/>
      <c r="J1210" s="16" t="str">
        <f aca="false">IF(OR(I1210="",H1210=""),"",I1210*H1210)</f>
        <v/>
      </c>
      <c r="K1210" s="9"/>
      <c r="L1210" s="9"/>
      <c r="M1210" s="9"/>
    </row>
    <row r="1211" customFormat="false" ht="15" hidden="false" customHeight="false" outlineLevel="0" collapsed="false">
      <c r="A1211" s="9"/>
      <c r="B1211" s="9"/>
      <c r="C1211" s="11"/>
      <c r="D1211" s="9"/>
      <c r="E1211" s="9"/>
      <c r="F1211" s="22" t="str">
        <f aca="false">IF(E1211="","",IFERROR(INDEX(02_INDICADORES!$B$2:$B$42,MATCH(E1211,02_INDICADORES!$A$2:$A$42,0)),"ID?"))</f>
        <v/>
      </c>
      <c r="G1211" s="21" t="str">
        <f aca="false">IF(E1211="","",IFERROR(INDEX(02_INDICADORES!$C$2:$C$42,MATCH(E1211,02_INDICADORES!$A$2:$A$42,0)),"ID?"))</f>
        <v/>
      </c>
      <c r="H1211" s="22" t="str">
        <f aca="false">IF(E1211="","",IFERROR(INDEX(02_INDICADORES!$D$2:$D$42,MATCH(E1211,02_INDICADORES!$A$2:$A$42,0)),""))</f>
        <v/>
      </c>
      <c r="I1211" s="9"/>
      <c r="J1211" s="16" t="str">
        <f aca="false">IF(OR(I1211="",H1211=""),"",I1211*H1211)</f>
        <v/>
      </c>
      <c r="K1211" s="9"/>
      <c r="L1211" s="9"/>
      <c r="M1211" s="9"/>
    </row>
    <row r="1212" customFormat="false" ht="15" hidden="false" customHeight="false" outlineLevel="0" collapsed="false">
      <c r="A1212" s="9"/>
      <c r="B1212" s="9"/>
      <c r="C1212" s="11"/>
      <c r="D1212" s="9"/>
      <c r="E1212" s="9"/>
      <c r="F1212" s="22" t="str">
        <f aca="false">IF(E1212="","",IFERROR(INDEX(02_INDICADORES!$B$2:$B$42,MATCH(E1212,02_INDICADORES!$A$2:$A$42,0)),"ID?"))</f>
        <v/>
      </c>
      <c r="G1212" s="21" t="str">
        <f aca="false">IF(E1212="","",IFERROR(INDEX(02_INDICADORES!$C$2:$C$42,MATCH(E1212,02_INDICADORES!$A$2:$A$42,0)),"ID?"))</f>
        <v/>
      </c>
      <c r="H1212" s="22" t="str">
        <f aca="false">IF(E1212="","",IFERROR(INDEX(02_INDICADORES!$D$2:$D$42,MATCH(E1212,02_INDICADORES!$A$2:$A$42,0)),""))</f>
        <v/>
      </c>
      <c r="I1212" s="9"/>
      <c r="J1212" s="16" t="str">
        <f aca="false">IF(OR(I1212="",H1212=""),"",I1212*H1212)</f>
        <v/>
      </c>
      <c r="K1212" s="9"/>
      <c r="L1212" s="9"/>
      <c r="M1212" s="9"/>
    </row>
    <row r="1213" customFormat="false" ht="15" hidden="false" customHeight="false" outlineLevel="0" collapsed="false">
      <c r="A1213" s="9"/>
      <c r="B1213" s="9"/>
      <c r="C1213" s="11"/>
      <c r="D1213" s="9"/>
      <c r="E1213" s="9"/>
      <c r="F1213" s="22" t="str">
        <f aca="false">IF(E1213="","",IFERROR(INDEX(02_INDICADORES!$B$2:$B$42,MATCH(E1213,02_INDICADORES!$A$2:$A$42,0)),"ID?"))</f>
        <v/>
      </c>
      <c r="G1213" s="21" t="str">
        <f aca="false">IF(E1213="","",IFERROR(INDEX(02_INDICADORES!$C$2:$C$42,MATCH(E1213,02_INDICADORES!$A$2:$A$42,0)),"ID?"))</f>
        <v/>
      </c>
      <c r="H1213" s="22" t="str">
        <f aca="false">IF(E1213="","",IFERROR(INDEX(02_INDICADORES!$D$2:$D$42,MATCH(E1213,02_INDICADORES!$A$2:$A$42,0)),""))</f>
        <v/>
      </c>
      <c r="I1213" s="9"/>
      <c r="J1213" s="16" t="str">
        <f aca="false">IF(OR(I1213="",H1213=""),"",I1213*H1213)</f>
        <v/>
      </c>
      <c r="K1213" s="9"/>
      <c r="L1213" s="9"/>
      <c r="M1213" s="9"/>
    </row>
    <row r="1214" customFormat="false" ht="15" hidden="false" customHeight="false" outlineLevel="0" collapsed="false">
      <c r="A1214" s="9"/>
      <c r="B1214" s="9"/>
      <c r="C1214" s="11"/>
      <c r="D1214" s="9"/>
      <c r="E1214" s="9"/>
      <c r="F1214" s="22" t="str">
        <f aca="false">IF(E1214="","",IFERROR(INDEX(02_INDICADORES!$B$2:$B$42,MATCH(E1214,02_INDICADORES!$A$2:$A$42,0)),"ID?"))</f>
        <v/>
      </c>
      <c r="G1214" s="21" t="str">
        <f aca="false">IF(E1214="","",IFERROR(INDEX(02_INDICADORES!$C$2:$C$42,MATCH(E1214,02_INDICADORES!$A$2:$A$42,0)),"ID?"))</f>
        <v/>
      </c>
      <c r="H1214" s="22" t="str">
        <f aca="false">IF(E1214="","",IFERROR(INDEX(02_INDICADORES!$D$2:$D$42,MATCH(E1214,02_INDICADORES!$A$2:$A$42,0)),""))</f>
        <v/>
      </c>
      <c r="I1214" s="9"/>
      <c r="J1214" s="16" t="str">
        <f aca="false">IF(OR(I1214="",H1214=""),"",I1214*H1214)</f>
        <v/>
      </c>
      <c r="K1214" s="9"/>
      <c r="L1214" s="9"/>
      <c r="M1214" s="9"/>
    </row>
    <row r="1215" customFormat="false" ht="15" hidden="false" customHeight="false" outlineLevel="0" collapsed="false">
      <c r="A1215" s="9"/>
      <c r="B1215" s="9"/>
      <c r="C1215" s="11"/>
      <c r="D1215" s="9"/>
      <c r="E1215" s="9"/>
      <c r="F1215" s="22" t="str">
        <f aca="false">IF(E1215="","",IFERROR(INDEX(02_INDICADORES!$B$2:$B$42,MATCH(E1215,02_INDICADORES!$A$2:$A$42,0)),"ID?"))</f>
        <v/>
      </c>
      <c r="G1215" s="21" t="str">
        <f aca="false">IF(E1215="","",IFERROR(INDEX(02_INDICADORES!$C$2:$C$42,MATCH(E1215,02_INDICADORES!$A$2:$A$42,0)),"ID?"))</f>
        <v/>
      </c>
      <c r="H1215" s="22" t="str">
        <f aca="false">IF(E1215="","",IFERROR(INDEX(02_INDICADORES!$D$2:$D$42,MATCH(E1215,02_INDICADORES!$A$2:$A$42,0)),""))</f>
        <v/>
      </c>
      <c r="I1215" s="9"/>
      <c r="J1215" s="16" t="str">
        <f aca="false">IF(OR(I1215="",H1215=""),"",I1215*H1215)</f>
        <v/>
      </c>
      <c r="K1215" s="9"/>
      <c r="L1215" s="9"/>
      <c r="M1215" s="9"/>
    </row>
    <row r="1216" customFormat="false" ht="15" hidden="false" customHeight="false" outlineLevel="0" collapsed="false">
      <c r="A1216" s="9"/>
      <c r="B1216" s="9"/>
      <c r="C1216" s="11"/>
      <c r="D1216" s="9"/>
      <c r="E1216" s="9"/>
      <c r="F1216" s="22" t="str">
        <f aca="false">IF(E1216="","",IFERROR(INDEX(02_INDICADORES!$B$2:$B$42,MATCH(E1216,02_INDICADORES!$A$2:$A$42,0)),"ID?"))</f>
        <v/>
      </c>
      <c r="G1216" s="21" t="str">
        <f aca="false">IF(E1216="","",IFERROR(INDEX(02_INDICADORES!$C$2:$C$42,MATCH(E1216,02_INDICADORES!$A$2:$A$42,0)),"ID?"))</f>
        <v/>
      </c>
      <c r="H1216" s="22" t="str">
        <f aca="false">IF(E1216="","",IFERROR(INDEX(02_INDICADORES!$D$2:$D$42,MATCH(E1216,02_INDICADORES!$A$2:$A$42,0)),""))</f>
        <v/>
      </c>
      <c r="I1216" s="9"/>
      <c r="J1216" s="16" t="str">
        <f aca="false">IF(OR(I1216="",H1216=""),"",I1216*H1216)</f>
        <v/>
      </c>
      <c r="K1216" s="9"/>
      <c r="L1216" s="9"/>
      <c r="M1216" s="9"/>
    </row>
    <row r="1217" customFormat="false" ht="15" hidden="false" customHeight="false" outlineLevel="0" collapsed="false">
      <c r="A1217" s="9"/>
      <c r="B1217" s="9"/>
      <c r="C1217" s="11"/>
      <c r="D1217" s="9"/>
      <c r="E1217" s="9"/>
      <c r="F1217" s="22" t="str">
        <f aca="false">IF(E1217="","",IFERROR(INDEX(02_INDICADORES!$B$2:$B$42,MATCH(E1217,02_INDICADORES!$A$2:$A$42,0)),"ID?"))</f>
        <v/>
      </c>
      <c r="G1217" s="21" t="str">
        <f aca="false">IF(E1217="","",IFERROR(INDEX(02_INDICADORES!$C$2:$C$42,MATCH(E1217,02_INDICADORES!$A$2:$A$42,0)),"ID?"))</f>
        <v/>
      </c>
      <c r="H1217" s="22" t="str">
        <f aca="false">IF(E1217="","",IFERROR(INDEX(02_INDICADORES!$D$2:$D$42,MATCH(E1217,02_INDICADORES!$A$2:$A$42,0)),""))</f>
        <v/>
      </c>
      <c r="I1217" s="9"/>
      <c r="J1217" s="16" t="str">
        <f aca="false">IF(OR(I1217="",H1217=""),"",I1217*H1217)</f>
        <v/>
      </c>
      <c r="K1217" s="9"/>
      <c r="L1217" s="9"/>
      <c r="M1217" s="9"/>
    </row>
    <row r="1218" customFormat="false" ht="15" hidden="false" customHeight="false" outlineLevel="0" collapsed="false">
      <c r="A1218" s="9"/>
      <c r="B1218" s="9"/>
      <c r="C1218" s="11"/>
      <c r="D1218" s="9"/>
      <c r="E1218" s="9"/>
      <c r="F1218" s="22" t="str">
        <f aca="false">IF(E1218="","",IFERROR(INDEX(02_INDICADORES!$B$2:$B$42,MATCH(E1218,02_INDICADORES!$A$2:$A$42,0)),"ID?"))</f>
        <v/>
      </c>
      <c r="G1218" s="21" t="str">
        <f aca="false">IF(E1218="","",IFERROR(INDEX(02_INDICADORES!$C$2:$C$42,MATCH(E1218,02_INDICADORES!$A$2:$A$42,0)),"ID?"))</f>
        <v/>
      </c>
      <c r="H1218" s="22" t="str">
        <f aca="false">IF(E1218="","",IFERROR(INDEX(02_INDICADORES!$D$2:$D$42,MATCH(E1218,02_INDICADORES!$A$2:$A$42,0)),""))</f>
        <v/>
      </c>
      <c r="I1218" s="9"/>
      <c r="J1218" s="16" t="str">
        <f aca="false">IF(OR(I1218="",H1218=""),"",I1218*H1218)</f>
        <v/>
      </c>
      <c r="K1218" s="9"/>
      <c r="L1218" s="9"/>
      <c r="M1218" s="9"/>
    </row>
    <row r="1219" customFormat="false" ht="15" hidden="false" customHeight="false" outlineLevel="0" collapsed="false">
      <c r="A1219" s="9"/>
      <c r="B1219" s="9"/>
      <c r="C1219" s="11"/>
      <c r="D1219" s="9"/>
      <c r="E1219" s="9"/>
      <c r="F1219" s="22" t="str">
        <f aca="false">IF(E1219="","",IFERROR(INDEX(02_INDICADORES!$B$2:$B$42,MATCH(E1219,02_INDICADORES!$A$2:$A$42,0)),"ID?"))</f>
        <v/>
      </c>
      <c r="G1219" s="21" t="str">
        <f aca="false">IF(E1219="","",IFERROR(INDEX(02_INDICADORES!$C$2:$C$42,MATCH(E1219,02_INDICADORES!$A$2:$A$42,0)),"ID?"))</f>
        <v/>
      </c>
      <c r="H1219" s="22" t="str">
        <f aca="false">IF(E1219="","",IFERROR(INDEX(02_INDICADORES!$D$2:$D$42,MATCH(E1219,02_INDICADORES!$A$2:$A$42,0)),""))</f>
        <v/>
      </c>
      <c r="I1219" s="9"/>
      <c r="J1219" s="16" t="str">
        <f aca="false">IF(OR(I1219="",H1219=""),"",I1219*H1219)</f>
        <v/>
      </c>
      <c r="K1219" s="9"/>
      <c r="L1219" s="9"/>
      <c r="M1219" s="9"/>
    </row>
    <row r="1220" customFormat="false" ht="15" hidden="false" customHeight="false" outlineLevel="0" collapsed="false">
      <c r="A1220" s="9"/>
      <c r="B1220" s="9"/>
      <c r="C1220" s="11"/>
      <c r="D1220" s="9"/>
      <c r="E1220" s="9"/>
      <c r="F1220" s="22" t="str">
        <f aca="false">IF(E1220="","",IFERROR(INDEX(02_INDICADORES!$B$2:$B$42,MATCH(E1220,02_INDICADORES!$A$2:$A$42,0)),"ID?"))</f>
        <v/>
      </c>
      <c r="G1220" s="21" t="str">
        <f aca="false">IF(E1220="","",IFERROR(INDEX(02_INDICADORES!$C$2:$C$42,MATCH(E1220,02_INDICADORES!$A$2:$A$42,0)),"ID?"))</f>
        <v/>
      </c>
      <c r="H1220" s="22" t="str">
        <f aca="false">IF(E1220="","",IFERROR(INDEX(02_INDICADORES!$D$2:$D$42,MATCH(E1220,02_INDICADORES!$A$2:$A$42,0)),""))</f>
        <v/>
      </c>
      <c r="I1220" s="9"/>
      <c r="J1220" s="16" t="str">
        <f aca="false">IF(OR(I1220="",H1220=""),"",I1220*H1220)</f>
        <v/>
      </c>
      <c r="K1220" s="9"/>
      <c r="L1220" s="9"/>
      <c r="M1220" s="9"/>
    </row>
    <row r="1221" customFormat="false" ht="15" hidden="false" customHeight="false" outlineLevel="0" collapsed="false">
      <c r="A1221" s="9"/>
      <c r="B1221" s="9"/>
      <c r="C1221" s="11"/>
      <c r="D1221" s="9"/>
      <c r="E1221" s="9"/>
      <c r="F1221" s="22" t="str">
        <f aca="false">IF(E1221="","",IFERROR(INDEX(02_INDICADORES!$B$2:$B$42,MATCH(E1221,02_INDICADORES!$A$2:$A$42,0)),"ID?"))</f>
        <v/>
      </c>
      <c r="G1221" s="21" t="str">
        <f aca="false">IF(E1221="","",IFERROR(INDEX(02_INDICADORES!$C$2:$C$42,MATCH(E1221,02_INDICADORES!$A$2:$A$42,0)),"ID?"))</f>
        <v/>
      </c>
      <c r="H1221" s="22" t="str">
        <f aca="false">IF(E1221="","",IFERROR(INDEX(02_INDICADORES!$D$2:$D$42,MATCH(E1221,02_INDICADORES!$A$2:$A$42,0)),""))</f>
        <v/>
      </c>
      <c r="I1221" s="9"/>
      <c r="J1221" s="16" t="str">
        <f aca="false">IF(OR(I1221="",H1221=""),"",I1221*H1221)</f>
        <v/>
      </c>
      <c r="K1221" s="9"/>
      <c r="L1221" s="9"/>
      <c r="M1221" s="9"/>
    </row>
    <row r="1222" customFormat="false" ht="15" hidden="false" customHeight="false" outlineLevel="0" collapsed="false">
      <c r="A1222" s="9"/>
      <c r="B1222" s="9"/>
      <c r="C1222" s="11"/>
      <c r="D1222" s="9"/>
      <c r="E1222" s="9"/>
      <c r="F1222" s="22" t="str">
        <f aca="false">IF(E1222="","",IFERROR(INDEX(02_INDICADORES!$B$2:$B$42,MATCH(E1222,02_INDICADORES!$A$2:$A$42,0)),"ID?"))</f>
        <v/>
      </c>
      <c r="G1222" s="21" t="str">
        <f aca="false">IF(E1222="","",IFERROR(INDEX(02_INDICADORES!$C$2:$C$42,MATCH(E1222,02_INDICADORES!$A$2:$A$42,0)),"ID?"))</f>
        <v/>
      </c>
      <c r="H1222" s="22" t="str">
        <f aca="false">IF(E1222="","",IFERROR(INDEX(02_INDICADORES!$D$2:$D$42,MATCH(E1222,02_INDICADORES!$A$2:$A$42,0)),""))</f>
        <v/>
      </c>
      <c r="I1222" s="9"/>
      <c r="J1222" s="16" t="str">
        <f aca="false">IF(OR(I1222="",H1222=""),"",I1222*H1222)</f>
        <v/>
      </c>
      <c r="K1222" s="9"/>
      <c r="L1222" s="9"/>
      <c r="M1222" s="9"/>
    </row>
    <row r="1223" customFormat="false" ht="15" hidden="false" customHeight="false" outlineLevel="0" collapsed="false">
      <c r="A1223" s="9"/>
      <c r="B1223" s="9"/>
      <c r="C1223" s="11"/>
      <c r="D1223" s="9"/>
      <c r="E1223" s="9"/>
      <c r="F1223" s="22" t="str">
        <f aca="false">IF(E1223="","",IFERROR(INDEX(02_INDICADORES!$B$2:$B$42,MATCH(E1223,02_INDICADORES!$A$2:$A$42,0)),"ID?"))</f>
        <v/>
      </c>
      <c r="G1223" s="21" t="str">
        <f aca="false">IF(E1223="","",IFERROR(INDEX(02_INDICADORES!$C$2:$C$42,MATCH(E1223,02_INDICADORES!$A$2:$A$42,0)),"ID?"))</f>
        <v/>
      </c>
      <c r="H1223" s="22" t="str">
        <f aca="false">IF(E1223="","",IFERROR(INDEX(02_INDICADORES!$D$2:$D$42,MATCH(E1223,02_INDICADORES!$A$2:$A$42,0)),""))</f>
        <v/>
      </c>
      <c r="I1223" s="9"/>
      <c r="J1223" s="16" t="str">
        <f aca="false">IF(OR(I1223="",H1223=""),"",I1223*H1223)</f>
        <v/>
      </c>
      <c r="K1223" s="9"/>
      <c r="L1223" s="9"/>
      <c r="M1223" s="9"/>
    </row>
    <row r="1224" customFormat="false" ht="15" hidden="false" customHeight="false" outlineLevel="0" collapsed="false">
      <c r="A1224" s="9"/>
      <c r="B1224" s="9"/>
      <c r="C1224" s="11"/>
      <c r="D1224" s="9"/>
      <c r="E1224" s="9"/>
      <c r="F1224" s="22" t="str">
        <f aca="false">IF(E1224="","",IFERROR(INDEX(02_INDICADORES!$B$2:$B$42,MATCH(E1224,02_INDICADORES!$A$2:$A$42,0)),"ID?"))</f>
        <v/>
      </c>
      <c r="G1224" s="21" t="str">
        <f aca="false">IF(E1224="","",IFERROR(INDEX(02_INDICADORES!$C$2:$C$42,MATCH(E1224,02_INDICADORES!$A$2:$A$42,0)),"ID?"))</f>
        <v/>
      </c>
      <c r="H1224" s="22" t="str">
        <f aca="false">IF(E1224="","",IFERROR(INDEX(02_INDICADORES!$D$2:$D$42,MATCH(E1224,02_INDICADORES!$A$2:$A$42,0)),""))</f>
        <v/>
      </c>
      <c r="I1224" s="9"/>
      <c r="J1224" s="16" t="str">
        <f aca="false">IF(OR(I1224="",H1224=""),"",I1224*H1224)</f>
        <v/>
      </c>
      <c r="K1224" s="9"/>
      <c r="L1224" s="9"/>
      <c r="M1224" s="9"/>
    </row>
    <row r="1225" customFormat="false" ht="15" hidden="false" customHeight="false" outlineLevel="0" collapsed="false">
      <c r="A1225" s="9"/>
      <c r="B1225" s="9"/>
      <c r="C1225" s="11"/>
      <c r="D1225" s="9"/>
      <c r="E1225" s="9"/>
      <c r="F1225" s="22" t="str">
        <f aca="false">IF(E1225="","",IFERROR(INDEX(02_INDICADORES!$B$2:$B$42,MATCH(E1225,02_INDICADORES!$A$2:$A$42,0)),"ID?"))</f>
        <v/>
      </c>
      <c r="G1225" s="21" t="str">
        <f aca="false">IF(E1225="","",IFERROR(INDEX(02_INDICADORES!$C$2:$C$42,MATCH(E1225,02_INDICADORES!$A$2:$A$42,0)),"ID?"))</f>
        <v/>
      </c>
      <c r="H1225" s="22" t="str">
        <f aca="false">IF(E1225="","",IFERROR(INDEX(02_INDICADORES!$D$2:$D$42,MATCH(E1225,02_INDICADORES!$A$2:$A$42,0)),""))</f>
        <v/>
      </c>
      <c r="I1225" s="9"/>
      <c r="J1225" s="16" t="str">
        <f aca="false">IF(OR(I1225="",H1225=""),"",I1225*H1225)</f>
        <v/>
      </c>
      <c r="K1225" s="9"/>
      <c r="L1225" s="9"/>
      <c r="M1225" s="9"/>
    </row>
    <row r="1226" customFormat="false" ht="15" hidden="false" customHeight="false" outlineLevel="0" collapsed="false">
      <c r="A1226" s="9"/>
      <c r="B1226" s="9"/>
      <c r="C1226" s="11"/>
      <c r="D1226" s="9"/>
      <c r="E1226" s="9"/>
      <c r="F1226" s="22" t="str">
        <f aca="false">IF(E1226="","",IFERROR(INDEX(02_INDICADORES!$B$2:$B$42,MATCH(E1226,02_INDICADORES!$A$2:$A$42,0)),"ID?"))</f>
        <v/>
      </c>
      <c r="G1226" s="21" t="str">
        <f aca="false">IF(E1226="","",IFERROR(INDEX(02_INDICADORES!$C$2:$C$42,MATCH(E1226,02_INDICADORES!$A$2:$A$42,0)),"ID?"))</f>
        <v/>
      </c>
      <c r="H1226" s="22" t="str">
        <f aca="false">IF(E1226="","",IFERROR(INDEX(02_INDICADORES!$D$2:$D$42,MATCH(E1226,02_INDICADORES!$A$2:$A$42,0)),""))</f>
        <v/>
      </c>
      <c r="I1226" s="9"/>
      <c r="J1226" s="16" t="str">
        <f aca="false">IF(OR(I1226="",H1226=""),"",I1226*H1226)</f>
        <v/>
      </c>
      <c r="K1226" s="9"/>
      <c r="L1226" s="9"/>
      <c r="M1226" s="9"/>
    </row>
    <row r="1227" customFormat="false" ht="15" hidden="false" customHeight="false" outlineLevel="0" collapsed="false">
      <c r="A1227" s="9"/>
      <c r="B1227" s="9"/>
      <c r="C1227" s="11"/>
      <c r="D1227" s="9"/>
      <c r="E1227" s="9"/>
      <c r="F1227" s="22" t="str">
        <f aca="false">IF(E1227="","",IFERROR(INDEX(02_INDICADORES!$B$2:$B$42,MATCH(E1227,02_INDICADORES!$A$2:$A$42,0)),"ID?"))</f>
        <v/>
      </c>
      <c r="G1227" s="21" t="str">
        <f aca="false">IF(E1227="","",IFERROR(INDEX(02_INDICADORES!$C$2:$C$42,MATCH(E1227,02_INDICADORES!$A$2:$A$42,0)),"ID?"))</f>
        <v/>
      </c>
      <c r="H1227" s="22" t="str">
        <f aca="false">IF(E1227="","",IFERROR(INDEX(02_INDICADORES!$D$2:$D$42,MATCH(E1227,02_INDICADORES!$A$2:$A$42,0)),""))</f>
        <v/>
      </c>
      <c r="I1227" s="9"/>
      <c r="J1227" s="16" t="str">
        <f aca="false">IF(OR(I1227="",H1227=""),"",I1227*H1227)</f>
        <v/>
      </c>
      <c r="K1227" s="9"/>
      <c r="L1227" s="9"/>
      <c r="M1227" s="9"/>
    </row>
    <row r="1228" customFormat="false" ht="15" hidden="false" customHeight="false" outlineLevel="0" collapsed="false">
      <c r="A1228" s="9"/>
      <c r="B1228" s="9"/>
      <c r="C1228" s="11"/>
      <c r="D1228" s="9"/>
      <c r="E1228" s="9"/>
      <c r="F1228" s="22" t="str">
        <f aca="false">IF(E1228="","",IFERROR(INDEX(02_INDICADORES!$B$2:$B$42,MATCH(E1228,02_INDICADORES!$A$2:$A$42,0)),"ID?"))</f>
        <v/>
      </c>
      <c r="G1228" s="21" t="str">
        <f aca="false">IF(E1228="","",IFERROR(INDEX(02_INDICADORES!$C$2:$C$42,MATCH(E1228,02_INDICADORES!$A$2:$A$42,0)),"ID?"))</f>
        <v/>
      </c>
      <c r="H1228" s="22" t="str">
        <f aca="false">IF(E1228="","",IFERROR(INDEX(02_INDICADORES!$D$2:$D$42,MATCH(E1228,02_INDICADORES!$A$2:$A$42,0)),""))</f>
        <v/>
      </c>
      <c r="I1228" s="9"/>
      <c r="J1228" s="16" t="str">
        <f aca="false">IF(OR(I1228="",H1228=""),"",I1228*H1228)</f>
        <v/>
      </c>
      <c r="K1228" s="9"/>
      <c r="L1228" s="9"/>
      <c r="M1228" s="9"/>
    </row>
    <row r="1229" customFormat="false" ht="15" hidden="false" customHeight="false" outlineLevel="0" collapsed="false">
      <c r="A1229" s="9"/>
      <c r="B1229" s="9"/>
      <c r="C1229" s="11"/>
      <c r="D1229" s="9"/>
      <c r="E1229" s="9"/>
      <c r="F1229" s="22" t="str">
        <f aca="false">IF(E1229="","",IFERROR(INDEX(02_INDICADORES!$B$2:$B$42,MATCH(E1229,02_INDICADORES!$A$2:$A$42,0)),"ID?"))</f>
        <v/>
      </c>
      <c r="G1229" s="21" t="str">
        <f aca="false">IF(E1229="","",IFERROR(INDEX(02_INDICADORES!$C$2:$C$42,MATCH(E1229,02_INDICADORES!$A$2:$A$42,0)),"ID?"))</f>
        <v/>
      </c>
      <c r="H1229" s="22" t="str">
        <f aca="false">IF(E1229="","",IFERROR(INDEX(02_INDICADORES!$D$2:$D$42,MATCH(E1229,02_INDICADORES!$A$2:$A$42,0)),""))</f>
        <v/>
      </c>
      <c r="I1229" s="9"/>
      <c r="J1229" s="16" t="str">
        <f aca="false">IF(OR(I1229="",H1229=""),"",I1229*H1229)</f>
        <v/>
      </c>
      <c r="K1229" s="9"/>
      <c r="L1229" s="9"/>
      <c r="M1229" s="9"/>
    </row>
    <row r="1230" customFormat="false" ht="15" hidden="false" customHeight="false" outlineLevel="0" collapsed="false">
      <c r="A1230" s="9"/>
      <c r="B1230" s="9"/>
      <c r="C1230" s="11"/>
      <c r="D1230" s="9"/>
      <c r="E1230" s="9"/>
      <c r="F1230" s="22" t="str">
        <f aca="false">IF(E1230="","",IFERROR(INDEX(02_INDICADORES!$B$2:$B$42,MATCH(E1230,02_INDICADORES!$A$2:$A$42,0)),"ID?"))</f>
        <v/>
      </c>
      <c r="G1230" s="21" t="str">
        <f aca="false">IF(E1230="","",IFERROR(INDEX(02_INDICADORES!$C$2:$C$42,MATCH(E1230,02_INDICADORES!$A$2:$A$42,0)),"ID?"))</f>
        <v/>
      </c>
      <c r="H1230" s="22" t="str">
        <f aca="false">IF(E1230="","",IFERROR(INDEX(02_INDICADORES!$D$2:$D$42,MATCH(E1230,02_INDICADORES!$A$2:$A$42,0)),""))</f>
        <v/>
      </c>
      <c r="I1230" s="9"/>
      <c r="J1230" s="16" t="str">
        <f aca="false">IF(OR(I1230="",H1230=""),"",I1230*H1230)</f>
        <v/>
      </c>
      <c r="K1230" s="9"/>
      <c r="L1230" s="9"/>
      <c r="M1230" s="9"/>
    </row>
    <row r="1231" customFormat="false" ht="15" hidden="false" customHeight="false" outlineLevel="0" collapsed="false">
      <c r="A1231" s="9"/>
      <c r="B1231" s="9"/>
      <c r="C1231" s="11"/>
      <c r="D1231" s="9"/>
      <c r="E1231" s="9"/>
      <c r="F1231" s="22" t="str">
        <f aca="false">IF(E1231="","",IFERROR(INDEX(02_INDICADORES!$B$2:$B$42,MATCH(E1231,02_INDICADORES!$A$2:$A$42,0)),"ID?"))</f>
        <v/>
      </c>
      <c r="G1231" s="21" t="str">
        <f aca="false">IF(E1231="","",IFERROR(INDEX(02_INDICADORES!$C$2:$C$42,MATCH(E1231,02_INDICADORES!$A$2:$A$42,0)),"ID?"))</f>
        <v/>
      </c>
      <c r="H1231" s="22" t="str">
        <f aca="false">IF(E1231="","",IFERROR(INDEX(02_INDICADORES!$D$2:$D$42,MATCH(E1231,02_INDICADORES!$A$2:$A$42,0)),""))</f>
        <v/>
      </c>
      <c r="I1231" s="9"/>
      <c r="J1231" s="16" t="str">
        <f aca="false">IF(OR(I1231="",H1231=""),"",I1231*H1231)</f>
        <v/>
      </c>
      <c r="K1231" s="9"/>
      <c r="L1231" s="9"/>
      <c r="M1231" s="9"/>
    </row>
    <row r="1232" customFormat="false" ht="15" hidden="false" customHeight="false" outlineLevel="0" collapsed="false">
      <c r="A1232" s="9"/>
      <c r="B1232" s="9"/>
      <c r="C1232" s="11"/>
      <c r="D1232" s="9"/>
      <c r="E1232" s="9"/>
      <c r="F1232" s="22" t="str">
        <f aca="false">IF(E1232="","",IFERROR(INDEX(02_INDICADORES!$B$2:$B$42,MATCH(E1232,02_INDICADORES!$A$2:$A$42,0)),"ID?"))</f>
        <v/>
      </c>
      <c r="G1232" s="21" t="str">
        <f aca="false">IF(E1232="","",IFERROR(INDEX(02_INDICADORES!$C$2:$C$42,MATCH(E1232,02_INDICADORES!$A$2:$A$42,0)),"ID?"))</f>
        <v/>
      </c>
      <c r="H1232" s="22" t="str">
        <f aca="false">IF(E1232="","",IFERROR(INDEX(02_INDICADORES!$D$2:$D$42,MATCH(E1232,02_INDICADORES!$A$2:$A$42,0)),""))</f>
        <v/>
      </c>
      <c r="I1232" s="9"/>
      <c r="J1232" s="16" t="str">
        <f aca="false">IF(OR(I1232="",H1232=""),"",I1232*H1232)</f>
        <v/>
      </c>
      <c r="K1232" s="9"/>
      <c r="L1232" s="9"/>
      <c r="M1232" s="9"/>
    </row>
    <row r="1233" customFormat="false" ht="15" hidden="false" customHeight="false" outlineLevel="0" collapsed="false">
      <c r="A1233" s="9"/>
      <c r="B1233" s="9"/>
      <c r="C1233" s="11"/>
      <c r="D1233" s="9"/>
      <c r="E1233" s="9"/>
      <c r="F1233" s="22" t="str">
        <f aca="false">IF(E1233="","",IFERROR(INDEX(02_INDICADORES!$B$2:$B$42,MATCH(E1233,02_INDICADORES!$A$2:$A$42,0)),"ID?"))</f>
        <v/>
      </c>
      <c r="G1233" s="21" t="str">
        <f aca="false">IF(E1233="","",IFERROR(INDEX(02_INDICADORES!$C$2:$C$42,MATCH(E1233,02_INDICADORES!$A$2:$A$42,0)),"ID?"))</f>
        <v/>
      </c>
      <c r="H1233" s="22" t="str">
        <f aca="false">IF(E1233="","",IFERROR(INDEX(02_INDICADORES!$D$2:$D$42,MATCH(E1233,02_INDICADORES!$A$2:$A$42,0)),""))</f>
        <v/>
      </c>
      <c r="I1233" s="9"/>
      <c r="J1233" s="16" t="str">
        <f aca="false">IF(OR(I1233="",H1233=""),"",I1233*H1233)</f>
        <v/>
      </c>
      <c r="K1233" s="9"/>
      <c r="L1233" s="9"/>
      <c r="M1233" s="9"/>
    </row>
    <row r="1234" customFormat="false" ht="15" hidden="false" customHeight="false" outlineLevel="0" collapsed="false">
      <c r="A1234" s="9"/>
      <c r="B1234" s="9"/>
      <c r="C1234" s="11"/>
      <c r="D1234" s="9"/>
      <c r="E1234" s="9"/>
      <c r="F1234" s="22" t="str">
        <f aca="false">IF(E1234="","",IFERROR(INDEX(02_INDICADORES!$B$2:$B$42,MATCH(E1234,02_INDICADORES!$A$2:$A$42,0)),"ID?"))</f>
        <v/>
      </c>
      <c r="G1234" s="21" t="str">
        <f aca="false">IF(E1234="","",IFERROR(INDEX(02_INDICADORES!$C$2:$C$42,MATCH(E1234,02_INDICADORES!$A$2:$A$42,0)),"ID?"))</f>
        <v/>
      </c>
      <c r="H1234" s="22" t="str">
        <f aca="false">IF(E1234="","",IFERROR(INDEX(02_INDICADORES!$D$2:$D$42,MATCH(E1234,02_INDICADORES!$A$2:$A$42,0)),""))</f>
        <v/>
      </c>
      <c r="I1234" s="9"/>
      <c r="J1234" s="16" t="str">
        <f aca="false">IF(OR(I1234="",H1234=""),"",I1234*H1234)</f>
        <v/>
      </c>
      <c r="K1234" s="9"/>
      <c r="L1234" s="9"/>
      <c r="M1234" s="9"/>
    </row>
    <row r="1235" customFormat="false" ht="15" hidden="false" customHeight="false" outlineLevel="0" collapsed="false">
      <c r="A1235" s="9"/>
      <c r="B1235" s="9"/>
      <c r="C1235" s="11"/>
      <c r="D1235" s="9"/>
      <c r="E1235" s="9"/>
      <c r="F1235" s="22" t="str">
        <f aca="false">IF(E1235="","",IFERROR(INDEX(02_INDICADORES!$B$2:$B$42,MATCH(E1235,02_INDICADORES!$A$2:$A$42,0)),"ID?"))</f>
        <v/>
      </c>
      <c r="G1235" s="21" t="str">
        <f aca="false">IF(E1235="","",IFERROR(INDEX(02_INDICADORES!$C$2:$C$42,MATCH(E1235,02_INDICADORES!$A$2:$A$42,0)),"ID?"))</f>
        <v/>
      </c>
      <c r="H1235" s="22" t="str">
        <f aca="false">IF(E1235="","",IFERROR(INDEX(02_INDICADORES!$D$2:$D$42,MATCH(E1235,02_INDICADORES!$A$2:$A$42,0)),""))</f>
        <v/>
      </c>
      <c r="I1235" s="9"/>
      <c r="J1235" s="16" t="str">
        <f aca="false">IF(OR(I1235="",H1235=""),"",I1235*H1235)</f>
        <v/>
      </c>
      <c r="K1235" s="9"/>
      <c r="L1235" s="9"/>
      <c r="M1235" s="9"/>
    </row>
    <row r="1236" customFormat="false" ht="15" hidden="false" customHeight="false" outlineLevel="0" collapsed="false">
      <c r="A1236" s="9"/>
      <c r="B1236" s="9"/>
      <c r="C1236" s="11"/>
      <c r="D1236" s="9"/>
      <c r="E1236" s="9"/>
      <c r="F1236" s="22" t="str">
        <f aca="false">IF(E1236="","",IFERROR(INDEX(02_INDICADORES!$B$2:$B$42,MATCH(E1236,02_INDICADORES!$A$2:$A$42,0)),"ID?"))</f>
        <v/>
      </c>
      <c r="G1236" s="21" t="str">
        <f aca="false">IF(E1236="","",IFERROR(INDEX(02_INDICADORES!$C$2:$C$42,MATCH(E1236,02_INDICADORES!$A$2:$A$42,0)),"ID?"))</f>
        <v/>
      </c>
      <c r="H1236" s="22" t="str">
        <f aca="false">IF(E1236="","",IFERROR(INDEX(02_INDICADORES!$D$2:$D$42,MATCH(E1236,02_INDICADORES!$A$2:$A$42,0)),""))</f>
        <v/>
      </c>
      <c r="I1236" s="9"/>
      <c r="J1236" s="16" t="str">
        <f aca="false">IF(OR(I1236="",H1236=""),"",I1236*H1236)</f>
        <v/>
      </c>
      <c r="K1236" s="9"/>
      <c r="L1236" s="9"/>
      <c r="M1236" s="9"/>
    </row>
    <row r="1237" customFormat="false" ht="15" hidden="false" customHeight="false" outlineLevel="0" collapsed="false">
      <c r="A1237" s="9"/>
      <c r="B1237" s="9"/>
      <c r="C1237" s="11"/>
      <c r="D1237" s="9"/>
      <c r="E1237" s="9"/>
      <c r="F1237" s="22" t="str">
        <f aca="false">IF(E1237="","",IFERROR(INDEX(02_INDICADORES!$B$2:$B$42,MATCH(E1237,02_INDICADORES!$A$2:$A$42,0)),"ID?"))</f>
        <v/>
      </c>
      <c r="G1237" s="21" t="str">
        <f aca="false">IF(E1237="","",IFERROR(INDEX(02_INDICADORES!$C$2:$C$42,MATCH(E1237,02_INDICADORES!$A$2:$A$42,0)),"ID?"))</f>
        <v/>
      </c>
      <c r="H1237" s="22" t="str">
        <f aca="false">IF(E1237="","",IFERROR(INDEX(02_INDICADORES!$D$2:$D$42,MATCH(E1237,02_INDICADORES!$A$2:$A$42,0)),""))</f>
        <v/>
      </c>
      <c r="I1237" s="9"/>
      <c r="J1237" s="16" t="str">
        <f aca="false">IF(OR(I1237="",H1237=""),"",I1237*H1237)</f>
        <v/>
      </c>
      <c r="K1237" s="9"/>
      <c r="L1237" s="9"/>
      <c r="M1237" s="9"/>
    </row>
    <row r="1238" customFormat="false" ht="15" hidden="false" customHeight="false" outlineLevel="0" collapsed="false">
      <c r="A1238" s="9"/>
      <c r="B1238" s="9"/>
      <c r="C1238" s="11"/>
      <c r="D1238" s="9"/>
      <c r="E1238" s="9"/>
      <c r="F1238" s="22" t="str">
        <f aca="false">IF(E1238="","",IFERROR(INDEX(02_INDICADORES!$B$2:$B$42,MATCH(E1238,02_INDICADORES!$A$2:$A$42,0)),"ID?"))</f>
        <v/>
      </c>
      <c r="G1238" s="21" t="str">
        <f aca="false">IF(E1238="","",IFERROR(INDEX(02_INDICADORES!$C$2:$C$42,MATCH(E1238,02_INDICADORES!$A$2:$A$42,0)),"ID?"))</f>
        <v/>
      </c>
      <c r="H1238" s="22" t="str">
        <f aca="false">IF(E1238="","",IFERROR(INDEX(02_INDICADORES!$D$2:$D$42,MATCH(E1238,02_INDICADORES!$A$2:$A$42,0)),""))</f>
        <v/>
      </c>
      <c r="I1238" s="9"/>
      <c r="J1238" s="16" t="str">
        <f aca="false">IF(OR(I1238="",H1238=""),"",I1238*H1238)</f>
        <v/>
      </c>
      <c r="K1238" s="9"/>
      <c r="L1238" s="9"/>
      <c r="M1238" s="9"/>
    </row>
    <row r="1239" customFormat="false" ht="15" hidden="false" customHeight="false" outlineLevel="0" collapsed="false">
      <c r="A1239" s="9"/>
      <c r="B1239" s="9"/>
      <c r="C1239" s="11"/>
      <c r="D1239" s="9"/>
      <c r="E1239" s="9"/>
      <c r="F1239" s="22" t="str">
        <f aca="false">IF(E1239="","",IFERROR(INDEX(02_INDICADORES!$B$2:$B$42,MATCH(E1239,02_INDICADORES!$A$2:$A$42,0)),"ID?"))</f>
        <v/>
      </c>
      <c r="G1239" s="21" t="str">
        <f aca="false">IF(E1239="","",IFERROR(INDEX(02_INDICADORES!$C$2:$C$42,MATCH(E1239,02_INDICADORES!$A$2:$A$42,0)),"ID?"))</f>
        <v/>
      </c>
      <c r="H1239" s="22" t="str">
        <f aca="false">IF(E1239="","",IFERROR(INDEX(02_INDICADORES!$D$2:$D$42,MATCH(E1239,02_INDICADORES!$A$2:$A$42,0)),""))</f>
        <v/>
      </c>
      <c r="I1239" s="9"/>
      <c r="J1239" s="16" t="str">
        <f aca="false">IF(OR(I1239="",H1239=""),"",I1239*H1239)</f>
        <v/>
      </c>
      <c r="K1239" s="9"/>
      <c r="L1239" s="9"/>
      <c r="M1239" s="9"/>
    </row>
    <row r="1240" customFormat="false" ht="15" hidden="false" customHeight="false" outlineLevel="0" collapsed="false">
      <c r="A1240" s="9"/>
      <c r="B1240" s="9"/>
      <c r="C1240" s="11"/>
      <c r="D1240" s="9"/>
      <c r="E1240" s="9"/>
      <c r="F1240" s="22" t="str">
        <f aca="false">IF(E1240="","",IFERROR(INDEX(02_INDICADORES!$B$2:$B$42,MATCH(E1240,02_INDICADORES!$A$2:$A$42,0)),"ID?"))</f>
        <v/>
      </c>
      <c r="G1240" s="21" t="str">
        <f aca="false">IF(E1240="","",IFERROR(INDEX(02_INDICADORES!$C$2:$C$42,MATCH(E1240,02_INDICADORES!$A$2:$A$42,0)),"ID?"))</f>
        <v/>
      </c>
      <c r="H1240" s="22" t="str">
        <f aca="false">IF(E1240="","",IFERROR(INDEX(02_INDICADORES!$D$2:$D$42,MATCH(E1240,02_INDICADORES!$A$2:$A$42,0)),""))</f>
        <v/>
      </c>
      <c r="I1240" s="9"/>
      <c r="J1240" s="16" t="str">
        <f aca="false">IF(OR(I1240="",H1240=""),"",I1240*H1240)</f>
        <v/>
      </c>
      <c r="K1240" s="9"/>
      <c r="L1240" s="9"/>
      <c r="M1240" s="9"/>
    </row>
    <row r="1241" customFormat="false" ht="15" hidden="false" customHeight="false" outlineLevel="0" collapsed="false">
      <c r="A1241" s="9"/>
      <c r="B1241" s="9"/>
      <c r="C1241" s="11"/>
      <c r="D1241" s="9"/>
      <c r="E1241" s="9"/>
      <c r="F1241" s="22" t="str">
        <f aca="false">IF(E1241="","",IFERROR(INDEX(02_INDICADORES!$B$2:$B$42,MATCH(E1241,02_INDICADORES!$A$2:$A$42,0)),"ID?"))</f>
        <v/>
      </c>
      <c r="G1241" s="21" t="str">
        <f aca="false">IF(E1241="","",IFERROR(INDEX(02_INDICADORES!$C$2:$C$42,MATCH(E1241,02_INDICADORES!$A$2:$A$42,0)),"ID?"))</f>
        <v/>
      </c>
      <c r="H1241" s="22" t="str">
        <f aca="false">IF(E1241="","",IFERROR(INDEX(02_INDICADORES!$D$2:$D$42,MATCH(E1241,02_INDICADORES!$A$2:$A$42,0)),""))</f>
        <v/>
      </c>
      <c r="I1241" s="9"/>
      <c r="J1241" s="16" t="str">
        <f aca="false">IF(OR(I1241="",H1241=""),"",I1241*H1241)</f>
        <v/>
      </c>
      <c r="K1241" s="9"/>
      <c r="L1241" s="9"/>
      <c r="M1241" s="9"/>
    </row>
    <row r="1242" customFormat="false" ht="15" hidden="false" customHeight="false" outlineLevel="0" collapsed="false">
      <c r="A1242" s="9"/>
      <c r="B1242" s="9"/>
      <c r="C1242" s="11"/>
      <c r="D1242" s="9"/>
      <c r="E1242" s="9"/>
      <c r="F1242" s="22" t="str">
        <f aca="false">IF(E1242="","",IFERROR(INDEX(02_INDICADORES!$B$2:$B$42,MATCH(E1242,02_INDICADORES!$A$2:$A$42,0)),"ID?"))</f>
        <v/>
      </c>
      <c r="G1242" s="21" t="str">
        <f aca="false">IF(E1242="","",IFERROR(INDEX(02_INDICADORES!$C$2:$C$42,MATCH(E1242,02_INDICADORES!$A$2:$A$42,0)),"ID?"))</f>
        <v/>
      </c>
      <c r="H1242" s="22" t="str">
        <f aca="false">IF(E1242="","",IFERROR(INDEX(02_INDICADORES!$D$2:$D$42,MATCH(E1242,02_INDICADORES!$A$2:$A$42,0)),""))</f>
        <v/>
      </c>
      <c r="I1242" s="9"/>
      <c r="J1242" s="16" t="str">
        <f aca="false">IF(OR(I1242="",H1242=""),"",I1242*H1242)</f>
        <v/>
      </c>
      <c r="K1242" s="9"/>
      <c r="L1242" s="9"/>
      <c r="M1242" s="9"/>
    </row>
    <row r="1243" customFormat="false" ht="15" hidden="false" customHeight="false" outlineLevel="0" collapsed="false">
      <c r="A1243" s="9"/>
      <c r="B1243" s="9"/>
      <c r="C1243" s="11"/>
      <c r="D1243" s="9"/>
      <c r="E1243" s="9"/>
      <c r="F1243" s="22" t="str">
        <f aca="false">IF(E1243="","",IFERROR(INDEX(02_INDICADORES!$B$2:$B$42,MATCH(E1243,02_INDICADORES!$A$2:$A$42,0)),"ID?"))</f>
        <v/>
      </c>
      <c r="G1243" s="21" t="str">
        <f aca="false">IF(E1243="","",IFERROR(INDEX(02_INDICADORES!$C$2:$C$42,MATCH(E1243,02_INDICADORES!$A$2:$A$42,0)),"ID?"))</f>
        <v/>
      </c>
      <c r="H1243" s="22" t="str">
        <f aca="false">IF(E1243="","",IFERROR(INDEX(02_INDICADORES!$D$2:$D$42,MATCH(E1243,02_INDICADORES!$A$2:$A$42,0)),""))</f>
        <v/>
      </c>
      <c r="I1243" s="9"/>
      <c r="J1243" s="16" t="str">
        <f aca="false">IF(OR(I1243="",H1243=""),"",I1243*H1243)</f>
        <v/>
      </c>
      <c r="K1243" s="9"/>
      <c r="L1243" s="9"/>
      <c r="M1243" s="9"/>
    </row>
    <row r="1244" customFormat="false" ht="15" hidden="false" customHeight="false" outlineLevel="0" collapsed="false">
      <c r="A1244" s="9"/>
      <c r="B1244" s="9"/>
      <c r="C1244" s="11"/>
      <c r="D1244" s="9"/>
      <c r="E1244" s="9"/>
      <c r="F1244" s="22" t="str">
        <f aca="false">IF(E1244="","",IFERROR(INDEX(02_INDICADORES!$B$2:$B$42,MATCH(E1244,02_INDICADORES!$A$2:$A$42,0)),"ID?"))</f>
        <v/>
      </c>
      <c r="G1244" s="21" t="str">
        <f aca="false">IF(E1244="","",IFERROR(INDEX(02_INDICADORES!$C$2:$C$42,MATCH(E1244,02_INDICADORES!$A$2:$A$42,0)),"ID?"))</f>
        <v/>
      </c>
      <c r="H1244" s="22" t="str">
        <f aca="false">IF(E1244="","",IFERROR(INDEX(02_INDICADORES!$D$2:$D$42,MATCH(E1244,02_INDICADORES!$A$2:$A$42,0)),""))</f>
        <v/>
      </c>
      <c r="I1244" s="9"/>
      <c r="J1244" s="16" t="str">
        <f aca="false">IF(OR(I1244="",H1244=""),"",I1244*H1244)</f>
        <v/>
      </c>
      <c r="K1244" s="9"/>
      <c r="L1244" s="9"/>
      <c r="M1244" s="9"/>
    </row>
    <row r="1245" customFormat="false" ht="15" hidden="false" customHeight="false" outlineLevel="0" collapsed="false">
      <c r="A1245" s="9"/>
      <c r="B1245" s="9"/>
      <c r="C1245" s="11"/>
      <c r="D1245" s="9"/>
      <c r="E1245" s="9"/>
      <c r="F1245" s="22" t="str">
        <f aca="false">IF(E1245="","",IFERROR(INDEX(02_INDICADORES!$B$2:$B$42,MATCH(E1245,02_INDICADORES!$A$2:$A$42,0)),"ID?"))</f>
        <v/>
      </c>
      <c r="G1245" s="21" t="str">
        <f aca="false">IF(E1245="","",IFERROR(INDEX(02_INDICADORES!$C$2:$C$42,MATCH(E1245,02_INDICADORES!$A$2:$A$42,0)),"ID?"))</f>
        <v/>
      </c>
      <c r="H1245" s="22" t="str">
        <f aca="false">IF(E1245="","",IFERROR(INDEX(02_INDICADORES!$D$2:$D$42,MATCH(E1245,02_INDICADORES!$A$2:$A$42,0)),""))</f>
        <v/>
      </c>
      <c r="I1245" s="9"/>
      <c r="J1245" s="16" t="str">
        <f aca="false">IF(OR(I1245="",H1245=""),"",I1245*H1245)</f>
        <v/>
      </c>
      <c r="K1245" s="9"/>
      <c r="L1245" s="9"/>
      <c r="M1245" s="9"/>
    </row>
    <row r="1246" customFormat="false" ht="15" hidden="false" customHeight="false" outlineLevel="0" collapsed="false">
      <c r="A1246" s="9"/>
      <c r="B1246" s="9"/>
      <c r="C1246" s="11"/>
      <c r="D1246" s="9"/>
      <c r="E1246" s="9"/>
      <c r="F1246" s="22" t="str">
        <f aca="false">IF(E1246="","",IFERROR(INDEX(02_INDICADORES!$B$2:$B$42,MATCH(E1246,02_INDICADORES!$A$2:$A$42,0)),"ID?"))</f>
        <v/>
      </c>
      <c r="G1246" s="21" t="str">
        <f aca="false">IF(E1246="","",IFERROR(INDEX(02_INDICADORES!$C$2:$C$42,MATCH(E1246,02_INDICADORES!$A$2:$A$42,0)),"ID?"))</f>
        <v/>
      </c>
      <c r="H1246" s="22" t="str">
        <f aca="false">IF(E1246="","",IFERROR(INDEX(02_INDICADORES!$D$2:$D$42,MATCH(E1246,02_INDICADORES!$A$2:$A$42,0)),""))</f>
        <v/>
      </c>
      <c r="I1246" s="9"/>
      <c r="J1246" s="16" t="str">
        <f aca="false">IF(OR(I1246="",H1246=""),"",I1246*H1246)</f>
        <v/>
      </c>
      <c r="K1246" s="9"/>
      <c r="L1246" s="9"/>
      <c r="M1246" s="9"/>
    </row>
    <row r="1247" customFormat="false" ht="15" hidden="false" customHeight="false" outlineLevel="0" collapsed="false">
      <c r="A1247" s="9"/>
      <c r="B1247" s="9"/>
      <c r="C1247" s="11"/>
      <c r="D1247" s="9"/>
      <c r="E1247" s="9"/>
      <c r="F1247" s="22" t="str">
        <f aca="false">IF(E1247="","",IFERROR(INDEX(02_INDICADORES!$B$2:$B$42,MATCH(E1247,02_INDICADORES!$A$2:$A$42,0)),"ID?"))</f>
        <v/>
      </c>
      <c r="G1247" s="21" t="str">
        <f aca="false">IF(E1247="","",IFERROR(INDEX(02_INDICADORES!$C$2:$C$42,MATCH(E1247,02_INDICADORES!$A$2:$A$42,0)),"ID?"))</f>
        <v/>
      </c>
      <c r="H1247" s="22" t="str">
        <f aca="false">IF(E1247="","",IFERROR(INDEX(02_INDICADORES!$D$2:$D$42,MATCH(E1247,02_INDICADORES!$A$2:$A$42,0)),""))</f>
        <v/>
      </c>
      <c r="I1247" s="9"/>
      <c r="J1247" s="16" t="str">
        <f aca="false">IF(OR(I1247="",H1247=""),"",I1247*H1247)</f>
        <v/>
      </c>
      <c r="K1247" s="9"/>
      <c r="L1247" s="9"/>
      <c r="M1247" s="9"/>
    </row>
    <row r="1248" customFormat="false" ht="15" hidden="false" customHeight="false" outlineLevel="0" collapsed="false">
      <c r="A1248" s="9"/>
      <c r="B1248" s="9"/>
      <c r="C1248" s="11"/>
      <c r="D1248" s="9"/>
      <c r="E1248" s="9"/>
      <c r="F1248" s="22" t="str">
        <f aca="false">IF(E1248="","",IFERROR(INDEX(02_INDICADORES!$B$2:$B$42,MATCH(E1248,02_INDICADORES!$A$2:$A$42,0)),"ID?"))</f>
        <v/>
      </c>
      <c r="G1248" s="21" t="str">
        <f aca="false">IF(E1248="","",IFERROR(INDEX(02_INDICADORES!$C$2:$C$42,MATCH(E1248,02_INDICADORES!$A$2:$A$42,0)),"ID?"))</f>
        <v/>
      </c>
      <c r="H1248" s="22" t="str">
        <f aca="false">IF(E1248="","",IFERROR(INDEX(02_INDICADORES!$D$2:$D$42,MATCH(E1248,02_INDICADORES!$A$2:$A$42,0)),""))</f>
        <v/>
      </c>
      <c r="I1248" s="9"/>
      <c r="J1248" s="16" t="str">
        <f aca="false">IF(OR(I1248="",H1248=""),"",I1248*H1248)</f>
        <v/>
      </c>
      <c r="K1248" s="9"/>
      <c r="L1248" s="9"/>
      <c r="M1248" s="9"/>
    </row>
    <row r="1249" customFormat="false" ht="15" hidden="false" customHeight="false" outlineLevel="0" collapsed="false">
      <c r="A1249" s="9"/>
      <c r="B1249" s="9"/>
      <c r="C1249" s="11"/>
      <c r="D1249" s="9"/>
      <c r="E1249" s="9"/>
      <c r="F1249" s="22" t="str">
        <f aca="false">IF(E1249="","",IFERROR(INDEX(02_INDICADORES!$B$2:$B$42,MATCH(E1249,02_INDICADORES!$A$2:$A$42,0)),"ID?"))</f>
        <v/>
      </c>
      <c r="G1249" s="21" t="str">
        <f aca="false">IF(E1249="","",IFERROR(INDEX(02_INDICADORES!$C$2:$C$42,MATCH(E1249,02_INDICADORES!$A$2:$A$42,0)),"ID?"))</f>
        <v/>
      </c>
      <c r="H1249" s="22" t="str">
        <f aca="false">IF(E1249="","",IFERROR(INDEX(02_INDICADORES!$D$2:$D$42,MATCH(E1249,02_INDICADORES!$A$2:$A$42,0)),""))</f>
        <v/>
      </c>
      <c r="I1249" s="9"/>
      <c r="J1249" s="16" t="str">
        <f aca="false">IF(OR(I1249="",H1249=""),"",I1249*H1249)</f>
        <v/>
      </c>
      <c r="K1249" s="9"/>
      <c r="L1249" s="9"/>
      <c r="M1249" s="9"/>
    </row>
    <row r="1250" customFormat="false" ht="15" hidden="false" customHeight="false" outlineLevel="0" collapsed="false">
      <c r="A1250" s="9"/>
      <c r="B1250" s="9"/>
      <c r="C1250" s="11"/>
      <c r="D1250" s="9"/>
      <c r="E1250" s="9"/>
      <c r="F1250" s="22" t="str">
        <f aca="false">IF(E1250="","",IFERROR(INDEX(02_INDICADORES!$B$2:$B$42,MATCH(E1250,02_INDICADORES!$A$2:$A$42,0)),"ID?"))</f>
        <v/>
      </c>
      <c r="G1250" s="21" t="str">
        <f aca="false">IF(E1250="","",IFERROR(INDEX(02_INDICADORES!$C$2:$C$42,MATCH(E1250,02_INDICADORES!$A$2:$A$42,0)),"ID?"))</f>
        <v/>
      </c>
      <c r="H1250" s="22" t="str">
        <f aca="false">IF(E1250="","",IFERROR(INDEX(02_INDICADORES!$D$2:$D$42,MATCH(E1250,02_INDICADORES!$A$2:$A$42,0)),""))</f>
        <v/>
      </c>
      <c r="I1250" s="9"/>
      <c r="J1250" s="16" t="str">
        <f aca="false">IF(OR(I1250="",H1250=""),"",I1250*H1250)</f>
        <v/>
      </c>
      <c r="K1250" s="9"/>
      <c r="L1250" s="9"/>
      <c r="M1250" s="9"/>
    </row>
    <row r="1251" customFormat="false" ht="15" hidden="false" customHeight="false" outlineLevel="0" collapsed="false">
      <c r="A1251" s="9"/>
      <c r="B1251" s="9"/>
      <c r="C1251" s="11"/>
      <c r="D1251" s="9"/>
      <c r="E1251" s="9"/>
      <c r="F1251" s="22" t="str">
        <f aca="false">IF(E1251="","",IFERROR(INDEX(02_INDICADORES!$B$2:$B$42,MATCH(E1251,02_INDICADORES!$A$2:$A$42,0)),"ID?"))</f>
        <v/>
      </c>
      <c r="G1251" s="21" t="str">
        <f aca="false">IF(E1251="","",IFERROR(INDEX(02_INDICADORES!$C$2:$C$42,MATCH(E1251,02_INDICADORES!$A$2:$A$42,0)),"ID?"))</f>
        <v/>
      </c>
      <c r="H1251" s="22" t="str">
        <f aca="false">IF(E1251="","",IFERROR(INDEX(02_INDICADORES!$D$2:$D$42,MATCH(E1251,02_INDICADORES!$A$2:$A$42,0)),""))</f>
        <v/>
      </c>
      <c r="I1251" s="9"/>
      <c r="J1251" s="16" t="str">
        <f aca="false">IF(OR(I1251="",H1251=""),"",I1251*H1251)</f>
        <v/>
      </c>
      <c r="K1251" s="9"/>
      <c r="L1251" s="9"/>
      <c r="M1251" s="9"/>
    </row>
    <row r="1252" customFormat="false" ht="15" hidden="false" customHeight="false" outlineLevel="0" collapsed="false">
      <c r="A1252" s="9"/>
      <c r="B1252" s="9"/>
      <c r="C1252" s="11"/>
      <c r="D1252" s="9"/>
      <c r="E1252" s="9"/>
      <c r="F1252" s="22" t="str">
        <f aca="false">IF(E1252="","",IFERROR(INDEX(02_INDICADORES!$B$2:$B$42,MATCH(E1252,02_INDICADORES!$A$2:$A$42,0)),"ID?"))</f>
        <v/>
      </c>
      <c r="G1252" s="21" t="str">
        <f aca="false">IF(E1252="","",IFERROR(INDEX(02_INDICADORES!$C$2:$C$42,MATCH(E1252,02_INDICADORES!$A$2:$A$42,0)),"ID?"))</f>
        <v/>
      </c>
      <c r="H1252" s="22" t="str">
        <f aca="false">IF(E1252="","",IFERROR(INDEX(02_INDICADORES!$D$2:$D$42,MATCH(E1252,02_INDICADORES!$A$2:$A$42,0)),""))</f>
        <v/>
      </c>
      <c r="I1252" s="9"/>
      <c r="J1252" s="16" t="str">
        <f aca="false">IF(OR(I1252="",H1252=""),"",I1252*H1252)</f>
        <v/>
      </c>
      <c r="K1252" s="9"/>
      <c r="L1252" s="9"/>
      <c r="M1252" s="9"/>
    </row>
    <row r="1253" customFormat="false" ht="15" hidden="false" customHeight="false" outlineLevel="0" collapsed="false">
      <c r="A1253" s="9"/>
      <c r="B1253" s="9"/>
      <c r="C1253" s="11"/>
      <c r="D1253" s="9"/>
      <c r="E1253" s="9"/>
      <c r="F1253" s="22" t="str">
        <f aca="false">IF(E1253="","",IFERROR(INDEX(02_INDICADORES!$B$2:$B$42,MATCH(E1253,02_INDICADORES!$A$2:$A$42,0)),"ID?"))</f>
        <v/>
      </c>
      <c r="G1253" s="21" t="str">
        <f aca="false">IF(E1253="","",IFERROR(INDEX(02_INDICADORES!$C$2:$C$42,MATCH(E1253,02_INDICADORES!$A$2:$A$42,0)),"ID?"))</f>
        <v/>
      </c>
      <c r="H1253" s="22" t="str">
        <f aca="false">IF(E1253="","",IFERROR(INDEX(02_INDICADORES!$D$2:$D$42,MATCH(E1253,02_INDICADORES!$A$2:$A$42,0)),""))</f>
        <v/>
      </c>
      <c r="I1253" s="9"/>
      <c r="J1253" s="16" t="str">
        <f aca="false">IF(OR(I1253="",H1253=""),"",I1253*H1253)</f>
        <v/>
      </c>
      <c r="K1253" s="9"/>
      <c r="L1253" s="9"/>
      <c r="M1253" s="9"/>
    </row>
    <row r="1254" customFormat="false" ht="15" hidden="false" customHeight="false" outlineLevel="0" collapsed="false">
      <c r="A1254" s="9"/>
      <c r="B1254" s="9"/>
      <c r="C1254" s="11"/>
      <c r="D1254" s="9"/>
      <c r="E1254" s="9"/>
      <c r="F1254" s="22" t="str">
        <f aca="false">IF(E1254="","",IFERROR(INDEX(02_INDICADORES!$B$2:$B$42,MATCH(E1254,02_INDICADORES!$A$2:$A$42,0)),"ID?"))</f>
        <v/>
      </c>
      <c r="G1254" s="21" t="str">
        <f aca="false">IF(E1254="","",IFERROR(INDEX(02_INDICADORES!$C$2:$C$42,MATCH(E1254,02_INDICADORES!$A$2:$A$42,0)),"ID?"))</f>
        <v/>
      </c>
      <c r="H1254" s="22" t="str">
        <f aca="false">IF(E1254="","",IFERROR(INDEX(02_INDICADORES!$D$2:$D$42,MATCH(E1254,02_INDICADORES!$A$2:$A$42,0)),""))</f>
        <v/>
      </c>
      <c r="I1254" s="9"/>
      <c r="J1254" s="16" t="str">
        <f aca="false">IF(OR(I1254="",H1254=""),"",I1254*H1254)</f>
        <v/>
      </c>
      <c r="K1254" s="9"/>
      <c r="L1254" s="9"/>
      <c r="M1254" s="9"/>
    </row>
    <row r="1255" customFormat="false" ht="15" hidden="false" customHeight="false" outlineLevel="0" collapsed="false">
      <c r="A1255" s="9"/>
      <c r="B1255" s="9"/>
      <c r="C1255" s="11"/>
      <c r="D1255" s="9"/>
      <c r="E1255" s="9"/>
      <c r="F1255" s="22" t="str">
        <f aca="false">IF(E1255="","",IFERROR(INDEX(02_INDICADORES!$B$2:$B$42,MATCH(E1255,02_INDICADORES!$A$2:$A$42,0)),"ID?"))</f>
        <v/>
      </c>
      <c r="G1255" s="21" t="str">
        <f aca="false">IF(E1255="","",IFERROR(INDEX(02_INDICADORES!$C$2:$C$42,MATCH(E1255,02_INDICADORES!$A$2:$A$42,0)),"ID?"))</f>
        <v/>
      </c>
      <c r="H1255" s="22" t="str">
        <f aca="false">IF(E1255="","",IFERROR(INDEX(02_INDICADORES!$D$2:$D$42,MATCH(E1255,02_INDICADORES!$A$2:$A$42,0)),""))</f>
        <v/>
      </c>
      <c r="I1255" s="9"/>
      <c r="J1255" s="16" t="str">
        <f aca="false">IF(OR(I1255="",H1255=""),"",I1255*H1255)</f>
        <v/>
      </c>
      <c r="K1255" s="9"/>
      <c r="L1255" s="9"/>
      <c r="M1255" s="9"/>
    </row>
    <row r="1256" customFormat="false" ht="15" hidden="false" customHeight="false" outlineLevel="0" collapsed="false">
      <c r="A1256" s="9"/>
      <c r="B1256" s="9"/>
      <c r="C1256" s="11"/>
      <c r="D1256" s="9"/>
      <c r="E1256" s="9"/>
      <c r="F1256" s="22" t="str">
        <f aca="false">IF(E1256="","",IFERROR(INDEX(02_INDICADORES!$B$2:$B$42,MATCH(E1256,02_INDICADORES!$A$2:$A$42,0)),"ID?"))</f>
        <v/>
      </c>
      <c r="G1256" s="21" t="str">
        <f aca="false">IF(E1256="","",IFERROR(INDEX(02_INDICADORES!$C$2:$C$42,MATCH(E1256,02_INDICADORES!$A$2:$A$42,0)),"ID?"))</f>
        <v/>
      </c>
      <c r="H1256" s="22" t="str">
        <f aca="false">IF(E1256="","",IFERROR(INDEX(02_INDICADORES!$D$2:$D$42,MATCH(E1256,02_INDICADORES!$A$2:$A$42,0)),""))</f>
        <v/>
      </c>
      <c r="I1256" s="9"/>
      <c r="J1256" s="16" t="str">
        <f aca="false">IF(OR(I1256="",H1256=""),"",I1256*H1256)</f>
        <v/>
      </c>
      <c r="K1256" s="9"/>
      <c r="L1256" s="9"/>
      <c r="M1256" s="9"/>
    </row>
    <row r="1257" customFormat="false" ht="15" hidden="false" customHeight="false" outlineLevel="0" collapsed="false">
      <c r="A1257" s="9"/>
      <c r="B1257" s="9"/>
      <c r="C1257" s="11"/>
      <c r="D1257" s="9"/>
      <c r="E1257" s="9"/>
      <c r="F1257" s="22" t="str">
        <f aca="false">IF(E1257="","",IFERROR(INDEX(02_INDICADORES!$B$2:$B$42,MATCH(E1257,02_INDICADORES!$A$2:$A$42,0)),"ID?"))</f>
        <v/>
      </c>
      <c r="G1257" s="21" t="str">
        <f aca="false">IF(E1257="","",IFERROR(INDEX(02_INDICADORES!$C$2:$C$42,MATCH(E1257,02_INDICADORES!$A$2:$A$42,0)),"ID?"))</f>
        <v/>
      </c>
      <c r="H1257" s="22" t="str">
        <f aca="false">IF(E1257="","",IFERROR(INDEX(02_INDICADORES!$D$2:$D$42,MATCH(E1257,02_INDICADORES!$A$2:$A$42,0)),""))</f>
        <v/>
      </c>
      <c r="I1257" s="9"/>
      <c r="J1257" s="16" t="str">
        <f aca="false">IF(OR(I1257="",H1257=""),"",I1257*H1257)</f>
        <v/>
      </c>
      <c r="K1257" s="9"/>
      <c r="L1257" s="9"/>
      <c r="M1257" s="9"/>
    </row>
    <row r="1258" customFormat="false" ht="15" hidden="false" customHeight="false" outlineLevel="0" collapsed="false">
      <c r="A1258" s="9"/>
      <c r="B1258" s="9"/>
      <c r="C1258" s="11"/>
      <c r="D1258" s="9"/>
      <c r="E1258" s="9"/>
      <c r="F1258" s="22" t="str">
        <f aca="false">IF(E1258="","",IFERROR(INDEX(02_INDICADORES!$B$2:$B$42,MATCH(E1258,02_INDICADORES!$A$2:$A$42,0)),"ID?"))</f>
        <v/>
      </c>
      <c r="G1258" s="21" t="str">
        <f aca="false">IF(E1258="","",IFERROR(INDEX(02_INDICADORES!$C$2:$C$42,MATCH(E1258,02_INDICADORES!$A$2:$A$42,0)),"ID?"))</f>
        <v/>
      </c>
      <c r="H1258" s="22" t="str">
        <f aca="false">IF(E1258="","",IFERROR(INDEX(02_INDICADORES!$D$2:$D$42,MATCH(E1258,02_INDICADORES!$A$2:$A$42,0)),""))</f>
        <v/>
      </c>
      <c r="I1258" s="9"/>
      <c r="J1258" s="16" t="str">
        <f aca="false">IF(OR(I1258="",H1258=""),"",I1258*H1258)</f>
        <v/>
      </c>
      <c r="K1258" s="9"/>
      <c r="L1258" s="9"/>
      <c r="M1258" s="9"/>
    </row>
    <row r="1259" customFormat="false" ht="15" hidden="false" customHeight="false" outlineLevel="0" collapsed="false">
      <c r="A1259" s="9"/>
      <c r="B1259" s="9"/>
      <c r="C1259" s="11"/>
      <c r="D1259" s="9"/>
      <c r="E1259" s="9"/>
      <c r="F1259" s="22" t="str">
        <f aca="false">IF(E1259="","",IFERROR(INDEX(02_INDICADORES!$B$2:$B$42,MATCH(E1259,02_INDICADORES!$A$2:$A$42,0)),"ID?"))</f>
        <v/>
      </c>
      <c r="G1259" s="21" t="str">
        <f aca="false">IF(E1259="","",IFERROR(INDEX(02_INDICADORES!$C$2:$C$42,MATCH(E1259,02_INDICADORES!$A$2:$A$42,0)),"ID?"))</f>
        <v/>
      </c>
      <c r="H1259" s="22" t="str">
        <f aca="false">IF(E1259="","",IFERROR(INDEX(02_INDICADORES!$D$2:$D$42,MATCH(E1259,02_INDICADORES!$A$2:$A$42,0)),""))</f>
        <v/>
      </c>
      <c r="I1259" s="9"/>
      <c r="J1259" s="16" t="str">
        <f aca="false">IF(OR(I1259="",H1259=""),"",I1259*H1259)</f>
        <v/>
      </c>
      <c r="K1259" s="9"/>
      <c r="L1259" s="9"/>
      <c r="M1259" s="9"/>
    </row>
    <row r="1260" customFormat="false" ht="15" hidden="false" customHeight="false" outlineLevel="0" collapsed="false">
      <c r="A1260" s="9"/>
      <c r="B1260" s="9"/>
      <c r="C1260" s="11"/>
      <c r="D1260" s="9"/>
      <c r="E1260" s="9"/>
      <c r="F1260" s="22" t="str">
        <f aca="false">IF(E1260="","",IFERROR(INDEX(02_INDICADORES!$B$2:$B$42,MATCH(E1260,02_INDICADORES!$A$2:$A$42,0)),"ID?"))</f>
        <v/>
      </c>
      <c r="G1260" s="21" t="str">
        <f aca="false">IF(E1260="","",IFERROR(INDEX(02_INDICADORES!$C$2:$C$42,MATCH(E1260,02_INDICADORES!$A$2:$A$42,0)),"ID?"))</f>
        <v/>
      </c>
      <c r="H1260" s="22" t="str">
        <f aca="false">IF(E1260="","",IFERROR(INDEX(02_INDICADORES!$D$2:$D$42,MATCH(E1260,02_INDICADORES!$A$2:$A$42,0)),""))</f>
        <v/>
      </c>
      <c r="I1260" s="9"/>
      <c r="J1260" s="16" t="str">
        <f aca="false">IF(OR(I1260="",H1260=""),"",I1260*H1260)</f>
        <v/>
      </c>
      <c r="K1260" s="9"/>
      <c r="L1260" s="9"/>
      <c r="M1260" s="9"/>
    </row>
    <row r="1261" customFormat="false" ht="15" hidden="false" customHeight="false" outlineLevel="0" collapsed="false">
      <c r="A1261" s="9"/>
      <c r="B1261" s="9"/>
      <c r="C1261" s="11"/>
      <c r="D1261" s="9"/>
      <c r="E1261" s="9"/>
      <c r="F1261" s="22" t="str">
        <f aca="false">IF(E1261="","",IFERROR(INDEX(02_INDICADORES!$B$2:$B$42,MATCH(E1261,02_INDICADORES!$A$2:$A$42,0)),"ID?"))</f>
        <v/>
      </c>
      <c r="G1261" s="21" t="str">
        <f aca="false">IF(E1261="","",IFERROR(INDEX(02_INDICADORES!$C$2:$C$42,MATCH(E1261,02_INDICADORES!$A$2:$A$42,0)),"ID?"))</f>
        <v/>
      </c>
      <c r="H1261" s="22" t="str">
        <f aca="false">IF(E1261="","",IFERROR(INDEX(02_INDICADORES!$D$2:$D$42,MATCH(E1261,02_INDICADORES!$A$2:$A$42,0)),""))</f>
        <v/>
      </c>
      <c r="I1261" s="9"/>
      <c r="J1261" s="16" t="str">
        <f aca="false">IF(OR(I1261="",H1261=""),"",I1261*H1261)</f>
        <v/>
      </c>
      <c r="K1261" s="9"/>
      <c r="L1261" s="9"/>
      <c r="M1261" s="9"/>
    </row>
    <row r="1262" customFormat="false" ht="15" hidden="false" customHeight="false" outlineLevel="0" collapsed="false">
      <c r="A1262" s="9"/>
      <c r="B1262" s="9"/>
      <c r="C1262" s="11"/>
      <c r="D1262" s="9"/>
      <c r="E1262" s="9"/>
      <c r="F1262" s="22" t="str">
        <f aca="false">IF(E1262="","",IFERROR(INDEX(02_INDICADORES!$B$2:$B$42,MATCH(E1262,02_INDICADORES!$A$2:$A$42,0)),"ID?"))</f>
        <v/>
      </c>
      <c r="G1262" s="21" t="str">
        <f aca="false">IF(E1262="","",IFERROR(INDEX(02_INDICADORES!$C$2:$C$42,MATCH(E1262,02_INDICADORES!$A$2:$A$42,0)),"ID?"))</f>
        <v/>
      </c>
      <c r="H1262" s="22" t="str">
        <f aca="false">IF(E1262="","",IFERROR(INDEX(02_INDICADORES!$D$2:$D$42,MATCH(E1262,02_INDICADORES!$A$2:$A$42,0)),""))</f>
        <v/>
      </c>
      <c r="I1262" s="9"/>
      <c r="J1262" s="16" t="str">
        <f aca="false">IF(OR(I1262="",H1262=""),"",I1262*H1262)</f>
        <v/>
      </c>
      <c r="K1262" s="9"/>
      <c r="L1262" s="9"/>
      <c r="M1262" s="9"/>
    </row>
    <row r="1263" customFormat="false" ht="15" hidden="false" customHeight="false" outlineLevel="0" collapsed="false">
      <c r="A1263" s="9"/>
      <c r="B1263" s="9"/>
      <c r="C1263" s="11"/>
      <c r="D1263" s="9"/>
      <c r="E1263" s="9"/>
      <c r="F1263" s="22" t="str">
        <f aca="false">IF(E1263="","",IFERROR(INDEX(02_INDICADORES!$B$2:$B$42,MATCH(E1263,02_INDICADORES!$A$2:$A$42,0)),"ID?"))</f>
        <v/>
      </c>
      <c r="G1263" s="21" t="str">
        <f aca="false">IF(E1263="","",IFERROR(INDEX(02_INDICADORES!$C$2:$C$42,MATCH(E1263,02_INDICADORES!$A$2:$A$42,0)),"ID?"))</f>
        <v/>
      </c>
      <c r="H1263" s="22" t="str">
        <f aca="false">IF(E1263="","",IFERROR(INDEX(02_INDICADORES!$D$2:$D$42,MATCH(E1263,02_INDICADORES!$A$2:$A$42,0)),""))</f>
        <v/>
      </c>
      <c r="I1263" s="9"/>
      <c r="J1263" s="16" t="str">
        <f aca="false">IF(OR(I1263="",H1263=""),"",I1263*H1263)</f>
        <v/>
      </c>
      <c r="K1263" s="9"/>
      <c r="L1263" s="9"/>
      <c r="M1263" s="9"/>
    </row>
    <row r="1264" customFormat="false" ht="15" hidden="false" customHeight="false" outlineLevel="0" collapsed="false">
      <c r="A1264" s="9"/>
      <c r="B1264" s="9"/>
      <c r="C1264" s="11"/>
      <c r="D1264" s="9"/>
      <c r="E1264" s="9"/>
      <c r="F1264" s="22" t="str">
        <f aca="false">IF(E1264="","",IFERROR(INDEX(02_INDICADORES!$B$2:$B$42,MATCH(E1264,02_INDICADORES!$A$2:$A$42,0)),"ID?"))</f>
        <v/>
      </c>
      <c r="G1264" s="21" t="str">
        <f aca="false">IF(E1264="","",IFERROR(INDEX(02_INDICADORES!$C$2:$C$42,MATCH(E1264,02_INDICADORES!$A$2:$A$42,0)),"ID?"))</f>
        <v/>
      </c>
      <c r="H1264" s="22" t="str">
        <f aca="false">IF(E1264="","",IFERROR(INDEX(02_INDICADORES!$D$2:$D$42,MATCH(E1264,02_INDICADORES!$A$2:$A$42,0)),""))</f>
        <v/>
      </c>
      <c r="I1264" s="9"/>
      <c r="J1264" s="16" t="str">
        <f aca="false">IF(OR(I1264="",H1264=""),"",I1264*H1264)</f>
        <v/>
      </c>
      <c r="K1264" s="9"/>
      <c r="L1264" s="9"/>
      <c r="M1264" s="9"/>
    </row>
    <row r="1265" customFormat="false" ht="15" hidden="false" customHeight="false" outlineLevel="0" collapsed="false">
      <c r="A1265" s="9"/>
      <c r="B1265" s="9"/>
      <c r="C1265" s="11"/>
      <c r="D1265" s="9"/>
      <c r="E1265" s="9"/>
      <c r="F1265" s="22" t="str">
        <f aca="false">IF(E1265="","",IFERROR(INDEX(02_INDICADORES!$B$2:$B$42,MATCH(E1265,02_INDICADORES!$A$2:$A$42,0)),"ID?"))</f>
        <v/>
      </c>
      <c r="G1265" s="21" t="str">
        <f aca="false">IF(E1265="","",IFERROR(INDEX(02_INDICADORES!$C$2:$C$42,MATCH(E1265,02_INDICADORES!$A$2:$A$42,0)),"ID?"))</f>
        <v/>
      </c>
      <c r="H1265" s="22" t="str">
        <f aca="false">IF(E1265="","",IFERROR(INDEX(02_INDICADORES!$D$2:$D$42,MATCH(E1265,02_INDICADORES!$A$2:$A$42,0)),""))</f>
        <v/>
      </c>
      <c r="I1265" s="9"/>
      <c r="J1265" s="16" t="str">
        <f aca="false">IF(OR(I1265="",H1265=""),"",I1265*H1265)</f>
        <v/>
      </c>
      <c r="K1265" s="9"/>
      <c r="L1265" s="9"/>
      <c r="M1265" s="9"/>
    </row>
    <row r="1266" customFormat="false" ht="15" hidden="false" customHeight="false" outlineLevel="0" collapsed="false">
      <c r="A1266" s="9"/>
      <c r="B1266" s="9"/>
      <c r="C1266" s="11"/>
      <c r="D1266" s="9"/>
      <c r="E1266" s="9"/>
      <c r="F1266" s="22" t="str">
        <f aca="false">IF(E1266="","",IFERROR(INDEX(02_INDICADORES!$B$2:$B$42,MATCH(E1266,02_INDICADORES!$A$2:$A$42,0)),"ID?"))</f>
        <v/>
      </c>
      <c r="G1266" s="21" t="str">
        <f aca="false">IF(E1266="","",IFERROR(INDEX(02_INDICADORES!$C$2:$C$42,MATCH(E1266,02_INDICADORES!$A$2:$A$42,0)),"ID?"))</f>
        <v/>
      </c>
      <c r="H1266" s="22" t="str">
        <f aca="false">IF(E1266="","",IFERROR(INDEX(02_INDICADORES!$D$2:$D$42,MATCH(E1266,02_INDICADORES!$A$2:$A$42,0)),""))</f>
        <v/>
      </c>
      <c r="I1266" s="9"/>
      <c r="J1266" s="16" t="str">
        <f aca="false">IF(OR(I1266="",H1266=""),"",I1266*H1266)</f>
        <v/>
      </c>
      <c r="K1266" s="9"/>
      <c r="L1266" s="9"/>
      <c r="M1266" s="9"/>
    </row>
    <row r="1267" customFormat="false" ht="15" hidden="false" customHeight="false" outlineLevel="0" collapsed="false">
      <c r="A1267" s="9"/>
      <c r="B1267" s="9"/>
      <c r="C1267" s="11"/>
      <c r="D1267" s="9"/>
      <c r="E1267" s="9"/>
      <c r="F1267" s="22" t="str">
        <f aca="false">IF(E1267="","",IFERROR(INDEX(02_INDICADORES!$B$2:$B$42,MATCH(E1267,02_INDICADORES!$A$2:$A$42,0)),"ID?"))</f>
        <v/>
      </c>
      <c r="G1267" s="21" t="str">
        <f aca="false">IF(E1267="","",IFERROR(INDEX(02_INDICADORES!$C$2:$C$42,MATCH(E1267,02_INDICADORES!$A$2:$A$42,0)),"ID?"))</f>
        <v/>
      </c>
      <c r="H1267" s="22" t="str">
        <f aca="false">IF(E1267="","",IFERROR(INDEX(02_INDICADORES!$D$2:$D$42,MATCH(E1267,02_INDICADORES!$A$2:$A$42,0)),""))</f>
        <v/>
      </c>
      <c r="I1267" s="9"/>
      <c r="J1267" s="16" t="str">
        <f aca="false">IF(OR(I1267="",H1267=""),"",I1267*H1267)</f>
        <v/>
      </c>
      <c r="K1267" s="9"/>
      <c r="L1267" s="9"/>
      <c r="M1267" s="9"/>
    </row>
    <row r="1268" customFormat="false" ht="15" hidden="false" customHeight="false" outlineLevel="0" collapsed="false">
      <c r="A1268" s="9"/>
      <c r="B1268" s="9"/>
      <c r="C1268" s="11"/>
      <c r="D1268" s="9"/>
      <c r="E1268" s="9"/>
      <c r="F1268" s="22" t="str">
        <f aca="false">IF(E1268="","",IFERROR(INDEX(02_INDICADORES!$B$2:$B$42,MATCH(E1268,02_INDICADORES!$A$2:$A$42,0)),"ID?"))</f>
        <v/>
      </c>
      <c r="G1268" s="21" t="str">
        <f aca="false">IF(E1268="","",IFERROR(INDEX(02_INDICADORES!$C$2:$C$42,MATCH(E1268,02_INDICADORES!$A$2:$A$42,0)),"ID?"))</f>
        <v/>
      </c>
      <c r="H1268" s="22" t="str">
        <f aca="false">IF(E1268="","",IFERROR(INDEX(02_INDICADORES!$D$2:$D$42,MATCH(E1268,02_INDICADORES!$A$2:$A$42,0)),""))</f>
        <v/>
      </c>
      <c r="I1268" s="9"/>
      <c r="J1268" s="16" t="str">
        <f aca="false">IF(OR(I1268="",H1268=""),"",I1268*H1268)</f>
        <v/>
      </c>
      <c r="K1268" s="9"/>
      <c r="L1268" s="9"/>
      <c r="M1268" s="9"/>
    </row>
    <row r="1269" customFormat="false" ht="15" hidden="false" customHeight="false" outlineLevel="0" collapsed="false">
      <c r="A1269" s="9"/>
      <c r="B1269" s="9"/>
      <c r="C1269" s="11"/>
      <c r="D1269" s="9"/>
      <c r="E1269" s="9"/>
      <c r="F1269" s="22" t="str">
        <f aca="false">IF(E1269="","",IFERROR(INDEX(02_INDICADORES!$B$2:$B$42,MATCH(E1269,02_INDICADORES!$A$2:$A$42,0)),"ID?"))</f>
        <v/>
      </c>
      <c r="G1269" s="21" t="str">
        <f aca="false">IF(E1269="","",IFERROR(INDEX(02_INDICADORES!$C$2:$C$42,MATCH(E1269,02_INDICADORES!$A$2:$A$42,0)),"ID?"))</f>
        <v/>
      </c>
      <c r="H1269" s="22" t="str">
        <f aca="false">IF(E1269="","",IFERROR(INDEX(02_INDICADORES!$D$2:$D$42,MATCH(E1269,02_INDICADORES!$A$2:$A$42,0)),""))</f>
        <v/>
      </c>
      <c r="I1269" s="9"/>
      <c r="J1269" s="16" t="str">
        <f aca="false">IF(OR(I1269="",H1269=""),"",I1269*H1269)</f>
        <v/>
      </c>
      <c r="K1269" s="9"/>
      <c r="L1269" s="9"/>
      <c r="M1269" s="9"/>
    </row>
    <row r="1270" customFormat="false" ht="15" hidden="false" customHeight="false" outlineLevel="0" collapsed="false">
      <c r="A1270" s="9"/>
      <c r="B1270" s="9"/>
      <c r="C1270" s="11"/>
      <c r="D1270" s="9"/>
      <c r="E1270" s="9"/>
      <c r="F1270" s="22" t="str">
        <f aca="false">IF(E1270="","",IFERROR(INDEX(02_INDICADORES!$B$2:$B$42,MATCH(E1270,02_INDICADORES!$A$2:$A$42,0)),"ID?"))</f>
        <v/>
      </c>
      <c r="G1270" s="21" t="str">
        <f aca="false">IF(E1270="","",IFERROR(INDEX(02_INDICADORES!$C$2:$C$42,MATCH(E1270,02_INDICADORES!$A$2:$A$42,0)),"ID?"))</f>
        <v/>
      </c>
      <c r="H1270" s="22" t="str">
        <f aca="false">IF(E1270="","",IFERROR(INDEX(02_INDICADORES!$D$2:$D$42,MATCH(E1270,02_INDICADORES!$A$2:$A$42,0)),""))</f>
        <v/>
      </c>
      <c r="I1270" s="9"/>
      <c r="J1270" s="16" t="str">
        <f aca="false">IF(OR(I1270="",H1270=""),"",I1270*H1270)</f>
        <v/>
      </c>
      <c r="K1270" s="9"/>
      <c r="L1270" s="9"/>
      <c r="M1270" s="9"/>
    </row>
    <row r="1271" customFormat="false" ht="15" hidden="false" customHeight="false" outlineLevel="0" collapsed="false">
      <c r="A1271" s="9"/>
      <c r="B1271" s="9"/>
      <c r="C1271" s="11"/>
      <c r="D1271" s="9"/>
      <c r="E1271" s="9"/>
      <c r="F1271" s="22" t="str">
        <f aca="false">IF(E1271="","",IFERROR(INDEX(02_INDICADORES!$B$2:$B$42,MATCH(E1271,02_INDICADORES!$A$2:$A$42,0)),"ID?"))</f>
        <v/>
      </c>
      <c r="G1271" s="21" t="str">
        <f aca="false">IF(E1271="","",IFERROR(INDEX(02_INDICADORES!$C$2:$C$42,MATCH(E1271,02_INDICADORES!$A$2:$A$42,0)),"ID?"))</f>
        <v/>
      </c>
      <c r="H1271" s="22" t="str">
        <f aca="false">IF(E1271="","",IFERROR(INDEX(02_INDICADORES!$D$2:$D$42,MATCH(E1271,02_INDICADORES!$A$2:$A$42,0)),""))</f>
        <v/>
      </c>
      <c r="I1271" s="9"/>
      <c r="J1271" s="16" t="str">
        <f aca="false">IF(OR(I1271="",H1271=""),"",I1271*H1271)</f>
        <v/>
      </c>
      <c r="K1271" s="9"/>
      <c r="L1271" s="9"/>
      <c r="M1271" s="9"/>
    </row>
    <row r="1272" customFormat="false" ht="15" hidden="false" customHeight="false" outlineLevel="0" collapsed="false">
      <c r="A1272" s="9"/>
      <c r="B1272" s="9"/>
      <c r="C1272" s="11"/>
      <c r="D1272" s="9"/>
      <c r="E1272" s="9"/>
      <c r="F1272" s="22" t="str">
        <f aca="false">IF(E1272="","",IFERROR(INDEX(02_INDICADORES!$B$2:$B$42,MATCH(E1272,02_INDICADORES!$A$2:$A$42,0)),"ID?"))</f>
        <v/>
      </c>
      <c r="G1272" s="21" t="str">
        <f aca="false">IF(E1272="","",IFERROR(INDEX(02_INDICADORES!$C$2:$C$42,MATCH(E1272,02_INDICADORES!$A$2:$A$42,0)),"ID?"))</f>
        <v/>
      </c>
      <c r="H1272" s="22" t="str">
        <f aca="false">IF(E1272="","",IFERROR(INDEX(02_INDICADORES!$D$2:$D$42,MATCH(E1272,02_INDICADORES!$A$2:$A$42,0)),""))</f>
        <v/>
      </c>
      <c r="I1272" s="9"/>
      <c r="J1272" s="16" t="str">
        <f aca="false">IF(OR(I1272="",H1272=""),"",I1272*H1272)</f>
        <v/>
      </c>
      <c r="K1272" s="9"/>
      <c r="L1272" s="9"/>
      <c r="M1272" s="9"/>
    </row>
    <row r="1273" customFormat="false" ht="15" hidden="false" customHeight="false" outlineLevel="0" collapsed="false">
      <c r="A1273" s="9"/>
      <c r="B1273" s="9"/>
      <c r="C1273" s="11"/>
      <c r="D1273" s="9"/>
      <c r="E1273" s="9"/>
      <c r="F1273" s="22" t="str">
        <f aca="false">IF(E1273="","",IFERROR(INDEX(02_INDICADORES!$B$2:$B$42,MATCH(E1273,02_INDICADORES!$A$2:$A$42,0)),"ID?"))</f>
        <v/>
      </c>
      <c r="G1273" s="21" t="str">
        <f aca="false">IF(E1273="","",IFERROR(INDEX(02_INDICADORES!$C$2:$C$42,MATCH(E1273,02_INDICADORES!$A$2:$A$42,0)),"ID?"))</f>
        <v/>
      </c>
      <c r="H1273" s="22" t="str">
        <f aca="false">IF(E1273="","",IFERROR(INDEX(02_INDICADORES!$D$2:$D$42,MATCH(E1273,02_INDICADORES!$A$2:$A$42,0)),""))</f>
        <v/>
      </c>
      <c r="I1273" s="9"/>
      <c r="J1273" s="16" t="str">
        <f aca="false">IF(OR(I1273="",H1273=""),"",I1273*H1273)</f>
        <v/>
      </c>
      <c r="K1273" s="9"/>
      <c r="L1273" s="9"/>
      <c r="M1273" s="9"/>
    </row>
    <row r="1274" customFormat="false" ht="15" hidden="false" customHeight="false" outlineLevel="0" collapsed="false">
      <c r="A1274" s="9"/>
      <c r="B1274" s="9"/>
      <c r="C1274" s="11"/>
      <c r="D1274" s="9"/>
      <c r="E1274" s="9"/>
      <c r="F1274" s="22" t="str">
        <f aca="false">IF(E1274="","",IFERROR(INDEX(02_INDICADORES!$B$2:$B$42,MATCH(E1274,02_INDICADORES!$A$2:$A$42,0)),"ID?"))</f>
        <v/>
      </c>
      <c r="G1274" s="21" t="str">
        <f aca="false">IF(E1274="","",IFERROR(INDEX(02_INDICADORES!$C$2:$C$42,MATCH(E1274,02_INDICADORES!$A$2:$A$42,0)),"ID?"))</f>
        <v/>
      </c>
      <c r="H1274" s="22" t="str">
        <f aca="false">IF(E1274="","",IFERROR(INDEX(02_INDICADORES!$D$2:$D$42,MATCH(E1274,02_INDICADORES!$A$2:$A$42,0)),""))</f>
        <v/>
      </c>
      <c r="I1274" s="9"/>
      <c r="J1274" s="16" t="str">
        <f aca="false">IF(OR(I1274="",H1274=""),"",I1274*H1274)</f>
        <v/>
      </c>
      <c r="K1274" s="9"/>
      <c r="L1274" s="9"/>
      <c r="M1274" s="9"/>
    </row>
    <row r="1275" customFormat="false" ht="15" hidden="false" customHeight="false" outlineLevel="0" collapsed="false">
      <c r="A1275" s="9"/>
      <c r="B1275" s="9"/>
      <c r="C1275" s="11"/>
      <c r="D1275" s="9"/>
      <c r="E1275" s="9"/>
      <c r="F1275" s="22" t="str">
        <f aca="false">IF(E1275="","",IFERROR(INDEX(02_INDICADORES!$B$2:$B$42,MATCH(E1275,02_INDICADORES!$A$2:$A$42,0)),"ID?"))</f>
        <v/>
      </c>
      <c r="G1275" s="21" t="str">
        <f aca="false">IF(E1275="","",IFERROR(INDEX(02_INDICADORES!$C$2:$C$42,MATCH(E1275,02_INDICADORES!$A$2:$A$42,0)),"ID?"))</f>
        <v/>
      </c>
      <c r="H1275" s="22" t="str">
        <f aca="false">IF(E1275="","",IFERROR(INDEX(02_INDICADORES!$D$2:$D$42,MATCH(E1275,02_INDICADORES!$A$2:$A$42,0)),""))</f>
        <v/>
      </c>
      <c r="I1275" s="9"/>
      <c r="J1275" s="16" t="str">
        <f aca="false">IF(OR(I1275="",H1275=""),"",I1275*H1275)</f>
        <v/>
      </c>
      <c r="K1275" s="9"/>
      <c r="L1275" s="9"/>
      <c r="M1275" s="9"/>
    </row>
    <row r="1276" customFormat="false" ht="15" hidden="false" customHeight="false" outlineLevel="0" collapsed="false">
      <c r="A1276" s="9"/>
      <c r="B1276" s="9"/>
      <c r="C1276" s="11"/>
      <c r="D1276" s="9"/>
      <c r="E1276" s="9"/>
      <c r="F1276" s="22" t="str">
        <f aca="false">IF(E1276="","",IFERROR(INDEX(02_INDICADORES!$B$2:$B$42,MATCH(E1276,02_INDICADORES!$A$2:$A$42,0)),"ID?"))</f>
        <v/>
      </c>
      <c r="G1276" s="21" t="str">
        <f aca="false">IF(E1276="","",IFERROR(INDEX(02_INDICADORES!$C$2:$C$42,MATCH(E1276,02_INDICADORES!$A$2:$A$42,0)),"ID?"))</f>
        <v/>
      </c>
      <c r="H1276" s="22" t="str">
        <f aca="false">IF(E1276="","",IFERROR(INDEX(02_INDICADORES!$D$2:$D$42,MATCH(E1276,02_INDICADORES!$A$2:$A$42,0)),""))</f>
        <v/>
      </c>
      <c r="I1276" s="9"/>
      <c r="J1276" s="16" t="str">
        <f aca="false">IF(OR(I1276="",H1276=""),"",I1276*H1276)</f>
        <v/>
      </c>
      <c r="K1276" s="9"/>
      <c r="L1276" s="9"/>
      <c r="M1276" s="9"/>
    </row>
    <row r="1277" customFormat="false" ht="15" hidden="false" customHeight="false" outlineLevel="0" collapsed="false">
      <c r="A1277" s="9"/>
      <c r="B1277" s="9"/>
      <c r="C1277" s="11"/>
      <c r="D1277" s="9"/>
      <c r="E1277" s="9"/>
      <c r="F1277" s="22" t="str">
        <f aca="false">IF(E1277="","",IFERROR(INDEX(02_INDICADORES!$B$2:$B$42,MATCH(E1277,02_INDICADORES!$A$2:$A$42,0)),"ID?"))</f>
        <v/>
      </c>
      <c r="G1277" s="21" t="str">
        <f aca="false">IF(E1277="","",IFERROR(INDEX(02_INDICADORES!$C$2:$C$42,MATCH(E1277,02_INDICADORES!$A$2:$A$42,0)),"ID?"))</f>
        <v/>
      </c>
      <c r="H1277" s="22" t="str">
        <f aca="false">IF(E1277="","",IFERROR(INDEX(02_INDICADORES!$D$2:$D$42,MATCH(E1277,02_INDICADORES!$A$2:$A$42,0)),""))</f>
        <v/>
      </c>
      <c r="I1277" s="9"/>
      <c r="J1277" s="16" t="str">
        <f aca="false">IF(OR(I1277="",H1277=""),"",I1277*H1277)</f>
        <v/>
      </c>
      <c r="K1277" s="9"/>
      <c r="L1277" s="9"/>
      <c r="M1277" s="9"/>
    </row>
    <row r="1278" customFormat="false" ht="15" hidden="false" customHeight="false" outlineLevel="0" collapsed="false">
      <c r="A1278" s="9"/>
      <c r="B1278" s="9"/>
      <c r="C1278" s="11"/>
      <c r="D1278" s="9"/>
      <c r="E1278" s="9"/>
      <c r="F1278" s="22" t="str">
        <f aca="false">IF(E1278="","",IFERROR(INDEX(02_INDICADORES!$B$2:$B$42,MATCH(E1278,02_INDICADORES!$A$2:$A$42,0)),"ID?"))</f>
        <v/>
      </c>
      <c r="G1278" s="21" t="str">
        <f aca="false">IF(E1278="","",IFERROR(INDEX(02_INDICADORES!$C$2:$C$42,MATCH(E1278,02_INDICADORES!$A$2:$A$42,0)),"ID?"))</f>
        <v/>
      </c>
      <c r="H1278" s="22" t="str">
        <f aca="false">IF(E1278="","",IFERROR(INDEX(02_INDICADORES!$D$2:$D$42,MATCH(E1278,02_INDICADORES!$A$2:$A$42,0)),""))</f>
        <v/>
      </c>
      <c r="I1278" s="9"/>
      <c r="J1278" s="16" t="str">
        <f aca="false">IF(OR(I1278="",H1278=""),"",I1278*H1278)</f>
        <v/>
      </c>
      <c r="K1278" s="9"/>
      <c r="L1278" s="9"/>
      <c r="M1278" s="9"/>
    </row>
    <row r="1279" customFormat="false" ht="15" hidden="false" customHeight="false" outlineLevel="0" collapsed="false">
      <c r="A1279" s="9"/>
      <c r="B1279" s="9"/>
      <c r="C1279" s="11"/>
      <c r="D1279" s="9"/>
      <c r="E1279" s="9"/>
      <c r="F1279" s="22" t="str">
        <f aca="false">IF(E1279="","",IFERROR(INDEX(02_INDICADORES!$B$2:$B$42,MATCH(E1279,02_INDICADORES!$A$2:$A$42,0)),"ID?"))</f>
        <v/>
      </c>
      <c r="G1279" s="21" t="str">
        <f aca="false">IF(E1279="","",IFERROR(INDEX(02_INDICADORES!$C$2:$C$42,MATCH(E1279,02_INDICADORES!$A$2:$A$42,0)),"ID?"))</f>
        <v/>
      </c>
      <c r="H1279" s="22" t="str">
        <f aca="false">IF(E1279="","",IFERROR(INDEX(02_INDICADORES!$D$2:$D$42,MATCH(E1279,02_INDICADORES!$A$2:$A$42,0)),""))</f>
        <v/>
      </c>
      <c r="I1279" s="9"/>
      <c r="J1279" s="16" t="str">
        <f aca="false">IF(OR(I1279="",H1279=""),"",I1279*H1279)</f>
        <v/>
      </c>
      <c r="K1279" s="9"/>
      <c r="L1279" s="9"/>
      <c r="M1279" s="9"/>
    </row>
    <row r="1280" customFormat="false" ht="15" hidden="false" customHeight="false" outlineLevel="0" collapsed="false">
      <c r="A1280" s="9"/>
      <c r="B1280" s="9"/>
      <c r="C1280" s="11"/>
      <c r="D1280" s="9"/>
      <c r="E1280" s="9"/>
      <c r="F1280" s="22" t="str">
        <f aca="false">IF(E1280="","",IFERROR(INDEX(02_INDICADORES!$B$2:$B$42,MATCH(E1280,02_INDICADORES!$A$2:$A$42,0)),"ID?"))</f>
        <v/>
      </c>
      <c r="G1280" s="21" t="str">
        <f aca="false">IF(E1280="","",IFERROR(INDEX(02_INDICADORES!$C$2:$C$42,MATCH(E1280,02_INDICADORES!$A$2:$A$42,0)),"ID?"))</f>
        <v/>
      </c>
      <c r="H1280" s="22" t="str">
        <f aca="false">IF(E1280="","",IFERROR(INDEX(02_INDICADORES!$D$2:$D$42,MATCH(E1280,02_INDICADORES!$A$2:$A$42,0)),""))</f>
        <v/>
      </c>
      <c r="I1280" s="9"/>
      <c r="J1280" s="16" t="str">
        <f aca="false">IF(OR(I1280="",H1280=""),"",I1280*H1280)</f>
        <v/>
      </c>
      <c r="K1280" s="9"/>
      <c r="L1280" s="9"/>
      <c r="M1280" s="9"/>
    </row>
    <row r="1281" customFormat="false" ht="15" hidden="false" customHeight="false" outlineLevel="0" collapsed="false">
      <c r="A1281" s="9"/>
      <c r="B1281" s="9"/>
      <c r="C1281" s="11"/>
      <c r="D1281" s="9"/>
      <c r="E1281" s="9"/>
      <c r="F1281" s="22" t="str">
        <f aca="false">IF(E1281="","",IFERROR(INDEX(02_INDICADORES!$B$2:$B$42,MATCH(E1281,02_INDICADORES!$A$2:$A$42,0)),"ID?"))</f>
        <v/>
      </c>
      <c r="G1281" s="21" t="str">
        <f aca="false">IF(E1281="","",IFERROR(INDEX(02_INDICADORES!$C$2:$C$42,MATCH(E1281,02_INDICADORES!$A$2:$A$42,0)),"ID?"))</f>
        <v/>
      </c>
      <c r="H1281" s="22" t="str">
        <f aca="false">IF(E1281="","",IFERROR(INDEX(02_INDICADORES!$D$2:$D$42,MATCH(E1281,02_INDICADORES!$A$2:$A$42,0)),""))</f>
        <v/>
      </c>
      <c r="I1281" s="9"/>
      <c r="J1281" s="16" t="str">
        <f aca="false">IF(OR(I1281="",H1281=""),"",I1281*H1281)</f>
        <v/>
      </c>
      <c r="K1281" s="9"/>
      <c r="L1281" s="9"/>
      <c r="M1281" s="9"/>
    </row>
    <row r="1282" customFormat="false" ht="15" hidden="false" customHeight="false" outlineLevel="0" collapsed="false">
      <c r="A1282" s="9"/>
      <c r="B1282" s="9"/>
      <c r="C1282" s="11"/>
      <c r="D1282" s="9"/>
      <c r="E1282" s="9"/>
      <c r="F1282" s="22" t="str">
        <f aca="false">IF(E1282="","",IFERROR(INDEX(02_INDICADORES!$B$2:$B$42,MATCH(E1282,02_INDICADORES!$A$2:$A$42,0)),"ID?"))</f>
        <v/>
      </c>
      <c r="G1282" s="21" t="str">
        <f aca="false">IF(E1282="","",IFERROR(INDEX(02_INDICADORES!$C$2:$C$42,MATCH(E1282,02_INDICADORES!$A$2:$A$42,0)),"ID?"))</f>
        <v/>
      </c>
      <c r="H1282" s="22" t="str">
        <f aca="false">IF(E1282="","",IFERROR(INDEX(02_INDICADORES!$D$2:$D$42,MATCH(E1282,02_INDICADORES!$A$2:$A$42,0)),""))</f>
        <v/>
      </c>
      <c r="I1282" s="9"/>
      <c r="J1282" s="16" t="str">
        <f aca="false">IF(OR(I1282="",H1282=""),"",I1282*H1282)</f>
        <v/>
      </c>
      <c r="K1282" s="9"/>
      <c r="L1282" s="9"/>
      <c r="M1282" s="9"/>
    </row>
    <row r="1283" customFormat="false" ht="15" hidden="false" customHeight="false" outlineLevel="0" collapsed="false">
      <c r="A1283" s="9"/>
      <c r="B1283" s="9"/>
      <c r="C1283" s="11"/>
      <c r="D1283" s="9"/>
      <c r="E1283" s="9"/>
      <c r="F1283" s="22" t="str">
        <f aca="false">IF(E1283="","",IFERROR(INDEX(02_INDICADORES!$B$2:$B$42,MATCH(E1283,02_INDICADORES!$A$2:$A$42,0)),"ID?"))</f>
        <v/>
      </c>
      <c r="G1283" s="21" t="str">
        <f aca="false">IF(E1283="","",IFERROR(INDEX(02_INDICADORES!$C$2:$C$42,MATCH(E1283,02_INDICADORES!$A$2:$A$42,0)),"ID?"))</f>
        <v/>
      </c>
      <c r="H1283" s="22" t="str">
        <f aca="false">IF(E1283="","",IFERROR(INDEX(02_INDICADORES!$D$2:$D$42,MATCH(E1283,02_INDICADORES!$A$2:$A$42,0)),""))</f>
        <v/>
      </c>
      <c r="I1283" s="9"/>
      <c r="J1283" s="16" t="str">
        <f aca="false">IF(OR(I1283="",H1283=""),"",I1283*H1283)</f>
        <v/>
      </c>
      <c r="K1283" s="9"/>
      <c r="L1283" s="9"/>
      <c r="M1283" s="9"/>
    </row>
    <row r="1284" customFormat="false" ht="15" hidden="false" customHeight="false" outlineLevel="0" collapsed="false">
      <c r="A1284" s="9"/>
      <c r="B1284" s="9"/>
      <c r="C1284" s="11"/>
      <c r="D1284" s="9"/>
      <c r="E1284" s="9"/>
      <c r="F1284" s="22" t="str">
        <f aca="false">IF(E1284="","",IFERROR(INDEX(02_INDICADORES!$B$2:$B$42,MATCH(E1284,02_INDICADORES!$A$2:$A$42,0)),"ID?"))</f>
        <v/>
      </c>
      <c r="G1284" s="21" t="str">
        <f aca="false">IF(E1284="","",IFERROR(INDEX(02_INDICADORES!$C$2:$C$42,MATCH(E1284,02_INDICADORES!$A$2:$A$42,0)),"ID?"))</f>
        <v/>
      </c>
      <c r="H1284" s="22" t="str">
        <f aca="false">IF(E1284="","",IFERROR(INDEX(02_INDICADORES!$D$2:$D$42,MATCH(E1284,02_INDICADORES!$A$2:$A$42,0)),""))</f>
        <v/>
      </c>
      <c r="I1284" s="9"/>
      <c r="J1284" s="16" t="str">
        <f aca="false">IF(OR(I1284="",H1284=""),"",I1284*H1284)</f>
        <v/>
      </c>
      <c r="K1284" s="9"/>
      <c r="L1284" s="9"/>
      <c r="M1284" s="9"/>
    </row>
    <row r="1285" customFormat="false" ht="15" hidden="false" customHeight="false" outlineLevel="0" collapsed="false">
      <c r="A1285" s="9"/>
      <c r="B1285" s="9"/>
      <c r="C1285" s="11"/>
      <c r="D1285" s="9"/>
      <c r="E1285" s="9"/>
      <c r="F1285" s="22" t="str">
        <f aca="false">IF(E1285="","",IFERROR(INDEX(02_INDICADORES!$B$2:$B$42,MATCH(E1285,02_INDICADORES!$A$2:$A$42,0)),"ID?"))</f>
        <v/>
      </c>
      <c r="G1285" s="21" t="str">
        <f aca="false">IF(E1285="","",IFERROR(INDEX(02_INDICADORES!$C$2:$C$42,MATCH(E1285,02_INDICADORES!$A$2:$A$42,0)),"ID?"))</f>
        <v/>
      </c>
      <c r="H1285" s="22" t="str">
        <f aca="false">IF(E1285="","",IFERROR(INDEX(02_INDICADORES!$D$2:$D$42,MATCH(E1285,02_INDICADORES!$A$2:$A$42,0)),""))</f>
        <v/>
      </c>
      <c r="I1285" s="9"/>
      <c r="J1285" s="16" t="str">
        <f aca="false">IF(OR(I1285="",H1285=""),"",I1285*H1285)</f>
        <v/>
      </c>
      <c r="K1285" s="9"/>
      <c r="L1285" s="9"/>
      <c r="M1285" s="9"/>
    </row>
    <row r="1286" customFormat="false" ht="15" hidden="false" customHeight="false" outlineLevel="0" collapsed="false">
      <c r="A1286" s="9"/>
      <c r="B1286" s="9"/>
      <c r="C1286" s="11"/>
      <c r="D1286" s="9"/>
      <c r="E1286" s="9"/>
      <c r="F1286" s="22" t="str">
        <f aca="false">IF(E1286="","",IFERROR(INDEX(02_INDICADORES!$B$2:$B$42,MATCH(E1286,02_INDICADORES!$A$2:$A$42,0)),"ID?"))</f>
        <v/>
      </c>
      <c r="G1286" s="21" t="str">
        <f aca="false">IF(E1286="","",IFERROR(INDEX(02_INDICADORES!$C$2:$C$42,MATCH(E1286,02_INDICADORES!$A$2:$A$42,0)),"ID?"))</f>
        <v/>
      </c>
      <c r="H1286" s="22" t="str">
        <f aca="false">IF(E1286="","",IFERROR(INDEX(02_INDICADORES!$D$2:$D$42,MATCH(E1286,02_INDICADORES!$A$2:$A$42,0)),""))</f>
        <v/>
      </c>
      <c r="I1286" s="9"/>
      <c r="J1286" s="16" t="str">
        <f aca="false">IF(OR(I1286="",H1286=""),"",I1286*H1286)</f>
        <v/>
      </c>
      <c r="K1286" s="9"/>
      <c r="L1286" s="9"/>
      <c r="M1286" s="9"/>
    </row>
    <row r="1287" customFormat="false" ht="15" hidden="false" customHeight="false" outlineLevel="0" collapsed="false">
      <c r="A1287" s="9"/>
      <c r="B1287" s="9"/>
      <c r="C1287" s="11"/>
      <c r="D1287" s="9"/>
      <c r="E1287" s="9"/>
      <c r="F1287" s="22" t="str">
        <f aca="false">IF(E1287="","",IFERROR(INDEX(02_INDICADORES!$B$2:$B$42,MATCH(E1287,02_INDICADORES!$A$2:$A$42,0)),"ID?"))</f>
        <v/>
      </c>
      <c r="G1287" s="21" t="str">
        <f aca="false">IF(E1287="","",IFERROR(INDEX(02_INDICADORES!$C$2:$C$42,MATCH(E1287,02_INDICADORES!$A$2:$A$42,0)),"ID?"))</f>
        <v/>
      </c>
      <c r="H1287" s="22" t="str">
        <f aca="false">IF(E1287="","",IFERROR(INDEX(02_INDICADORES!$D$2:$D$42,MATCH(E1287,02_INDICADORES!$A$2:$A$42,0)),""))</f>
        <v/>
      </c>
      <c r="I1287" s="9"/>
      <c r="J1287" s="16" t="str">
        <f aca="false">IF(OR(I1287="",H1287=""),"",I1287*H1287)</f>
        <v/>
      </c>
      <c r="K1287" s="9"/>
      <c r="L1287" s="9"/>
      <c r="M1287" s="9"/>
    </row>
    <row r="1288" customFormat="false" ht="15" hidden="false" customHeight="false" outlineLevel="0" collapsed="false">
      <c r="A1288" s="9"/>
      <c r="B1288" s="9"/>
      <c r="C1288" s="11"/>
      <c r="D1288" s="9"/>
      <c r="E1288" s="9"/>
      <c r="F1288" s="22" t="str">
        <f aca="false">IF(E1288="","",IFERROR(INDEX(02_INDICADORES!$B$2:$B$42,MATCH(E1288,02_INDICADORES!$A$2:$A$42,0)),"ID?"))</f>
        <v/>
      </c>
      <c r="G1288" s="21" t="str">
        <f aca="false">IF(E1288="","",IFERROR(INDEX(02_INDICADORES!$C$2:$C$42,MATCH(E1288,02_INDICADORES!$A$2:$A$42,0)),"ID?"))</f>
        <v/>
      </c>
      <c r="H1288" s="22" t="str">
        <f aca="false">IF(E1288="","",IFERROR(INDEX(02_INDICADORES!$D$2:$D$42,MATCH(E1288,02_INDICADORES!$A$2:$A$42,0)),""))</f>
        <v/>
      </c>
      <c r="I1288" s="9"/>
      <c r="J1288" s="16" t="str">
        <f aca="false">IF(OR(I1288="",H1288=""),"",I1288*H1288)</f>
        <v/>
      </c>
      <c r="K1288" s="9"/>
      <c r="L1288" s="9"/>
      <c r="M1288" s="9"/>
    </row>
    <row r="1289" customFormat="false" ht="15" hidden="false" customHeight="false" outlineLevel="0" collapsed="false">
      <c r="A1289" s="9"/>
      <c r="B1289" s="9"/>
      <c r="C1289" s="11"/>
      <c r="D1289" s="9"/>
      <c r="E1289" s="9"/>
      <c r="F1289" s="22" t="str">
        <f aca="false">IF(E1289="","",IFERROR(INDEX(02_INDICADORES!$B$2:$B$42,MATCH(E1289,02_INDICADORES!$A$2:$A$42,0)),"ID?"))</f>
        <v/>
      </c>
      <c r="G1289" s="21" t="str">
        <f aca="false">IF(E1289="","",IFERROR(INDEX(02_INDICADORES!$C$2:$C$42,MATCH(E1289,02_INDICADORES!$A$2:$A$42,0)),"ID?"))</f>
        <v/>
      </c>
      <c r="H1289" s="22" t="str">
        <f aca="false">IF(E1289="","",IFERROR(INDEX(02_INDICADORES!$D$2:$D$42,MATCH(E1289,02_INDICADORES!$A$2:$A$42,0)),""))</f>
        <v/>
      </c>
      <c r="I1289" s="9"/>
      <c r="J1289" s="16" t="str">
        <f aca="false">IF(OR(I1289="",H1289=""),"",I1289*H1289)</f>
        <v/>
      </c>
      <c r="K1289" s="9"/>
      <c r="L1289" s="9"/>
      <c r="M1289" s="9"/>
    </row>
    <row r="1290" customFormat="false" ht="15" hidden="false" customHeight="false" outlineLevel="0" collapsed="false">
      <c r="A1290" s="9"/>
      <c r="B1290" s="9"/>
      <c r="C1290" s="11"/>
      <c r="D1290" s="9"/>
      <c r="E1290" s="9"/>
      <c r="F1290" s="22" t="str">
        <f aca="false">IF(E1290="","",IFERROR(INDEX(02_INDICADORES!$B$2:$B$42,MATCH(E1290,02_INDICADORES!$A$2:$A$42,0)),"ID?"))</f>
        <v/>
      </c>
      <c r="G1290" s="21" t="str">
        <f aca="false">IF(E1290="","",IFERROR(INDEX(02_INDICADORES!$C$2:$C$42,MATCH(E1290,02_INDICADORES!$A$2:$A$42,0)),"ID?"))</f>
        <v/>
      </c>
      <c r="H1290" s="22" t="str">
        <f aca="false">IF(E1290="","",IFERROR(INDEX(02_INDICADORES!$D$2:$D$42,MATCH(E1290,02_INDICADORES!$A$2:$A$42,0)),""))</f>
        <v/>
      </c>
      <c r="I1290" s="9"/>
      <c r="J1290" s="16" t="str">
        <f aca="false">IF(OR(I1290="",H1290=""),"",I1290*H1290)</f>
        <v/>
      </c>
      <c r="K1290" s="9"/>
      <c r="L1290" s="9"/>
      <c r="M1290" s="9"/>
    </row>
    <row r="1291" customFormat="false" ht="15" hidden="false" customHeight="false" outlineLevel="0" collapsed="false">
      <c r="A1291" s="9"/>
      <c r="B1291" s="9"/>
      <c r="C1291" s="11"/>
      <c r="D1291" s="9"/>
      <c r="E1291" s="9"/>
      <c r="F1291" s="22" t="str">
        <f aca="false">IF(E1291="","",IFERROR(INDEX(02_INDICADORES!$B$2:$B$42,MATCH(E1291,02_INDICADORES!$A$2:$A$42,0)),"ID?"))</f>
        <v/>
      </c>
      <c r="G1291" s="21" t="str">
        <f aca="false">IF(E1291="","",IFERROR(INDEX(02_INDICADORES!$C$2:$C$42,MATCH(E1291,02_INDICADORES!$A$2:$A$42,0)),"ID?"))</f>
        <v/>
      </c>
      <c r="H1291" s="22" t="str">
        <f aca="false">IF(E1291="","",IFERROR(INDEX(02_INDICADORES!$D$2:$D$42,MATCH(E1291,02_INDICADORES!$A$2:$A$42,0)),""))</f>
        <v/>
      </c>
      <c r="I1291" s="9"/>
      <c r="J1291" s="16" t="str">
        <f aca="false">IF(OR(I1291="",H1291=""),"",I1291*H1291)</f>
        <v/>
      </c>
      <c r="K1291" s="9"/>
      <c r="L1291" s="9"/>
      <c r="M1291" s="9"/>
    </row>
    <row r="1292" customFormat="false" ht="15" hidden="false" customHeight="false" outlineLevel="0" collapsed="false">
      <c r="A1292" s="9"/>
      <c r="B1292" s="9"/>
      <c r="C1292" s="11"/>
      <c r="D1292" s="9"/>
      <c r="E1292" s="9"/>
      <c r="F1292" s="22" t="str">
        <f aca="false">IF(E1292="","",IFERROR(INDEX(02_INDICADORES!$B$2:$B$42,MATCH(E1292,02_INDICADORES!$A$2:$A$42,0)),"ID?"))</f>
        <v/>
      </c>
      <c r="G1292" s="21" t="str">
        <f aca="false">IF(E1292="","",IFERROR(INDEX(02_INDICADORES!$C$2:$C$42,MATCH(E1292,02_INDICADORES!$A$2:$A$42,0)),"ID?"))</f>
        <v/>
      </c>
      <c r="H1292" s="22" t="str">
        <f aca="false">IF(E1292="","",IFERROR(INDEX(02_INDICADORES!$D$2:$D$42,MATCH(E1292,02_INDICADORES!$A$2:$A$42,0)),""))</f>
        <v/>
      </c>
      <c r="I1292" s="9"/>
      <c r="J1292" s="16" t="str">
        <f aca="false">IF(OR(I1292="",H1292=""),"",I1292*H1292)</f>
        <v/>
      </c>
      <c r="K1292" s="9"/>
      <c r="L1292" s="9"/>
      <c r="M1292" s="9"/>
    </row>
    <row r="1293" customFormat="false" ht="15" hidden="false" customHeight="false" outlineLevel="0" collapsed="false">
      <c r="A1293" s="9"/>
      <c r="B1293" s="9"/>
      <c r="C1293" s="11"/>
      <c r="D1293" s="9"/>
      <c r="E1293" s="9"/>
      <c r="F1293" s="22" t="str">
        <f aca="false">IF(E1293="","",IFERROR(INDEX(02_INDICADORES!$B$2:$B$42,MATCH(E1293,02_INDICADORES!$A$2:$A$42,0)),"ID?"))</f>
        <v/>
      </c>
      <c r="G1293" s="21" t="str">
        <f aca="false">IF(E1293="","",IFERROR(INDEX(02_INDICADORES!$C$2:$C$42,MATCH(E1293,02_INDICADORES!$A$2:$A$42,0)),"ID?"))</f>
        <v/>
      </c>
      <c r="H1293" s="22" t="str">
        <f aca="false">IF(E1293="","",IFERROR(INDEX(02_INDICADORES!$D$2:$D$42,MATCH(E1293,02_INDICADORES!$A$2:$A$42,0)),""))</f>
        <v/>
      </c>
      <c r="I1293" s="9"/>
      <c r="J1293" s="16" t="str">
        <f aca="false">IF(OR(I1293="",H1293=""),"",I1293*H1293)</f>
        <v/>
      </c>
      <c r="K1293" s="9"/>
      <c r="L1293" s="9"/>
      <c r="M1293" s="9"/>
    </row>
    <row r="1294" customFormat="false" ht="15" hidden="false" customHeight="false" outlineLevel="0" collapsed="false">
      <c r="A1294" s="9"/>
      <c r="B1294" s="9"/>
      <c r="C1294" s="11"/>
      <c r="D1294" s="9"/>
      <c r="E1294" s="9"/>
      <c r="F1294" s="22" t="str">
        <f aca="false">IF(E1294="","",IFERROR(INDEX(02_INDICADORES!$B$2:$B$42,MATCH(E1294,02_INDICADORES!$A$2:$A$42,0)),"ID?"))</f>
        <v/>
      </c>
      <c r="G1294" s="21" t="str">
        <f aca="false">IF(E1294="","",IFERROR(INDEX(02_INDICADORES!$C$2:$C$42,MATCH(E1294,02_INDICADORES!$A$2:$A$42,0)),"ID?"))</f>
        <v/>
      </c>
      <c r="H1294" s="22" t="str">
        <f aca="false">IF(E1294="","",IFERROR(INDEX(02_INDICADORES!$D$2:$D$42,MATCH(E1294,02_INDICADORES!$A$2:$A$42,0)),""))</f>
        <v/>
      </c>
      <c r="I1294" s="9"/>
      <c r="J1294" s="16" t="str">
        <f aca="false">IF(OR(I1294="",H1294=""),"",I1294*H1294)</f>
        <v/>
      </c>
      <c r="K1294" s="9"/>
      <c r="L1294" s="9"/>
      <c r="M1294" s="9"/>
    </row>
    <row r="1295" customFormat="false" ht="15" hidden="false" customHeight="false" outlineLevel="0" collapsed="false">
      <c r="A1295" s="9"/>
      <c r="B1295" s="9"/>
      <c r="C1295" s="11"/>
      <c r="D1295" s="9"/>
      <c r="E1295" s="9"/>
      <c r="F1295" s="22" t="str">
        <f aca="false">IF(E1295="","",IFERROR(INDEX(02_INDICADORES!$B$2:$B$42,MATCH(E1295,02_INDICADORES!$A$2:$A$42,0)),"ID?"))</f>
        <v/>
      </c>
      <c r="G1295" s="21" t="str">
        <f aca="false">IF(E1295="","",IFERROR(INDEX(02_INDICADORES!$C$2:$C$42,MATCH(E1295,02_INDICADORES!$A$2:$A$42,0)),"ID?"))</f>
        <v/>
      </c>
      <c r="H1295" s="22" t="str">
        <f aca="false">IF(E1295="","",IFERROR(INDEX(02_INDICADORES!$D$2:$D$42,MATCH(E1295,02_INDICADORES!$A$2:$A$42,0)),""))</f>
        <v/>
      </c>
      <c r="I1295" s="9"/>
      <c r="J1295" s="16" t="str">
        <f aca="false">IF(OR(I1295="",H1295=""),"",I1295*H1295)</f>
        <v/>
      </c>
      <c r="K1295" s="9"/>
      <c r="L1295" s="9"/>
      <c r="M1295" s="9"/>
    </row>
    <row r="1296" customFormat="false" ht="15" hidden="false" customHeight="false" outlineLevel="0" collapsed="false">
      <c r="A1296" s="9"/>
      <c r="B1296" s="9"/>
      <c r="C1296" s="11"/>
      <c r="D1296" s="9"/>
      <c r="E1296" s="9"/>
      <c r="F1296" s="22" t="str">
        <f aca="false">IF(E1296="","",IFERROR(INDEX(02_INDICADORES!$B$2:$B$42,MATCH(E1296,02_INDICADORES!$A$2:$A$42,0)),"ID?"))</f>
        <v/>
      </c>
      <c r="G1296" s="21" t="str">
        <f aca="false">IF(E1296="","",IFERROR(INDEX(02_INDICADORES!$C$2:$C$42,MATCH(E1296,02_INDICADORES!$A$2:$A$42,0)),"ID?"))</f>
        <v/>
      </c>
      <c r="H1296" s="22" t="str">
        <f aca="false">IF(E1296="","",IFERROR(INDEX(02_INDICADORES!$D$2:$D$42,MATCH(E1296,02_INDICADORES!$A$2:$A$42,0)),""))</f>
        <v/>
      </c>
      <c r="I1296" s="9"/>
      <c r="J1296" s="16" t="str">
        <f aca="false">IF(OR(I1296="",H1296=""),"",I1296*H1296)</f>
        <v/>
      </c>
      <c r="K1296" s="9"/>
      <c r="L1296" s="9"/>
      <c r="M1296" s="9"/>
    </row>
    <row r="1297" customFormat="false" ht="15" hidden="false" customHeight="false" outlineLevel="0" collapsed="false">
      <c r="A1297" s="9"/>
      <c r="B1297" s="9"/>
      <c r="C1297" s="11"/>
      <c r="D1297" s="9"/>
      <c r="E1297" s="9"/>
      <c r="F1297" s="22" t="str">
        <f aca="false">IF(E1297="","",IFERROR(INDEX(02_INDICADORES!$B$2:$B$42,MATCH(E1297,02_INDICADORES!$A$2:$A$42,0)),"ID?"))</f>
        <v/>
      </c>
      <c r="G1297" s="21" t="str">
        <f aca="false">IF(E1297="","",IFERROR(INDEX(02_INDICADORES!$C$2:$C$42,MATCH(E1297,02_INDICADORES!$A$2:$A$42,0)),"ID?"))</f>
        <v/>
      </c>
      <c r="H1297" s="22" t="str">
        <f aca="false">IF(E1297="","",IFERROR(INDEX(02_INDICADORES!$D$2:$D$42,MATCH(E1297,02_INDICADORES!$A$2:$A$42,0)),""))</f>
        <v/>
      </c>
      <c r="I1297" s="9"/>
      <c r="J1297" s="16" t="str">
        <f aca="false">IF(OR(I1297="",H1297=""),"",I1297*H1297)</f>
        <v/>
      </c>
      <c r="K1297" s="9"/>
      <c r="L1297" s="9"/>
      <c r="M1297" s="9"/>
    </row>
    <row r="1298" customFormat="false" ht="15" hidden="false" customHeight="false" outlineLevel="0" collapsed="false">
      <c r="A1298" s="9"/>
      <c r="B1298" s="9"/>
      <c r="C1298" s="11"/>
      <c r="D1298" s="9"/>
      <c r="E1298" s="9"/>
      <c r="F1298" s="22" t="str">
        <f aca="false">IF(E1298="","",IFERROR(INDEX(02_INDICADORES!$B$2:$B$42,MATCH(E1298,02_INDICADORES!$A$2:$A$42,0)),"ID?"))</f>
        <v/>
      </c>
      <c r="G1298" s="21" t="str">
        <f aca="false">IF(E1298="","",IFERROR(INDEX(02_INDICADORES!$C$2:$C$42,MATCH(E1298,02_INDICADORES!$A$2:$A$42,0)),"ID?"))</f>
        <v/>
      </c>
      <c r="H1298" s="22" t="str">
        <f aca="false">IF(E1298="","",IFERROR(INDEX(02_INDICADORES!$D$2:$D$42,MATCH(E1298,02_INDICADORES!$A$2:$A$42,0)),""))</f>
        <v/>
      </c>
      <c r="I1298" s="9"/>
      <c r="J1298" s="16" t="str">
        <f aca="false">IF(OR(I1298="",H1298=""),"",I1298*H1298)</f>
        <v/>
      </c>
      <c r="K1298" s="9"/>
      <c r="L1298" s="9"/>
      <c r="M1298" s="9"/>
    </row>
    <row r="1299" customFormat="false" ht="15" hidden="false" customHeight="false" outlineLevel="0" collapsed="false">
      <c r="A1299" s="9"/>
      <c r="B1299" s="9"/>
      <c r="C1299" s="11"/>
      <c r="D1299" s="9"/>
      <c r="E1299" s="9"/>
      <c r="F1299" s="22" t="str">
        <f aca="false">IF(E1299="","",IFERROR(INDEX(02_INDICADORES!$B$2:$B$42,MATCH(E1299,02_INDICADORES!$A$2:$A$42,0)),"ID?"))</f>
        <v/>
      </c>
      <c r="G1299" s="21" t="str">
        <f aca="false">IF(E1299="","",IFERROR(INDEX(02_INDICADORES!$C$2:$C$42,MATCH(E1299,02_INDICADORES!$A$2:$A$42,0)),"ID?"))</f>
        <v/>
      </c>
      <c r="H1299" s="22" t="str">
        <f aca="false">IF(E1299="","",IFERROR(INDEX(02_INDICADORES!$D$2:$D$42,MATCH(E1299,02_INDICADORES!$A$2:$A$42,0)),""))</f>
        <v/>
      </c>
      <c r="I1299" s="9"/>
      <c r="J1299" s="16" t="str">
        <f aca="false">IF(OR(I1299="",H1299=""),"",I1299*H1299)</f>
        <v/>
      </c>
      <c r="K1299" s="9"/>
      <c r="L1299" s="9"/>
      <c r="M1299" s="9"/>
    </row>
    <row r="1300" customFormat="false" ht="15" hidden="false" customHeight="false" outlineLevel="0" collapsed="false">
      <c r="A1300" s="9"/>
      <c r="B1300" s="9"/>
      <c r="C1300" s="11"/>
      <c r="D1300" s="9"/>
      <c r="E1300" s="9"/>
      <c r="F1300" s="22" t="str">
        <f aca="false">IF(E1300="","",IFERROR(INDEX(02_INDICADORES!$B$2:$B$42,MATCH(E1300,02_INDICADORES!$A$2:$A$42,0)),"ID?"))</f>
        <v/>
      </c>
      <c r="G1300" s="21" t="str">
        <f aca="false">IF(E1300="","",IFERROR(INDEX(02_INDICADORES!$C$2:$C$42,MATCH(E1300,02_INDICADORES!$A$2:$A$42,0)),"ID?"))</f>
        <v/>
      </c>
      <c r="H1300" s="22" t="str">
        <f aca="false">IF(E1300="","",IFERROR(INDEX(02_INDICADORES!$D$2:$D$42,MATCH(E1300,02_INDICADORES!$A$2:$A$42,0)),""))</f>
        <v/>
      </c>
      <c r="I1300" s="9"/>
      <c r="J1300" s="16" t="str">
        <f aca="false">IF(OR(I1300="",H1300=""),"",I1300*H1300)</f>
        <v/>
      </c>
      <c r="K1300" s="9"/>
      <c r="L1300" s="9"/>
      <c r="M1300" s="9"/>
    </row>
    <row r="1301" customFormat="false" ht="15" hidden="false" customHeight="false" outlineLevel="0" collapsed="false">
      <c r="A1301" s="9"/>
      <c r="B1301" s="9"/>
      <c r="C1301" s="11"/>
      <c r="D1301" s="9"/>
      <c r="E1301" s="9"/>
      <c r="F1301" s="22" t="str">
        <f aca="false">IF(E1301="","",IFERROR(INDEX(02_INDICADORES!$B$2:$B$42,MATCH(E1301,02_INDICADORES!$A$2:$A$42,0)),"ID?"))</f>
        <v/>
      </c>
      <c r="G1301" s="21" t="str">
        <f aca="false">IF(E1301="","",IFERROR(INDEX(02_INDICADORES!$C$2:$C$42,MATCH(E1301,02_INDICADORES!$A$2:$A$42,0)),"ID?"))</f>
        <v/>
      </c>
      <c r="H1301" s="22" t="str">
        <f aca="false">IF(E1301="","",IFERROR(INDEX(02_INDICADORES!$D$2:$D$42,MATCH(E1301,02_INDICADORES!$A$2:$A$42,0)),""))</f>
        <v/>
      </c>
      <c r="I1301" s="9"/>
      <c r="J1301" s="16" t="str">
        <f aca="false">IF(OR(I1301="",H1301=""),"",I1301*H1301)</f>
        <v/>
      </c>
      <c r="K1301" s="9"/>
      <c r="L1301" s="9"/>
      <c r="M1301" s="9"/>
    </row>
    <row r="1302" customFormat="false" ht="15" hidden="false" customHeight="false" outlineLevel="0" collapsed="false">
      <c r="A1302" s="9"/>
      <c r="B1302" s="9"/>
      <c r="C1302" s="11"/>
      <c r="D1302" s="9"/>
      <c r="E1302" s="9"/>
      <c r="F1302" s="22" t="str">
        <f aca="false">IF(E1302="","",IFERROR(INDEX(02_INDICADORES!$B$2:$B$42,MATCH(E1302,02_INDICADORES!$A$2:$A$42,0)),"ID?"))</f>
        <v/>
      </c>
      <c r="G1302" s="21" t="str">
        <f aca="false">IF(E1302="","",IFERROR(INDEX(02_INDICADORES!$C$2:$C$42,MATCH(E1302,02_INDICADORES!$A$2:$A$42,0)),"ID?"))</f>
        <v/>
      </c>
      <c r="H1302" s="22" t="str">
        <f aca="false">IF(E1302="","",IFERROR(INDEX(02_INDICADORES!$D$2:$D$42,MATCH(E1302,02_INDICADORES!$A$2:$A$42,0)),""))</f>
        <v/>
      </c>
      <c r="I1302" s="9"/>
      <c r="J1302" s="16" t="str">
        <f aca="false">IF(OR(I1302="",H1302=""),"",I1302*H1302)</f>
        <v/>
      </c>
      <c r="K1302" s="9"/>
      <c r="L1302" s="9"/>
      <c r="M1302" s="9"/>
    </row>
    <row r="1303" customFormat="false" ht="15" hidden="false" customHeight="false" outlineLevel="0" collapsed="false">
      <c r="A1303" s="9"/>
      <c r="B1303" s="9"/>
      <c r="C1303" s="11"/>
      <c r="D1303" s="9"/>
      <c r="E1303" s="9"/>
      <c r="F1303" s="22" t="str">
        <f aca="false">IF(E1303="","",IFERROR(INDEX(02_INDICADORES!$B$2:$B$42,MATCH(E1303,02_INDICADORES!$A$2:$A$42,0)),"ID?"))</f>
        <v/>
      </c>
      <c r="G1303" s="21" t="str">
        <f aca="false">IF(E1303="","",IFERROR(INDEX(02_INDICADORES!$C$2:$C$42,MATCH(E1303,02_INDICADORES!$A$2:$A$42,0)),"ID?"))</f>
        <v/>
      </c>
      <c r="H1303" s="22" t="str">
        <f aca="false">IF(E1303="","",IFERROR(INDEX(02_INDICADORES!$D$2:$D$42,MATCH(E1303,02_INDICADORES!$A$2:$A$42,0)),""))</f>
        <v/>
      </c>
      <c r="I1303" s="9"/>
      <c r="J1303" s="16" t="str">
        <f aca="false">IF(OR(I1303="",H1303=""),"",I1303*H1303)</f>
        <v/>
      </c>
      <c r="K1303" s="9"/>
      <c r="L1303" s="9"/>
      <c r="M1303" s="9"/>
    </row>
    <row r="1304" customFormat="false" ht="15" hidden="false" customHeight="false" outlineLevel="0" collapsed="false">
      <c r="A1304" s="9"/>
      <c r="B1304" s="9"/>
      <c r="C1304" s="11"/>
      <c r="D1304" s="9"/>
      <c r="E1304" s="9"/>
      <c r="F1304" s="22" t="str">
        <f aca="false">IF(E1304="","",IFERROR(INDEX(02_INDICADORES!$B$2:$B$42,MATCH(E1304,02_INDICADORES!$A$2:$A$42,0)),"ID?"))</f>
        <v/>
      </c>
      <c r="G1304" s="21" t="str">
        <f aca="false">IF(E1304="","",IFERROR(INDEX(02_INDICADORES!$C$2:$C$42,MATCH(E1304,02_INDICADORES!$A$2:$A$42,0)),"ID?"))</f>
        <v/>
      </c>
      <c r="H1304" s="22" t="str">
        <f aca="false">IF(E1304="","",IFERROR(INDEX(02_INDICADORES!$D$2:$D$42,MATCH(E1304,02_INDICADORES!$A$2:$A$42,0)),""))</f>
        <v/>
      </c>
      <c r="I1304" s="9"/>
      <c r="J1304" s="16" t="str">
        <f aca="false">IF(OR(I1304="",H1304=""),"",I1304*H1304)</f>
        <v/>
      </c>
      <c r="K1304" s="9"/>
      <c r="L1304" s="9"/>
      <c r="M1304" s="9"/>
    </row>
    <row r="1305" customFormat="false" ht="15" hidden="false" customHeight="false" outlineLevel="0" collapsed="false">
      <c r="A1305" s="9"/>
      <c r="B1305" s="9"/>
      <c r="C1305" s="11"/>
      <c r="D1305" s="9"/>
      <c r="E1305" s="9"/>
      <c r="F1305" s="22" t="str">
        <f aca="false">IF(E1305="","",IFERROR(INDEX(02_INDICADORES!$B$2:$B$42,MATCH(E1305,02_INDICADORES!$A$2:$A$42,0)),"ID?"))</f>
        <v/>
      </c>
      <c r="G1305" s="21" t="str">
        <f aca="false">IF(E1305="","",IFERROR(INDEX(02_INDICADORES!$C$2:$C$42,MATCH(E1305,02_INDICADORES!$A$2:$A$42,0)),"ID?"))</f>
        <v/>
      </c>
      <c r="H1305" s="22" t="str">
        <f aca="false">IF(E1305="","",IFERROR(INDEX(02_INDICADORES!$D$2:$D$42,MATCH(E1305,02_INDICADORES!$A$2:$A$42,0)),""))</f>
        <v/>
      </c>
      <c r="I1305" s="9"/>
      <c r="J1305" s="16" t="str">
        <f aca="false">IF(OR(I1305="",H1305=""),"",I1305*H1305)</f>
        <v/>
      </c>
      <c r="K1305" s="9"/>
      <c r="L1305" s="9"/>
      <c r="M1305" s="9"/>
    </row>
    <row r="1306" customFormat="false" ht="15" hidden="false" customHeight="false" outlineLevel="0" collapsed="false">
      <c r="A1306" s="9"/>
      <c r="B1306" s="9"/>
      <c r="C1306" s="11"/>
      <c r="D1306" s="9"/>
      <c r="E1306" s="9"/>
      <c r="F1306" s="22" t="str">
        <f aca="false">IF(E1306="","",IFERROR(INDEX(02_INDICADORES!$B$2:$B$42,MATCH(E1306,02_INDICADORES!$A$2:$A$42,0)),"ID?"))</f>
        <v/>
      </c>
      <c r="G1306" s="21" t="str">
        <f aca="false">IF(E1306="","",IFERROR(INDEX(02_INDICADORES!$C$2:$C$42,MATCH(E1306,02_INDICADORES!$A$2:$A$42,0)),"ID?"))</f>
        <v/>
      </c>
      <c r="H1306" s="22" t="str">
        <f aca="false">IF(E1306="","",IFERROR(INDEX(02_INDICADORES!$D$2:$D$42,MATCH(E1306,02_INDICADORES!$A$2:$A$42,0)),""))</f>
        <v/>
      </c>
      <c r="I1306" s="9"/>
      <c r="J1306" s="16" t="str">
        <f aca="false">IF(OR(I1306="",H1306=""),"",I1306*H1306)</f>
        <v/>
      </c>
      <c r="K1306" s="9"/>
      <c r="L1306" s="9"/>
      <c r="M1306" s="9"/>
    </row>
    <row r="1307" customFormat="false" ht="15" hidden="false" customHeight="false" outlineLevel="0" collapsed="false">
      <c r="A1307" s="9"/>
      <c r="B1307" s="9"/>
      <c r="C1307" s="11"/>
      <c r="D1307" s="9"/>
      <c r="E1307" s="9"/>
      <c r="F1307" s="22" t="str">
        <f aca="false">IF(E1307="","",IFERROR(INDEX(02_INDICADORES!$B$2:$B$42,MATCH(E1307,02_INDICADORES!$A$2:$A$42,0)),"ID?"))</f>
        <v/>
      </c>
      <c r="G1307" s="21" t="str">
        <f aca="false">IF(E1307="","",IFERROR(INDEX(02_INDICADORES!$C$2:$C$42,MATCH(E1307,02_INDICADORES!$A$2:$A$42,0)),"ID?"))</f>
        <v/>
      </c>
      <c r="H1307" s="22" t="str">
        <f aca="false">IF(E1307="","",IFERROR(INDEX(02_INDICADORES!$D$2:$D$42,MATCH(E1307,02_INDICADORES!$A$2:$A$42,0)),""))</f>
        <v/>
      </c>
      <c r="I1307" s="9"/>
      <c r="J1307" s="16" t="str">
        <f aca="false">IF(OR(I1307="",H1307=""),"",I1307*H1307)</f>
        <v/>
      </c>
      <c r="K1307" s="9"/>
      <c r="L1307" s="9"/>
      <c r="M1307" s="9"/>
    </row>
    <row r="1308" customFormat="false" ht="15" hidden="false" customHeight="false" outlineLevel="0" collapsed="false">
      <c r="A1308" s="9"/>
      <c r="B1308" s="9"/>
      <c r="C1308" s="11"/>
      <c r="D1308" s="9"/>
      <c r="E1308" s="9"/>
      <c r="F1308" s="22" t="str">
        <f aca="false">IF(E1308="","",IFERROR(INDEX(02_INDICADORES!$B$2:$B$42,MATCH(E1308,02_INDICADORES!$A$2:$A$42,0)),"ID?"))</f>
        <v/>
      </c>
      <c r="G1308" s="21" t="str">
        <f aca="false">IF(E1308="","",IFERROR(INDEX(02_INDICADORES!$C$2:$C$42,MATCH(E1308,02_INDICADORES!$A$2:$A$42,0)),"ID?"))</f>
        <v/>
      </c>
      <c r="H1308" s="22" t="str">
        <f aca="false">IF(E1308="","",IFERROR(INDEX(02_INDICADORES!$D$2:$D$42,MATCH(E1308,02_INDICADORES!$A$2:$A$42,0)),""))</f>
        <v/>
      </c>
      <c r="I1308" s="9"/>
      <c r="J1308" s="16" t="str">
        <f aca="false">IF(OR(I1308="",H1308=""),"",I1308*H1308)</f>
        <v/>
      </c>
      <c r="K1308" s="9"/>
      <c r="L1308" s="9"/>
      <c r="M1308" s="9"/>
    </row>
    <row r="1309" customFormat="false" ht="15" hidden="false" customHeight="false" outlineLevel="0" collapsed="false">
      <c r="A1309" s="9"/>
      <c r="B1309" s="9"/>
      <c r="C1309" s="11"/>
      <c r="D1309" s="9"/>
      <c r="E1309" s="9"/>
      <c r="F1309" s="22" t="str">
        <f aca="false">IF(E1309="","",IFERROR(INDEX(02_INDICADORES!$B$2:$B$42,MATCH(E1309,02_INDICADORES!$A$2:$A$42,0)),"ID?"))</f>
        <v/>
      </c>
      <c r="G1309" s="21" t="str">
        <f aca="false">IF(E1309="","",IFERROR(INDEX(02_INDICADORES!$C$2:$C$42,MATCH(E1309,02_INDICADORES!$A$2:$A$42,0)),"ID?"))</f>
        <v/>
      </c>
      <c r="H1309" s="22" t="str">
        <f aca="false">IF(E1309="","",IFERROR(INDEX(02_INDICADORES!$D$2:$D$42,MATCH(E1309,02_INDICADORES!$A$2:$A$42,0)),""))</f>
        <v/>
      </c>
      <c r="I1309" s="9"/>
      <c r="J1309" s="16" t="str">
        <f aca="false">IF(OR(I1309="",H1309=""),"",I1309*H1309)</f>
        <v/>
      </c>
      <c r="K1309" s="9"/>
      <c r="L1309" s="9"/>
      <c r="M1309" s="9"/>
    </row>
    <row r="1310" customFormat="false" ht="15" hidden="false" customHeight="false" outlineLevel="0" collapsed="false">
      <c r="A1310" s="9"/>
      <c r="B1310" s="9"/>
      <c r="C1310" s="11"/>
      <c r="D1310" s="9"/>
      <c r="E1310" s="9"/>
      <c r="F1310" s="22" t="str">
        <f aca="false">IF(E1310="","",IFERROR(INDEX(02_INDICADORES!$B$2:$B$42,MATCH(E1310,02_INDICADORES!$A$2:$A$42,0)),"ID?"))</f>
        <v/>
      </c>
      <c r="G1310" s="21" t="str">
        <f aca="false">IF(E1310="","",IFERROR(INDEX(02_INDICADORES!$C$2:$C$42,MATCH(E1310,02_INDICADORES!$A$2:$A$42,0)),"ID?"))</f>
        <v/>
      </c>
      <c r="H1310" s="22" t="str">
        <f aca="false">IF(E1310="","",IFERROR(INDEX(02_INDICADORES!$D$2:$D$42,MATCH(E1310,02_INDICADORES!$A$2:$A$42,0)),""))</f>
        <v/>
      </c>
      <c r="I1310" s="9"/>
      <c r="J1310" s="16" t="str">
        <f aca="false">IF(OR(I1310="",H1310=""),"",I1310*H1310)</f>
        <v/>
      </c>
      <c r="K1310" s="9"/>
      <c r="L1310" s="9"/>
      <c r="M1310" s="9"/>
    </row>
    <row r="1311" customFormat="false" ht="15" hidden="false" customHeight="false" outlineLevel="0" collapsed="false">
      <c r="A1311" s="9"/>
      <c r="B1311" s="9"/>
      <c r="C1311" s="11"/>
      <c r="D1311" s="9"/>
      <c r="E1311" s="9"/>
      <c r="F1311" s="22" t="str">
        <f aca="false">IF(E1311="","",IFERROR(INDEX(02_INDICADORES!$B$2:$B$42,MATCH(E1311,02_INDICADORES!$A$2:$A$42,0)),"ID?"))</f>
        <v/>
      </c>
      <c r="G1311" s="21" t="str">
        <f aca="false">IF(E1311="","",IFERROR(INDEX(02_INDICADORES!$C$2:$C$42,MATCH(E1311,02_INDICADORES!$A$2:$A$42,0)),"ID?"))</f>
        <v/>
      </c>
      <c r="H1311" s="22" t="str">
        <f aca="false">IF(E1311="","",IFERROR(INDEX(02_INDICADORES!$D$2:$D$42,MATCH(E1311,02_INDICADORES!$A$2:$A$42,0)),""))</f>
        <v/>
      </c>
      <c r="I1311" s="9"/>
      <c r="J1311" s="16" t="str">
        <f aca="false">IF(OR(I1311="",H1311=""),"",I1311*H1311)</f>
        <v/>
      </c>
      <c r="K1311" s="9"/>
      <c r="L1311" s="9"/>
      <c r="M1311" s="9"/>
    </row>
    <row r="1312" customFormat="false" ht="15" hidden="false" customHeight="false" outlineLevel="0" collapsed="false">
      <c r="A1312" s="9"/>
      <c r="B1312" s="9"/>
      <c r="C1312" s="11"/>
      <c r="D1312" s="9"/>
      <c r="E1312" s="9"/>
      <c r="F1312" s="22" t="str">
        <f aca="false">IF(E1312="","",IFERROR(INDEX(02_INDICADORES!$B$2:$B$42,MATCH(E1312,02_INDICADORES!$A$2:$A$42,0)),"ID?"))</f>
        <v/>
      </c>
      <c r="G1312" s="21" t="str">
        <f aca="false">IF(E1312="","",IFERROR(INDEX(02_INDICADORES!$C$2:$C$42,MATCH(E1312,02_INDICADORES!$A$2:$A$42,0)),"ID?"))</f>
        <v/>
      </c>
      <c r="H1312" s="22" t="str">
        <f aca="false">IF(E1312="","",IFERROR(INDEX(02_INDICADORES!$D$2:$D$42,MATCH(E1312,02_INDICADORES!$A$2:$A$42,0)),""))</f>
        <v/>
      </c>
      <c r="I1312" s="9"/>
      <c r="J1312" s="16" t="str">
        <f aca="false">IF(OR(I1312="",H1312=""),"",I1312*H1312)</f>
        <v/>
      </c>
      <c r="K1312" s="9"/>
      <c r="L1312" s="9"/>
      <c r="M1312" s="9"/>
    </row>
    <row r="1313" customFormat="false" ht="15" hidden="false" customHeight="false" outlineLevel="0" collapsed="false">
      <c r="A1313" s="9"/>
      <c r="B1313" s="9"/>
      <c r="C1313" s="11"/>
      <c r="D1313" s="9"/>
      <c r="E1313" s="9"/>
      <c r="F1313" s="22" t="str">
        <f aca="false">IF(E1313="","",IFERROR(INDEX(02_INDICADORES!$B$2:$B$42,MATCH(E1313,02_INDICADORES!$A$2:$A$42,0)),"ID?"))</f>
        <v/>
      </c>
      <c r="G1313" s="21" t="str">
        <f aca="false">IF(E1313="","",IFERROR(INDEX(02_INDICADORES!$C$2:$C$42,MATCH(E1313,02_INDICADORES!$A$2:$A$42,0)),"ID?"))</f>
        <v/>
      </c>
      <c r="H1313" s="22" t="str">
        <f aca="false">IF(E1313="","",IFERROR(INDEX(02_INDICADORES!$D$2:$D$42,MATCH(E1313,02_INDICADORES!$A$2:$A$42,0)),""))</f>
        <v/>
      </c>
      <c r="I1313" s="9"/>
      <c r="J1313" s="16" t="str">
        <f aca="false">IF(OR(I1313="",H1313=""),"",I1313*H1313)</f>
        <v/>
      </c>
      <c r="K1313" s="9"/>
      <c r="L1313" s="9"/>
      <c r="M1313" s="9"/>
    </row>
    <row r="1314" customFormat="false" ht="15" hidden="false" customHeight="false" outlineLevel="0" collapsed="false">
      <c r="A1314" s="9"/>
      <c r="B1314" s="9"/>
      <c r="C1314" s="11"/>
      <c r="D1314" s="9"/>
      <c r="E1314" s="9"/>
      <c r="F1314" s="22" t="str">
        <f aca="false">IF(E1314="","",IFERROR(INDEX(02_INDICADORES!$B$2:$B$42,MATCH(E1314,02_INDICADORES!$A$2:$A$42,0)),"ID?"))</f>
        <v/>
      </c>
      <c r="G1314" s="21" t="str">
        <f aca="false">IF(E1314="","",IFERROR(INDEX(02_INDICADORES!$C$2:$C$42,MATCH(E1314,02_INDICADORES!$A$2:$A$42,0)),"ID?"))</f>
        <v/>
      </c>
      <c r="H1314" s="22" t="str">
        <f aca="false">IF(E1314="","",IFERROR(INDEX(02_INDICADORES!$D$2:$D$42,MATCH(E1314,02_INDICADORES!$A$2:$A$42,0)),""))</f>
        <v/>
      </c>
      <c r="I1314" s="9"/>
      <c r="J1314" s="16" t="str">
        <f aca="false">IF(OR(I1314="",H1314=""),"",I1314*H1314)</f>
        <v/>
      </c>
      <c r="K1314" s="9"/>
      <c r="L1314" s="9"/>
      <c r="M1314" s="9"/>
    </row>
    <row r="1315" customFormat="false" ht="15" hidden="false" customHeight="false" outlineLevel="0" collapsed="false">
      <c r="A1315" s="9"/>
      <c r="B1315" s="9"/>
      <c r="C1315" s="11"/>
      <c r="D1315" s="9"/>
      <c r="E1315" s="9"/>
      <c r="F1315" s="22" t="str">
        <f aca="false">IF(E1315="","",IFERROR(INDEX(02_INDICADORES!$B$2:$B$42,MATCH(E1315,02_INDICADORES!$A$2:$A$42,0)),"ID?"))</f>
        <v/>
      </c>
      <c r="G1315" s="21" t="str">
        <f aca="false">IF(E1315="","",IFERROR(INDEX(02_INDICADORES!$C$2:$C$42,MATCH(E1315,02_INDICADORES!$A$2:$A$42,0)),"ID?"))</f>
        <v/>
      </c>
      <c r="H1315" s="22" t="str">
        <f aca="false">IF(E1315="","",IFERROR(INDEX(02_INDICADORES!$D$2:$D$42,MATCH(E1315,02_INDICADORES!$A$2:$A$42,0)),""))</f>
        <v/>
      </c>
      <c r="I1315" s="9"/>
      <c r="J1315" s="16" t="str">
        <f aca="false">IF(OR(I1315="",H1315=""),"",I1315*H1315)</f>
        <v/>
      </c>
      <c r="K1315" s="9"/>
      <c r="L1315" s="9"/>
      <c r="M1315" s="9"/>
    </row>
    <row r="1316" customFormat="false" ht="15" hidden="false" customHeight="false" outlineLevel="0" collapsed="false">
      <c r="A1316" s="9"/>
      <c r="B1316" s="9"/>
      <c r="C1316" s="11"/>
      <c r="D1316" s="9"/>
      <c r="E1316" s="9"/>
      <c r="F1316" s="22" t="str">
        <f aca="false">IF(E1316="","",IFERROR(INDEX(02_INDICADORES!$B$2:$B$42,MATCH(E1316,02_INDICADORES!$A$2:$A$42,0)),"ID?"))</f>
        <v/>
      </c>
      <c r="G1316" s="21" t="str">
        <f aca="false">IF(E1316="","",IFERROR(INDEX(02_INDICADORES!$C$2:$C$42,MATCH(E1316,02_INDICADORES!$A$2:$A$42,0)),"ID?"))</f>
        <v/>
      </c>
      <c r="H1316" s="22" t="str">
        <f aca="false">IF(E1316="","",IFERROR(INDEX(02_INDICADORES!$D$2:$D$42,MATCH(E1316,02_INDICADORES!$A$2:$A$42,0)),""))</f>
        <v/>
      </c>
      <c r="I1316" s="9"/>
      <c r="J1316" s="16" t="str">
        <f aca="false">IF(OR(I1316="",H1316=""),"",I1316*H1316)</f>
        <v/>
      </c>
      <c r="K1316" s="9"/>
      <c r="L1316" s="9"/>
      <c r="M1316" s="9"/>
    </row>
    <row r="1317" customFormat="false" ht="15" hidden="false" customHeight="false" outlineLevel="0" collapsed="false">
      <c r="A1317" s="9"/>
      <c r="B1317" s="9"/>
      <c r="C1317" s="11"/>
      <c r="D1317" s="9"/>
      <c r="E1317" s="9"/>
      <c r="F1317" s="22" t="str">
        <f aca="false">IF(E1317="","",IFERROR(INDEX(02_INDICADORES!$B$2:$B$42,MATCH(E1317,02_INDICADORES!$A$2:$A$42,0)),"ID?"))</f>
        <v/>
      </c>
      <c r="G1317" s="21" t="str">
        <f aca="false">IF(E1317="","",IFERROR(INDEX(02_INDICADORES!$C$2:$C$42,MATCH(E1317,02_INDICADORES!$A$2:$A$42,0)),"ID?"))</f>
        <v/>
      </c>
      <c r="H1317" s="22" t="str">
        <f aca="false">IF(E1317="","",IFERROR(INDEX(02_INDICADORES!$D$2:$D$42,MATCH(E1317,02_INDICADORES!$A$2:$A$42,0)),""))</f>
        <v/>
      </c>
      <c r="I1317" s="9"/>
      <c r="J1317" s="16" t="str">
        <f aca="false">IF(OR(I1317="",H1317=""),"",I1317*H1317)</f>
        <v/>
      </c>
      <c r="K1317" s="9"/>
      <c r="L1317" s="9"/>
      <c r="M1317" s="9"/>
    </row>
    <row r="1318" customFormat="false" ht="15" hidden="false" customHeight="false" outlineLevel="0" collapsed="false">
      <c r="A1318" s="9"/>
      <c r="B1318" s="9"/>
      <c r="C1318" s="11"/>
      <c r="D1318" s="9"/>
      <c r="E1318" s="9"/>
      <c r="F1318" s="22" t="str">
        <f aca="false">IF(E1318="","",IFERROR(INDEX(02_INDICADORES!$B$2:$B$42,MATCH(E1318,02_INDICADORES!$A$2:$A$42,0)),"ID?"))</f>
        <v/>
      </c>
      <c r="G1318" s="21" t="str">
        <f aca="false">IF(E1318="","",IFERROR(INDEX(02_INDICADORES!$C$2:$C$42,MATCH(E1318,02_INDICADORES!$A$2:$A$42,0)),"ID?"))</f>
        <v/>
      </c>
      <c r="H1318" s="22" t="str">
        <f aca="false">IF(E1318="","",IFERROR(INDEX(02_INDICADORES!$D$2:$D$42,MATCH(E1318,02_INDICADORES!$A$2:$A$42,0)),""))</f>
        <v/>
      </c>
      <c r="I1318" s="9"/>
      <c r="J1318" s="16" t="str">
        <f aca="false">IF(OR(I1318="",H1318=""),"",I1318*H1318)</f>
        <v/>
      </c>
      <c r="K1318" s="9"/>
      <c r="L1318" s="9"/>
      <c r="M1318" s="9"/>
    </row>
    <row r="1319" customFormat="false" ht="15" hidden="false" customHeight="false" outlineLevel="0" collapsed="false">
      <c r="A1319" s="9"/>
      <c r="B1319" s="9"/>
      <c r="C1319" s="11"/>
      <c r="D1319" s="9"/>
      <c r="E1319" s="9"/>
      <c r="F1319" s="22" t="str">
        <f aca="false">IF(E1319="","",IFERROR(INDEX(02_INDICADORES!$B$2:$B$42,MATCH(E1319,02_INDICADORES!$A$2:$A$42,0)),"ID?"))</f>
        <v/>
      </c>
      <c r="G1319" s="21" t="str">
        <f aca="false">IF(E1319="","",IFERROR(INDEX(02_INDICADORES!$C$2:$C$42,MATCH(E1319,02_INDICADORES!$A$2:$A$42,0)),"ID?"))</f>
        <v/>
      </c>
      <c r="H1319" s="22" t="str">
        <f aca="false">IF(E1319="","",IFERROR(INDEX(02_INDICADORES!$D$2:$D$42,MATCH(E1319,02_INDICADORES!$A$2:$A$42,0)),""))</f>
        <v/>
      </c>
      <c r="I1319" s="9"/>
      <c r="J1319" s="16" t="str">
        <f aca="false">IF(OR(I1319="",H1319=""),"",I1319*H1319)</f>
        <v/>
      </c>
      <c r="K1319" s="9"/>
      <c r="L1319" s="9"/>
      <c r="M1319" s="9"/>
    </row>
    <row r="1320" customFormat="false" ht="15" hidden="false" customHeight="false" outlineLevel="0" collapsed="false">
      <c r="A1320" s="9"/>
      <c r="B1320" s="9"/>
      <c r="C1320" s="11"/>
      <c r="D1320" s="9"/>
      <c r="E1320" s="9"/>
      <c r="F1320" s="22" t="str">
        <f aca="false">IF(E1320="","",IFERROR(INDEX(02_INDICADORES!$B$2:$B$42,MATCH(E1320,02_INDICADORES!$A$2:$A$42,0)),"ID?"))</f>
        <v/>
      </c>
      <c r="G1320" s="21" t="str">
        <f aca="false">IF(E1320="","",IFERROR(INDEX(02_INDICADORES!$C$2:$C$42,MATCH(E1320,02_INDICADORES!$A$2:$A$42,0)),"ID?"))</f>
        <v/>
      </c>
      <c r="H1320" s="22" t="str">
        <f aca="false">IF(E1320="","",IFERROR(INDEX(02_INDICADORES!$D$2:$D$42,MATCH(E1320,02_INDICADORES!$A$2:$A$42,0)),""))</f>
        <v/>
      </c>
      <c r="I1320" s="9"/>
      <c r="J1320" s="16" t="str">
        <f aca="false">IF(OR(I1320="",H1320=""),"",I1320*H1320)</f>
        <v/>
      </c>
      <c r="K1320" s="9"/>
      <c r="L1320" s="9"/>
      <c r="M1320" s="9"/>
    </row>
    <row r="1321" customFormat="false" ht="15" hidden="false" customHeight="false" outlineLevel="0" collapsed="false">
      <c r="A1321" s="9"/>
      <c r="B1321" s="9"/>
      <c r="C1321" s="11"/>
      <c r="D1321" s="9"/>
      <c r="E1321" s="9"/>
      <c r="F1321" s="22" t="str">
        <f aca="false">IF(E1321="","",IFERROR(INDEX(02_INDICADORES!$B$2:$B$42,MATCH(E1321,02_INDICADORES!$A$2:$A$42,0)),"ID?"))</f>
        <v/>
      </c>
      <c r="G1321" s="21" t="str">
        <f aca="false">IF(E1321="","",IFERROR(INDEX(02_INDICADORES!$C$2:$C$42,MATCH(E1321,02_INDICADORES!$A$2:$A$42,0)),"ID?"))</f>
        <v/>
      </c>
      <c r="H1321" s="22" t="str">
        <f aca="false">IF(E1321="","",IFERROR(INDEX(02_INDICADORES!$D$2:$D$42,MATCH(E1321,02_INDICADORES!$A$2:$A$42,0)),""))</f>
        <v/>
      </c>
      <c r="I1321" s="9"/>
      <c r="J1321" s="16" t="str">
        <f aca="false">IF(OR(I1321="",H1321=""),"",I1321*H1321)</f>
        <v/>
      </c>
      <c r="K1321" s="9"/>
      <c r="L1321" s="9"/>
      <c r="M1321" s="9"/>
    </row>
    <row r="1322" customFormat="false" ht="15" hidden="false" customHeight="false" outlineLevel="0" collapsed="false">
      <c r="A1322" s="9"/>
      <c r="B1322" s="9"/>
      <c r="C1322" s="11"/>
      <c r="D1322" s="9"/>
      <c r="E1322" s="9"/>
      <c r="F1322" s="22" t="str">
        <f aca="false">IF(E1322="","",IFERROR(INDEX(02_INDICADORES!$B$2:$B$42,MATCH(E1322,02_INDICADORES!$A$2:$A$42,0)),"ID?"))</f>
        <v/>
      </c>
      <c r="G1322" s="21" t="str">
        <f aca="false">IF(E1322="","",IFERROR(INDEX(02_INDICADORES!$C$2:$C$42,MATCH(E1322,02_INDICADORES!$A$2:$A$42,0)),"ID?"))</f>
        <v/>
      </c>
      <c r="H1322" s="22" t="str">
        <f aca="false">IF(E1322="","",IFERROR(INDEX(02_INDICADORES!$D$2:$D$42,MATCH(E1322,02_INDICADORES!$A$2:$A$42,0)),""))</f>
        <v/>
      </c>
      <c r="I1322" s="9"/>
      <c r="J1322" s="16" t="str">
        <f aca="false">IF(OR(I1322="",H1322=""),"",I1322*H1322)</f>
        <v/>
      </c>
      <c r="K1322" s="9"/>
      <c r="L1322" s="9"/>
      <c r="M1322" s="9"/>
    </row>
    <row r="1323" customFormat="false" ht="15" hidden="false" customHeight="false" outlineLevel="0" collapsed="false">
      <c r="A1323" s="9"/>
      <c r="B1323" s="9"/>
      <c r="C1323" s="11"/>
      <c r="D1323" s="9"/>
      <c r="E1323" s="9"/>
      <c r="F1323" s="22" t="str">
        <f aca="false">IF(E1323="","",IFERROR(INDEX(02_INDICADORES!$B$2:$B$42,MATCH(E1323,02_INDICADORES!$A$2:$A$42,0)),"ID?"))</f>
        <v/>
      </c>
      <c r="G1323" s="21" t="str">
        <f aca="false">IF(E1323="","",IFERROR(INDEX(02_INDICADORES!$C$2:$C$42,MATCH(E1323,02_INDICADORES!$A$2:$A$42,0)),"ID?"))</f>
        <v/>
      </c>
      <c r="H1323" s="22" t="str">
        <f aca="false">IF(E1323="","",IFERROR(INDEX(02_INDICADORES!$D$2:$D$42,MATCH(E1323,02_INDICADORES!$A$2:$A$42,0)),""))</f>
        <v/>
      </c>
      <c r="I1323" s="9"/>
      <c r="J1323" s="16" t="str">
        <f aca="false">IF(OR(I1323="",H1323=""),"",I1323*H1323)</f>
        <v/>
      </c>
      <c r="K1323" s="9"/>
      <c r="L1323" s="9"/>
      <c r="M1323" s="9"/>
    </row>
    <row r="1324" customFormat="false" ht="15" hidden="false" customHeight="false" outlineLevel="0" collapsed="false">
      <c r="A1324" s="9"/>
      <c r="B1324" s="9"/>
      <c r="C1324" s="11"/>
      <c r="D1324" s="9"/>
      <c r="E1324" s="9"/>
      <c r="F1324" s="22" t="str">
        <f aca="false">IF(E1324="","",IFERROR(INDEX(02_INDICADORES!$B$2:$B$42,MATCH(E1324,02_INDICADORES!$A$2:$A$42,0)),"ID?"))</f>
        <v/>
      </c>
      <c r="G1324" s="21" t="str">
        <f aca="false">IF(E1324="","",IFERROR(INDEX(02_INDICADORES!$C$2:$C$42,MATCH(E1324,02_INDICADORES!$A$2:$A$42,0)),"ID?"))</f>
        <v/>
      </c>
      <c r="H1324" s="22" t="str">
        <f aca="false">IF(E1324="","",IFERROR(INDEX(02_INDICADORES!$D$2:$D$42,MATCH(E1324,02_INDICADORES!$A$2:$A$42,0)),""))</f>
        <v/>
      </c>
      <c r="I1324" s="9"/>
      <c r="J1324" s="16" t="str">
        <f aca="false">IF(OR(I1324="",H1324=""),"",I1324*H1324)</f>
        <v/>
      </c>
      <c r="K1324" s="9"/>
      <c r="L1324" s="9"/>
      <c r="M1324" s="9"/>
    </row>
    <row r="1325" customFormat="false" ht="15" hidden="false" customHeight="false" outlineLevel="0" collapsed="false">
      <c r="A1325" s="9"/>
      <c r="B1325" s="9"/>
      <c r="C1325" s="11"/>
      <c r="D1325" s="9"/>
      <c r="E1325" s="9"/>
      <c r="F1325" s="22" t="str">
        <f aca="false">IF(E1325="","",IFERROR(INDEX(02_INDICADORES!$B$2:$B$42,MATCH(E1325,02_INDICADORES!$A$2:$A$42,0)),"ID?"))</f>
        <v/>
      </c>
      <c r="G1325" s="21" t="str">
        <f aca="false">IF(E1325="","",IFERROR(INDEX(02_INDICADORES!$C$2:$C$42,MATCH(E1325,02_INDICADORES!$A$2:$A$42,0)),"ID?"))</f>
        <v/>
      </c>
      <c r="H1325" s="22" t="str">
        <f aca="false">IF(E1325="","",IFERROR(INDEX(02_INDICADORES!$D$2:$D$42,MATCH(E1325,02_INDICADORES!$A$2:$A$42,0)),""))</f>
        <v/>
      </c>
      <c r="I1325" s="9"/>
      <c r="J1325" s="16" t="str">
        <f aca="false">IF(OR(I1325="",H1325=""),"",I1325*H1325)</f>
        <v/>
      </c>
      <c r="K1325" s="9"/>
      <c r="L1325" s="9"/>
      <c r="M1325" s="9"/>
    </row>
    <row r="1326" customFormat="false" ht="15" hidden="false" customHeight="false" outlineLevel="0" collapsed="false">
      <c r="A1326" s="9"/>
      <c r="B1326" s="9"/>
      <c r="C1326" s="11"/>
      <c r="D1326" s="9"/>
      <c r="E1326" s="9"/>
      <c r="F1326" s="22" t="str">
        <f aca="false">IF(E1326="","",IFERROR(INDEX(02_INDICADORES!$B$2:$B$42,MATCH(E1326,02_INDICADORES!$A$2:$A$42,0)),"ID?"))</f>
        <v/>
      </c>
      <c r="G1326" s="21" t="str">
        <f aca="false">IF(E1326="","",IFERROR(INDEX(02_INDICADORES!$C$2:$C$42,MATCH(E1326,02_INDICADORES!$A$2:$A$42,0)),"ID?"))</f>
        <v/>
      </c>
      <c r="H1326" s="22" t="str">
        <f aca="false">IF(E1326="","",IFERROR(INDEX(02_INDICADORES!$D$2:$D$42,MATCH(E1326,02_INDICADORES!$A$2:$A$42,0)),""))</f>
        <v/>
      </c>
      <c r="I1326" s="9"/>
      <c r="J1326" s="16" t="str">
        <f aca="false">IF(OR(I1326="",H1326=""),"",I1326*H1326)</f>
        <v/>
      </c>
      <c r="K1326" s="9"/>
      <c r="L1326" s="9"/>
      <c r="M1326" s="9"/>
    </row>
    <row r="1327" customFormat="false" ht="15" hidden="false" customHeight="false" outlineLevel="0" collapsed="false">
      <c r="A1327" s="9"/>
      <c r="B1327" s="9"/>
      <c r="C1327" s="11"/>
      <c r="D1327" s="9"/>
      <c r="E1327" s="9"/>
      <c r="F1327" s="22" t="str">
        <f aca="false">IF(E1327="","",IFERROR(INDEX(02_INDICADORES!$B$2:$B$42,MATCH(E1327,02_INDICADORES!$A$2:$A$42,0)),"ID?"))</f>
        <v/>
      </c>
      <c r="G1327" s="21" t="str">
        <f aca="false">IF(E1327="","",IFERROR(INDEX(02_INDICADORES!$C$2:$C$42,MATCH(E1327,02_INDICADORES!$A$2:$A$42,0)),"ID?"))</f>
        <v/>
      </c>
      <c r="H1327" s="22" t="str">
        <f aca="false">IF(E1327="","",IFERROR(INDEX(02_INDICADORES!$D$2:$D$42,MATCH(E1327,02_INDICADORES!$A$2:$A$42,0)),""))</f>
        <v/>
      </c>
      <c r="I1327" s="9"/>
      <c r="J1327" s="16" t="str">
        <f aca="false">IF(OR(I1327="",H1327=""),"",I1327*H1327)</f>
        <v/>
      </c>
      <c r="K1327" s="9"/>
      <c r="L1327" s="9"/>
      <c r="M1327" s="9"/>
    </row>
    <row r="1328" customFormat="false" ht="15" hidden="false" customHeight="false" outlineLevel="0" collapsed="false">
      <c r="A1328" s="9"/>
      <c r="B1328" s="9"/>
      <c r="C1328" s="11"/>
      <c r="D1328" s="9"/>
      <c r="E1328" s="9"/>
      <c r="F1328" s="22" t="str">
        <f aca="false">IF(E1328="","",IFERROR(INDEX(02_INDICADORES!$B$2:$B$42,MATCH(E1328,02_INDICADORES!$A$2:$A$42,0)),"ID?"))</f>
        <v/>
      </c>
      <c r="G1328" s="21" t="str">
        <f aca="false">IF(E1328="","",IFERROR(INDEX(02_INDICADORES!$C$2:$C$42,MATCH(E1328,02_INDICADORES!$A$2:$A$42,0)),"ID?"))</f>
        <v/>
      </c>
      <c r="H1328" s="22" t="str">
        <f aca="false">IF(E1328="","",IFERROR(INDEX(02_INDICADORES!$D$2:$D$42,MATCH(E1328,02_INDICADORES!$A$2:$A$42,0)),""))</f>
        <v/>
      </c>
      <c r="I1328" s="9"/>
      <c r="J1328" s="16" t="str">
        <f aca="false">IF(OR(I1328="",H1328=""),"",I1328*H1328)</f>
        <v/>
      </c>
      <c r="K1328" s="9"/>
      <c r="L1328" s="9"/>
      <c r="M1328" s="9"/>
    </row>
    <row r="1329" customFormat="false" ht="15" hidden="false" customHeight="false" outlineLevel="0" collapsed="false">
      <c r="A1329" s="9"/>
      <c r="B1329" s="9"/>
      <c r="C1329" s="11"/>
      <c r="D1329" s="9"/>
      <c r="E1329" s="9"/>
      <c r="F1329" s="22" t="str">
        <f aca="false">IF(E1329="","",IFERROR(INDEX(02_INDICADORES!$B$2:$B$42,MATCH(E1329,02_INDICADORES!$A$2:$A$42,0)),"ID?"))</f>
        <v/>
      </c>
      <c r="G1329" s="21" t="str">
        <f aca="false">IF(E1329="","",IFERROR(INDEX(02_INDICADORES!$C$2:$C$42,MATCH(E1329,02_INDICADORES!$A$2:$A$42,0)),"ID?"))</f>
        <v/>
      </c>
      <c r="H1329" s="22" t="str">
        <f aca="false">IF(E1329="","",IFERROR(INDEX(02_INDICADORES!$D$2:$D$42,MATCH(E1329,02_INDICADORES!$A$2:$A$42,0)),""))</f>
        <v/>
      </c>
      <c r="I1329" s="9"/>
      <c r="J1329" s="16" t="str">
        <f aca="false">IF(OR(I1329="",H1329=""),"",I1329*H1329)</f>
        <v/>
      </c>
      <c r="K1329" s="9"/>
      <c r="L1329" s="9"/>
      <c r="M1329" s="9"/>
    </row>
    <row r="1330" customFormat="false" ht="15" hidden="false" customHeight="false" outlineLevel="0" collapsed="false">
      <c r="A1330" s="9"/>
      <c r="B1330" s="9"/>
      <c r="C1330" s="11"/>
      <c r="D1330" s="9"/>
      <c r="E1330" s="9"/>
      <c r="F1330" s="22" t="str">
        <f aca="false">IF(E1330="","",IFERROR(INDEX(02_INDICADORES!$B$2:$B$42,MATCH(E1330,02_INDICADORES!$A$2:$A$42,0)),"ID?"))</f>
        <v/>
      </c>
      <c r="G1330" s="21" t="str">
        <f aca="false">IF(E1330="","",IFERROR(INDEX(02_INDICADORES!$C$2:$C$42,MATCH(E1330,02_INDICADORES!$A$2:$A$42,0)),"ID?"))</f>
        <v/>
      </c>
      <c r="H1330" s="22" t="str">
        <f aca="false">IF(E1330="","",IFERROR(INDEX(02_INDICADORES!$D$2:$D$42,MATCH(E1330,02_INDICADORES!$A$2:$A$42,0)),""))</f>
        <v/>
      </c>
      <c r="I1330" s="9"/>
      <c r="J1330" s="16" t="str">
        <f aca="false">IF(OR(I1330="",H1330=""),"",I1330*H1330)</f>
        <v/>
      </c>
      <c r="K1330" s="9"/>
      <c r="L1330" s="9"/>
      <c r="M1330" s="9"/>
    </row>
    <row r="1331" customFormat="false" ht="15" hidden="false" customHeight="false" outlineLevel="0" collapsed="false">
      <c r="A1331" s="9"/>
      <c r="B1331" s="9"/>
      <c r="C1331" s="11"/>
      <c r="D1331" s="9"/>
      <c r="E1331" s="9"/>
      <c r="F1331" s="22" t="str">
        <f aca="false">IF(E1331="","",IFERROR(INDEX(02_INDICADORES!$B$2:$B$42,MATCH(E1331,02_INDICADORES!$A$2:$A$42,0)),"ID?"))</f>
        <v/>
      </c>
      <c r="G1331" s="21" t="str">
        <f aca="false">IF(E1331="","",IFERROR(INDEX(02_INDICADORES!$C$2:$C$42,MATCH(E1331,02_INDICADORES!$A$2:$A$42,0)),"ID?"))</f>
        <v/>
      </c>
      <c r="H1331" s="22" t="str">
        <f aca="false">IF(E1331="","",IFERROR(INDEX(02_INDICADORES!$D$2:$D$42,MATCH(E1331,02_INDICADORES!$A$2:$A$42,0)),""))</f>
        <v/>
      </c>
      <c r="I1331" s="9"/>
      <c r="J1331" s="16" t="str">
        <f aca="false">IF(OR(I1331="",H1331=""),"",I1331*H1331)</f>
        <v/>
      </c>
      <c r="K1331" s="9"/>
      <c r="L1331" s="9"/>
      <c r="M1331" s="9"/>
    </row>
    <row r="1332" customFormat="false" ht="15" hidden="false" customHeight="false" outlineLevel="0" collapsed="false">
      <c r="A1332" s="9"/>
      <c r="B1332" s="9"/>
      <c r="C1332" s="11"/>
      <c r="D1332" s="9"/>
      <c r="E1332" s="9"/>
      <c r="F1332" s="22" t="str">
        <f aca="false">IF(E1332="","",IFERROR(INDEX(02_INDICADORES!$B$2:$B$42,MATCH(E1332,02_INDICADORES!$A$2:$A$42,0)),"ID?"))</f>
        <v/>
      </c>
      <c r="G1332" s="21" t="str">
        <f aca="false">IF(E1332="","",IFERROR(INDEX(02_INDICADORES!$C$2:$C$42,MATCH(E1332,02_INDICADORES!$A$2:$A$42,0)),"ID?"))</f>
        <v/>
      </c>
      <c r="H1332" s="22" t="str">
        <f aca="false">IF(E1332="","",IFERROR(INDEX(02_INDICADORES!$D$2:$D$42,MATCH(E1332,02_INDICADORES!$A$2:$A$42,0)),""))</f>
        <v/>
      </c>
      <c r="I1332" s="9"/>
      <c r="J1332" s="16" t="str">
        <f aca="false">IF(OR(I1332="",H1332=""),"",I1332*H1332)</f>
        <v/>
      </c>
      <c r="K1332" s="9"/>
      <c r="L1332" s="9"/>
      <c r="M1332" s="9"/>
    </row>
    <row r="1333" customFormat="false" ht="15" hidden="false" customHeight="false" outlineLevel="0" collapsed="false">
      <c r="A1333" s="9"/>
      <c r="B1333" s="9"/>
      <c r="C1333" s="11"/>
      <c r="D1333" s="9"/>
      <c r="E1333" s="9"/>
      <c r="F1333" s="22" t="str">
        <f aca="false">IF(E1333="","",IFERROR(INDEX(02_INDICADORES!$B$2:$B$42,MATCH(E1333,02_INDICADORES!$A$2:$A$42,0)),"ID?"))</f>
        <v/>
      </c>
      <c r="G1333" s="21" t="str">
        <f aca="false">IF(E1333="","",IFERROR(INDEX(02_INDICADORES!$C$2:$C$42,MATCH(E1333,02_INDICADORES!$A$2:$A$42,0)),"ID?"))</f>
        <v/>
      </c>
      <c r="H1333" s="22" t="str">
        <f aca="false">IF(E1333="","",IFERROR(INDEX(02_INDICADORES!$D$2:$D$42,MATCH(E1333,02_INDICADORES!$A$2:$A$42,0)),""))</f>
        <v/>
      </c>
      <c r="I1333" s="9"/>
      <c r="J1333" s="16" t="str">
        <f aca="false">IF(OR(I1333="",H1333=""),"",I1333*H1333)</f>
        <v/>
      </c>
      <c r="K1333" s="9"/>
      <c r="L1333" s="9"/>
      <c r="M1333" s="9"/>
    </row>
    <row r="1334" customFormat="false" ht="15" hidden="false" customHeight="false" outlineLevel="0" collapsed="false">
      <c r="A1334" s="9"/>
      <c r="B1334" s="9"/>
      <c r="C1334" s="11"/>
      <c r="D1334" s="9"/>
      <c r="E1334" s="9"/>
      <c r="F1334" s="22" t="str">
        <f aca="false">IF(E1334="","",IFERROR(INDEX(02_INDICADORES!$B$2:$B$42,MATCH(E1334,02_INDICADORES!$A$2:$A$42,0)),"ID?"))</f>
        <v/>
      </c>
      <c r="G1334" s="21" t="str">
        <f aca="false">IF(E1334="","",IFERROR(INDEX(02_INDICADORES!$C$2:$C$42,MATCH(E1334,02_INDICADORES!$A$2:$A$42,0)),"ID?"))</f>
        <v/>
      </c>
      <c r="H1334" s="22" t="str">
        <f aca="false">IF(E1334="","",IFERROR(INDEX(02_INDICADORES!$D$2:$D$42,MATCH(E1334,02_INDICADORES!$A$2:$A$42,0)),""))</f>
        <v/>
      </c>
      <c r="I1334" s="9"/>
      <c r="J1334" s="16" t="str">
        <f aca="false">IF(OR(I1334="",H1334=""),"",I1334*H1334)</f>
        <v/>
      </c>
      <c r="K1334" s="9"/>
      <c r="L1334" s="9"/>
      <c r="M1334" s="9"/>
    </row>
    <row r="1335" customFormat="false" ht="15" hidden="false" customHeight="false" outlineLevel="0" collapsed="false">
      <c r="A1335" s="9"/>
      <c r="B1335" s="9"/>
      <c r="C1335" s="11"/>
      <c r="D1335" s="9"/>
      <c r="E1335" s="9"/>
      <c r="F1335" s="22" t="str">
        <f aca="false">IF(E1335="","",IFERROR(INDEX(02_INDICADORES!$B$2:$B$42,MATCH(E1335,02_INDICADORES!$A$2:$A$42,0)),"ID?"))</f>
        <v/>
      </c>
      <c r="G1335" s="21" t="str">
        <f aca="false">IF(E1335="","",IFERROR(INDEX(02_INDICADORES!$C$2:$C$42,MATCH(E1335,02_INDICADORES!$A$2:$A$42,0)),"ID?"))</f>
        <v/>
      </c>
      <c r="H1335" s="22" t="str">
        <f aca="false">IF(E1335="","",IFERROR(INDEX(02_INDICADORES!$D$2:$D$42,MATCH(E1335,02_INDICADORES!$A$2:$A$42,0)),""))</f>
        <v/>
      </c>
      <c r="I1335" s="9"/>
      <c r="J1335" s="16" t="str">
        <f aca="false">IF(OR(I1335="",H1335=""),"",I1335*H1335)</f>
        <v/>
      </c>
      <c r="K1335" s="9"/>
      <c r="L1335" s="9"/>
      <c r="M1335" s="9"/>
    </row>
    <row r="1336" customFormat="false" ht="15" hidden="false" customHeight="false" outlineLevel="0" collapsed="false">
      <c r="A1336" s="9"/>
      <c r="B1336" s="9"/>
      <c r="C1336" s="11"/>
      <c r="D1336" s="9"/>
      <c r="E1336" s="9"/>
      <c r="F1336" s="22" t="str">
        <f aca="false">IF(E1336="","",IFERROR(INDEX(02_INDICADORES!$B$2:$B$42,MATCH(E1336,02_INDICADORES!$A$2:$A$42,0)),"ID?"))</f>
        <v/>
      </c>
      <c r="G1336" s="21" t="str">
        <f aca="false">IF(E1336="","",IFERROR(INDEX(02_INDICADORES!$C$2:$C$42,MATCH(E1336,02_INDICADORES!$A$2:$A$42,0)),"ID?"))</f>
        <v/>
      </c>
      <c r="H1336" s="22" t="str">
        <f aca="false">IF(E1336="","",IFERROR(INDEX(02_INDICADORES!$D$2:$D$42,MATCH(E1336,02_INDICADORES!$A$2:$A$42,0)),""))</f>
        <v/>
      </c>
      <c r="I1336" s="9"/>
      <c r="J1336" s="16" t="str">
        <f aca="false">IF(OR(I1336="",H1336=""),"",I1336*H1336)</f>
        <v/>
      </c>
      <c r="K1336" s="9"/>
      <c r="L1336" s="9"/>
      <c r="M1336" s="9"/>
    </row>
    <row r="1337" customFormat="false" ht="15" hidden="false" customHeight="false" outlineLevel="0" collapsed="false">
      <c r="A1337" s="9"/>
      <c r="B1337" s="9"/>
      <c r="C1337" s="11"/>
      <c r="D1337" s="9"/>
      <c r="E1337" s="9"/>
      <c r="F1337" s="22" t="str">
        <f aca="false">IF(E1337="","",IFERROR(INDEX(02_INDICADORES!$B$2:$B$42,MATCH(E1337,02_INDICADORES!$A$2:$A$42,0)),"ID?"))</f>
        <v/>
      </c>
      <c r="G1337" s="21" t="str">
        <f aca="false">IF(E1337="","",IFERROR(INDEX(02_INDICADORES!$C$2:$C$42,MATCH(E1337,02_INDICADORES!$A$2:$A$42,0)),"ID?"))</f>
        <v/>
      </c>
      <c r="H1337" s="22" t="str">
        <f aca="false">IF(E1337="","",IFERROR(INDEX(02_INDICADORES!$D$2:$D$42,MATCH(E1337,02_INDICADORES!$A$2:$A$42,0)),""))</f>
        <v/>
      </c>
      <c r="I1337" s="9"/>
      <c r="J1337" s="16" t="str">
        <f aca="false">IF(OR(I1337="",H1337=""),"",I1337*H1337)</f>
        <v/>
      </c>
      <c r="K1337" s="9"/>
      <c r="L1337" s="9"/>
      <c r="M1337" s="9"/>
    </row>
    <row r="1338" customFormat="false" ht="15" hidden="false" customHeight="false" outlineLevel="0" collapsed="false">
      <c r="A1338" s="9"/>
      <c r="B1338" s="9"/>
      <c r="C1338" s="11"/>
      <c r="D1338" s="9"/>
      <c r="E1338" s="9"/>
      <c r="F1338" s="22" t="str">
        <f aca="false">IF(E1338="","",IFERROR(INDEX(02_INDICADORES!$B$2:$B$42,MATCH(E1338,02_INDICADORES!$A$2:$A$42,0)),"ID?"))</f>
        <v/>
      </c>
      <c r="G1338" s="21" t="str">
        <f aca="false">IF(E1338="","",IFERROR(INDEX(02_INDICADORES!$C$2:$C$42,MATCH(E1338,02_INDICADORES!$A$2:$A$42,0)),"ID?"))</f>
        <v/>
      </c>
      <c r="H1338" s="22" t="str">
        <f aca="false">IF(E1338="","",IFERROR(INDEX(02_INDICADORES!$D$2:$D$42,MATCH(E1338,02_INDICADORES!$A$2:$A$42,0)),""))</f>
        <v/>
      </c>
      <c r="I1338" s="9"/>
      <c r="J1338" s="16" t="str">
        <f aca="false">IF(OR(I1338="",H1338=""),"",I1338*H1338)</f>
        <v/>
      </c>
      <c r="K1338" s="9"/>
      <c r="L1338" s="9"/>
      <c r="M1338" s="9"/>
    </row>
    <row r="1339" customFormat="false" ht="15" hidden="false" customHeight="false" outlineLevel="0" collapsed="false">
      <c r="A1339" s="9"/>
      <c r="B1339" s="9"/>
      <c r="C1339" s="11"/>
      <c r="D1339" s="9"/>
      <c r="E1339" s="9"/>
      <c r="F1339" s="22" t="str">
        <f aca="false">IF(E1339="","",IFERROR(INDEX(02_INDICADORES!$B$2:$B$42,MATCH(E1339,02_INDICADORES!$A$2:$A$42,0)),"ID?"))</f>
        <v/>
      </c>
      <c r="G1339" s="21" t="str">
        <f aca="false">IF(E1339="","",IFERROR(INDEX(02_INDICADORES!$C$2:$C$42,MATCH(E1339,02_INDICADORES!$A$2:$A$42,0)),"ID?"))</f>
        <v/>
      </c>
      <c r="H1339" s="22" t="str">
        <f aca="false">IF(E1339="","",IFERROR(INDEX(02_INDICADORES!$D$2:$D$42,MATCH(E1339,02_INDICADORES!$A$2:$A$42,0)),""))</f>
        <v/>
      </c>
      <c r="I1339" s="9"/>
      <c r="J1339" s="16" t="str">
        <f aca="false">IF(OR(I1339="",H1339=""),"",I1339*H1339)</f>
        <v/>
      </c>
      <c r="K1339" s="9"/>
      <c r="L1339" s="9"/>
      <c r="M1339" s="9"/>
    </row>
    <row r="1340" customFormat="false" ht="15" hidden="false" customHeight="false" outlineLevel="0" collapsed="false">
      <c r="A1340" s="9"/>
      <c r="B1340" s="9"/>
      <c r="C1340" s="11"/>
      <c r="D1340" s="9"/>
      <c r="E1340" s="9"/>
      <c r="F1340" s="22" t="str">
        <f aca="false">IF(E1340="","",IFERROR(INDEX(02_INDICADORES!$B$2:$B$42,MATCH(E1340,02_INDICADORES!$A$2:$A$42,0)),"ID?"))</f>
        <v/>
      </c>
      <c r="G1340" s="21" t="str">
        <f aca="false">IF(E1340="","",IFERROR(INDEX(02_INDICADORES!$C$2:$C$42,MATCH(E1340,02_INDICADORES!$A$2:$A$42,0)),"ID?"))</f>
        <v/>
      </c>
      <c r="H1340" s="22" t="str">
        <f aca="false">IF(E1340="","",IFERROR(INDEX(02_INDICADORES!$D$2:$D$42,MATCH(E1340,02_INDICADORES!$A$2:$A$42,0)),""))</f>
        <v/>
      </c>
      <c r="I1340" s="9"/>
      <c r="J1340" s="16" t="str">
        <f aca="false">IF(OR(I1340="",H1340=""),"",I1340*H1340)</f>
        <v/>
      </c>
      <c r="K1340" s="9"/>
      <c r="L1340" s="9"/>
      <c r="M1340" s="9"/>
    </row>
    <row r="1341" customFormat="false" ht="15" hidden="false" customHeight="false" outlineLevel="0" collapsed="false">
      <c r="A1341" s="9"/>
      <c r="B1341" s="9"/>
      <c r="C1341" s="11"/>
      <c r="D1341" s="9"/>
      <c r="E1341" s="9"/>
      <c r="F1341" s="22" t="str">
        <f aca="false">IF(E1341="","",IFERROR(INDEX(02_INDICADORES!$B$2:$B$42,MATCH(E1341,02_INDICADORES!$A$2:$A$42,0)),"ID?"))</f>
        <v/>
      </c>
      <c r="G1341" s="21" t="str">
        <f aca="false">IF(E1341="","",IFERROR(INDEX(02_INDICADORES!$C$2:$C$42,MATCH(E1341,02_INDICADORES!$A$2:$A$42,0)),"ID?"))</f>
        <v/>
      </c>
      <c r="H1341" s="22" t="str">
        <f aca="false">IF(E1341="","",IFERROR(INDEX(02_INDICADORES!$D$2:$D$42,MATCH(E1341,02_INDICADORES!$A$2:$A$42,0)),""))</f>
        <v/>
      </c>
      <c r="I1341" s="9"/>
      <c r="J1341" s="16" t="str">
        <f aca="false">IF(OR(I1341="",H1341=""),"",I1341*H1341)</f>
        <v/>
      </c>
      <c r="K1341" s="9"/>
      <c r="L1341" s="9"/>
      <c r="M1341" s="9"/>
    </row>
    <row r="1342" customFormat="false" ht="15" hidden="false" customHeight="false" outlineLevel="0" collapsed="false">
      <c r="A1342" s="9"/>
      <c r="B1342" s="9"/>
      <c r="C1342" s="11"/>
      <c r="D1342" s="9"/>
      <c r="E1342" s="9"/>
      <c r="F1342" s="22" t="str">
        <f aca="false">IF(E1342="","",IFERROR(INDEX(02_INDICADORES!$B$2:$B$42,MATCH(E1342,02_INDICADORES!$A$2:$A$42,0)),"ID?"))</f>
        <v/>
      </c>
      <c r="G1342" s="21" t="str">
        <f aca="false">IF(E1342="","",IFERROR(INDEX(02_INDICADORES!$C$2:$C$42,MATCH(E1342,02_INDICADORES!$A$2:$A$42,0)),"ID?"))</f>
        <v/>
      </c>
      <c r="H1342" s="22" t="str">
        <f aca="false">IF(E1342="","",IFERROR(INDEX(02_INDICADORES!$D$2:$D$42,MATCH(E1342,02_INDICADORES!$A$2:$A$42,0)),""))</f>
        <v/>
      </c>
      <c r="I1342" s="9"/>
      <c r="J1342" s="16" t="str">
        <f aca="false">IF(OR(I1342="",H1342=""),"",I1342*H1342)</f>
        <v/>
      </c>
      <c r="K1342" s="9"/>
      <c r="L1342" s="9"/>
      <c r="M1342" s="9"/>
    </row>
    <row r="1343" customFormat="false" ht="15" hidden="false" customHeight="false" outlineLevel="0" collapsed="false">
      <c r="A1343" s="9"/>
      <c r="B1343" s="9"/>
      <c r="C1343" s="11"/>
      <c r="D1343" s="9"/>
      <c r="E1343" s="9"/>
      <c r="F1343" s="22" t="str">
        <f aca="false">IF(E1343="","",IFERROR(INDEX(02_INDICADORES!$B$2:$B$42,MATCH(E1343,02_INDICADORES!$A$2:$A$42,0)),"ID?"))</f>
        <v/>
      </c>
      <c r="G1343" s="21" t="str">
        <f aca="false">IF(E1343="","",IFERROR(INDEX(02_INDICADORES!$C$2:$C$42,MATCH(E1343,02_INDICADORES!$A$2:$A$42,0)),"ID?"))</f>
        <v/>
      </c>
      <c r="H1343" s="22" t="str">
        <f aca="false">IF(E1343="","",IFERROR(INDEX(02_INDICADORES!$D$2:$D$42,MATCH(E1343,02_INDICADORES!$A$2:$A$42,0)),""))</f>
        <v/>
      </c>
      <c r="I1343" s="9"/>
      <c r="J1343" s="16" t="str">
        <f aca="false">IF(OR(I1343="",H1343=""),"",I1343*H1343)</f>
        <v/>
      </c>
      <c r="K1343" s="9"/>
      <c r="L1343" s="9"/>
      <c r="M1343" s="9"/>
    </row>
    <row r="1344" customFormat="false" ht="15" hidden="false" customHeight="false" outlineLevel="0" collapsed="false">
      <c r="A1344" s="9"/>
      <c r="B1344" s="9"/>
      <c r="C1344" s="11"/>
      <c r="D1344" s="9"/>
      <c r="E1344" s="9"/>
      <c r="F1344" s="22" t="str">
        <f aca="false">IF(E1344="","",IFERROR(INDEX(02_INDICADORES!$B$2:$B$42,MATCH(E1344,02_INDICADORES!$A$2:$A$42,0)),"ID?"))</f>
        <v/>
      </c>
      <c r="G1344" s="21" t="str">
        <f aca="false">IF(E1344="","",IFERROR(INDEX(02_INDICADORES!$C$2:$C$42,MATCH(E1344,02_INDICADORES!$A$2:$A$42,0)),"ID?"))</f>
        <v/>
      </c>
      <c r="H1344" s="22" t="str">
        <f aca="false">IF(E1344="","",IFERROR(INDEX(02_INDICADORES!$D$2:$D$42,MATCH(E1344,02_INDICADORES!$A$2:$A$42,0)),""))</f>
        <v/>
      </c>
      <c r="I1344" s="9"/>
      <c r="J1344" s="16" t="str">
        <f aca="false">IF(OR(I1344="",H1344=""),"",I1344*H1344)</f>
        <v/>
      </c>
      <c r="K1344" s="9"/>
      <c r="L1344" s="9"/>
      <c r="M1344" s="9"/>
    </row>
    <row r="1345" customFormat="false" ht="15" hidden="false" customHeight="false" outlineLevel="0" collapsed="false">
      <c r="A1345" s="9"/>
      <c r="B1345" s="9"/>
      <c r="C1345" s="11"/>
      <c r="D1345" s="9"/>
      <c r="E1345" s="9"/>
      <c r="F1345" s="22" t="str">
        <f aca="false">IF(E1345="","",IFERROR(INDEX(02_INDICADORES!$B$2:$B$42,MATCH(E1345,02_INDICADORES!$A$2:$A$42,0)),"ID?"))</f>
        <v/>
      </c>
      <c r="G1345" s="21" t="str">
        <f aca="false">IF(E1345="","",IFERROR(INDEX(02_INDICADORES!$C$2:$C$42,MATCH(E1345,02_INDICADORES!$A$2:$A$42,0)),"ID?"))</f>
        <v/>
      </c>
      <c r="H1345" s="22" t="str">
        <f aca="false">IF(E1345="","",IFERROR(INDEX(02_INDICADORES!$D$2:$D$42,MATCH(E1345,02_INDICADORES!$A$2:$A$42,0)),""))</f>
        <v/>
      </c>
      <c r="I1345" s="9"/>
      <c r="J1345" s="16" t="str">
        <f aca="false">IF(OR(I1345="",H1345=""),"",I1345*H1345)</f>
        <v/>
      </c>
      <c r="K1345" s="9"/>
      <c r="L1345" s="9"/>
      <c r="M1345" s="9"/>
    </row>
    <row r="1346" customFormat="false" ht="15" hidden="false" customHeight="false" outlineLevel="0" collapsed="false">
      <c r="A1346" s="9"/>
      <c r="B1346" s="9"/>
      <c r="C1346" s="11"/>
      <c r="D1346" s="9"/>
      <c r="E1346" s="9"/>
      <c r="F1346" s="22" t="str">
        <f aca="false">IF(E1346="","",IFERROR(INDEX(02_INDICADORES!$B$2:$B$42,MATCH(E1346,02_INDICADORES!$A$2:$A$42,0)),"ID?"))</f>
        <v/>
      </c>
      <c r="G1346" s="21" t="str">
        <f aca="false">IF(E1346="","",IFERROR(INDEX(02_INDICADORES!$C$2:$C$42,MATCH(E1346,02_INDICADORES!$A$2:$A$42,0)),"ID?"))</f>
        <v/>
      </c>
      <c r="H1346" s="22" t="str">
        <f aca="false">IF(E1346="","",IFERROR(INDEX(02_INDICADORES!$D$2:$D$42,MATCH(E1346,02_INDICADORES!$A$2:$A$42,0)),""))</f>
        <v/>
      </c>
      <c r="I1346" s="9"/>
      <c r="J1346" s="16" t="str">
        <f aca="false">IF(OR(I1346="",H1346=""),"",I1346*H1346)</f>
        <v/>
      </c>
      <c r="K1346" s="9"/>
      <c r="L1346" s="9"/>
      <c r="M1346" s="9"/>
    </row>
    <row r="1347" customFormat="false" ht="15" hidden="false" customHeight="false" outlineLevel="0" collapsed="false">
      <c r="A1347" s="9"/>
      <c r="B1347" s="9"/>
      <c r="C1347" s="11"/>
      <c r="D1347" s="9"/>
      <c r="E1347" s="9"/>
      <c r="F1347" s="22" t="str">
        <f aca="false">IF(E1347="","",IFERROR(INDEX(02_INDICADORES!$B$2:$B$42,MATCH(E1347,02_INDICADORES!$A$2:$A$42,0)),"ID?"))</f>
        <v/>
      </c>
      <c r="G1347" s="21" t="str">
        <f aca="false">IF(E1347="","",IFERROR(INDEX(02_INDICADORES!$C$2:$C$42,MATCH(E1347,02_INDICADORES!$A$2:$A$42,0)),"ID?"))</f>
        <v/>
      </c>
      <c r="H1347" s="22" t="str">
        <f aca="false">IF(E1347="","",IFERROR(INDEX(02_INDICADORES!$D$2:$D$42,MATCH(E1347,02_INDICADORES!$A$2:$A$42,0)),""))</f>
        <v/>
      </c>
      <c r="I1347" s="9"/>
      <c r="J1347" s="16" t="str">
        <f aca="false">IF(OR(I1347="",H1347=""),"",I1347*H1347)</f>
        <v/>
      </c>
      <c r="K1347" s="9"/>
      <c r="L1347" s="9"/>
      <c r="M1347" s="9"/>
    </row>
    <row r="1348" customFormat="false" ht="15" hidden="false" customHeight="false" outlineLevel="0" collapsed="false">
      <c r="A1348" s="9"/>
      <c r="B1348" s="9"/>
      <c r="C1348" s="11"/>
      <c r="D1348" s="9"/>
      <c r="E1348" s="9"/>
      <c r="F1348" s="22" t="str">
        <f aca="false">IF(E1348="","",IFERROR(INDEX(02_INDICADORES!$B$2:$B$42,MATCH(E1348,02_INDICADORES!$A$2:$A$42,0)),"ID?"))</f>
        <v/>
      </c>
      <c r="G1348" s="21" t="str">
        <f aca="false">IF(E1348="","",IFERROR(INDEX(02_INDICADORES!$C$2:$C$42,MATCH(E1348,02_INDICADORES!$A$2:$A$42,0)),"ID?"))</f>
        <v/>
      </c>
      <c r="H1348" s="22" t="str">
        <f aca="false">IF(E1348="","",IFERROR(INDEX(02_INDICADORES!$D$2:$D$42,MATCH(E1348,02_INDICADORES!$A$2:$A$42,0)),""))</f>
        <v/>
      </c>
      <c r="I1348" s="9"/>
      <c r="J1348" s="16" t="str">
        <f aca="false">IF(OR(I1348="",H1348=""),"",I1348*H1348)</f>
        <v/>
      </c>
      <c r="K1348" s="9"/>
      <c r="L1348" s="9"/>
      <c r="M1348" s="9"/>
    </row>
    <row r="1349" customFormat="false" ht="15" hidden="false" customHeight="false" outlineLevel="0" collapsed="false">
      <c r="A1349" s="9"/>
      <c r="B1349" s="9"/>
      <c r="C1349" s="11"/>
      <c r="D1349" s="9"/>
      <c r="E1349" s="9"/>
      <c r="F1349" s="22" t="str">
        <f aca="false">IF(E1349="","",IFERROR(INDEX(02_INDICADORES!$B$2:$B$42,MATCH(E1349,02_INDICADORES!$A$2:$A$42,0)),"ID?"))</f>
        <v/>
      </c>
      <c r="G1349" s="21" t="str">
        <f aca="false">IF(E1349="","",IFERROR(INDEX(02_INDICADORES!$C$2:$C$42,MATCH(E1349,02_INDICADORES!$A$2:$A$42,0)),"ID?"))</f>
        <v/>
      </c>
      <c r="H1349" s="22" t="str">
        <f aca="false">IF(E1349="","",IFERROR(INDEX(02_INDICADORES!$D$2:$D$42,MATCH(E1349,02_INDICADORES!$A$2:$A$42,0)),""))</f>
        <v/>
      </c>
      <c r="I1349" s="9"/>
      <c r="J1349" s="16" t="str">
        <f aca="false">IF(OR(I1349="",H1349=""),"",I1349*H1349)</f>
        <v/>
      </c>
      <c r="K1349" s="9"/>
      <c r="L1349" s="9"/>
      <c r="M1349" s="9"/>
    </row>
    <row r="1350" customFormat="false" ht="15" hidden="false" customHeight="false" outlineLevel="0" collapsed="false">
      <c r="A1350" s="9"/>
      <c r="B1350" s="9"/>
      <c r="C1350" s="11"/>
      <c r="D1350" s="9"/>
      <c r="E1350" s="9"/>
      <c r="F1350" s="22" t="str">
        <f aca="false">IF(E1350="","",IFERROR(INDEX(02_INDICADORES!$B$2:$B$42,MATCH(E1350,02_INDICADORES!$A$2:$A$42,0)),"ID?"))</f>
        <v/>
      </c>
      <c r="G1350" s="21" t="str">
        <f aca="false">IF(E1350="","",IFERROR(INDEX(02_INDICADORES!$C$2:$C$42,MATCH(E1350,02_INDICADORES!$A$2:$A$42,0)),"ID?"))</f>
        <v/>
      </c>
      <c r="H1350" s="22" t="str">
        <f aca="false">IF(E1350="","",IFERROR(INDEX(02_INDICADORES!$D$2:$D$42,MATCH(E1350,02_INDICADORES!$A$2:$A$42,0)),""))</f>
        <v/>
      </c>
      <c r="I1350" s="9"/>
      <c r="J1350" s="16" t="str">
        <f aca="false">IF(OR(I1350="",H1350=""),"",I1350*H1350)</f>
        <v/>
      </c>
      <c r="K1350" s="9"/>
      <c r="L1350" s="9"/>
      <c r="M1350" s="9"/>
    </row>
    <row r="1351" customFormat="false" ht="15" hidden="false" customHeight="false" outlineLevel="0" collapsed="false">
      <c r="A1351" s="9"/>
      <c r="B1351" s="9"/>
      <c r="C1351" s="11"/>
      <c r="D1351" s="9"/>
      <c r="E1351" s="9"/>
      <c r="F1351" s="22" t="str">
        <f aca="false">IF(E1351="","",IFERROR(INDEX(02_INDICADORES!$B$2:$B$42,MATCH(E1351,02_INDICADORES!$A$2:$A$42,0)),"ID?"))</f>
        <v/>
      </c>
      <c r="G1351" s="21" t="str">
        <f aca="false">IF(E1351="","",IFERROR(INDEX(02_INDICADORES!$C$2:$C$42,MATCH(E1351,02_INDICADORES!$A$2:$A$42,0)),"ID?"))</f>
        <v/>
      </c>
      <c r="H1351" s="22" t="str">
        <f aca="false">IF(E1351="","",IFERROR(INDEX(02_INDICADORES!$D$2:$D$42,MATCH(E1351,02_INDICADORES!$A$2:$A$42,0)),""))</f>
        <v/>
      </c>
      <c r="I1351" s="9"/>
      <c r="J1351" s="16" t="str">
        <f aca="false">IF(OR(I1351="",H1351=""),"",I1351*H1351)</f>
        <v/>
      </c>
      <c r="K1351" s="9"/>
      <c r="L1351" s="9"/>
      <c r="M1351" s="9"/>
    </row>
    <row r="1352" customFormat="false" ht="15" hidden="false" customHeight="false" outlineLevel="0" collapsed="false">
      <c r="A1352" s="9"/>
      <c r="B1352" s="9"/>
      <c r="C1352" s="11"/>
      <c r="D1352" s="9"/>
      <c r="E1352" s="9"/>
      <c r="F1352" s="22" t="str">
        <f aca="false">IF(E1352="","",IFERROR(INDEX(02_INDICADORES!$B$2:$B$42,MATCH(E1352,02_INDICADORES!$A$2:$A$42,0)),"ID?"))</f>
        <v/>
      </c>
      <c r="G1352" s="21" t="str">
        <f aca="false">IF(E1352="","",IFERROR(INDEX(02_INDICADORES!$C$2:$C$42,MATCH(E1352,02_INDICADORES!$A$2:$A$42,0)),"ID?"))</f>
        <v/>
      </c>
      <c r="H1352" s="22" t="str">
        <f aca="false">IF(E1352="","",IFERROR(INDEX(02_INDICADORES!$D$2:$D$42,MATCH(E1352,02_INDICADORES!$A$2:$A$42,0)),""))</f>
        <v/>
      </c>
      <c r="I1352" s="9"/>
      <c r="J1352" s="16" t="str">
        <f aca="false">IF(OR(I1352="",H1352=""),"",I1352*H1352)</f>
        <v/>
      </c>
      <c r="K1352" s="9"/>
      <c r="L1352" s="9"/>
      <c r="M1352" s="9"/>
    </row>
    <row r="1353" customFormat="false" ht="15" hidden="false" customHeight="false" outlineLevel="0" collapsed="false">
      <c r="A1353" s="9"/>
      <c r="B1353" s="9"/>
      <c r="C1353" s="11"/>
      <c r="D1353" s="9"/>
      <c r="E1353" s="9"/>
      <c r="F1353" s="22" t="str">
        <f aca="false">IF(E1353="","",IFERROR(INDEX(02_INDICADORES!$B$2:$B$42,MATCH(E1353,02_INDICADORES!$A$2:$A$42,0)),"ID?"))</f>
        <v/>
      </c>
      <c r="G1353" s="21" t="str">
        <f aca="false">IF(E1353="","",IFERROR(INDEX(02_INDICADORES!$C$2:$C$42,MATCH(E1353,02_INDICADORES!$A$2:$A$42,0)),"ID?"))</f>
        <v/>
      </c>
      <c r="H1353" s="22" t="str">
        <f aca="false">IF(E1353="","",IFERROR(INDEX(02_INDICADORES!$D$2:$D$42,MATCH(E1353,02_INDICADORES!$A$2:$A$42,0)),""))</f>
        <v/>
      </c>
      <c r="I1353" s="9"/>
      <c r="J1353" s="16" t="str">
        <f aca="false">IF(OR(I1353="",H1353=""),"",I1353*H1353)</f>
        <v/>
      </c>
      <c r="K1353" s="9"/>
      <c r="L1353" s="9"/>
      <c r="M1353" s="9"/>
    </row>
    <row r="1354" customFormat="false" ht="15" hidden="false" customHeight="false" outlineLevel="0" collapsed="false">
      <c r="A1354" s="9"/>
      <c r="B1354" s="9"/>
      <c r="C1354" s="11"/>
      <c r="D1354" s="9"/>
      <c r="E1354" s="9"/>
      <c r="F1354" s="22" t="str">
        <f aca="false">IF(E1354="","",IFERROR(INDEX(02_INDICADORES!$B$2:$B$42,MATCH(E1354,02_INDICADORES!$A$2:$A$42,0)),"ID?"))</f>
        <v/>
      </c>
      <c r="G1354" s="21" t="str">
        <f aca="false">IF(E1354="","",IFERROR(INDEX(02_INDICADORES!$C$2:$C$42,MATCH(E1354,02_INDICADORES!$A$2:$A$42,0)),"ID?"))</f>
        <v/>
      </c>
      <c r="H1354" s="22" t="str">
        <f aca="false">IF(E1354="","",IFERROR(INDEX(02_INDICADORES!$D$2:$D$42,MATCH(E1354,02_INDICADORES!$A$2:$A$42,0)),""))</f>
        <v/>
      </c>
      <c r="I1354" s="9"/>
      <c r="J1354" s="16" t="str">
        <f aca="false">IF(OR(I1354="",H1354=""),"",I1354*H1354)</f>
        <v/>
      </c>
      <c r="K1354" s="9"/>
      <c r="L1354" s="9"/>
      <c r="M1354" s="9"/>
    </row>
    <row r="1355" customFormat="false" ht="15" hidden="false" customHeight="false" outlineLevel="0" collapsed="false">
      <c r="A1355" s="9"/>
      <c r="B1355" s="9"/>
      <c r="C1355" s="11"/>
      <c r="D1355" s="9"/>
      <c r="E1355" s="9"/>
      <c r="F1355" s="22" t="str">
        <f aca="false">IF(E1355="","",IFERROR(INDEX(02_INDICADORES!$B$2:$B$42,MATCH(E1355,02_INDICADORES!$A$2:$A$42,0)),"ID?"))</f>
        <v/>
      </c>
      <c r="G1355" s="21" t="str">
        <f aca="false">IF(E1355="","",IFERROR(INDEX(02_INDICADORES!$C$2:$C$42,MATCH(E1355,02_INDICADORES!$A$2:$A$42,0)),"ID?"))</f>
        <v/>
      </c>
      <c r="H1355" s="22" t="str">
        <f aca="false">IF(E1355="","",IFERROR(INDEX(02_INDICADORES!$D$2:$D$42,MATCH(E1355,02_INDICADORES!$A$2:$A$42,0)),""))</f>
        <v/>
      </c>
      <c r="I1355" s="9"/>
      <c r="J1355" s="16" t="str">
        <f aca="false">IF(OR(I1355="",H1355=""),"",I1355*H1355)</f>
        <v/>
      </c>
      <c r="K1355" s="9"/>
      <c r="L1355" s="9"/>
      <c r="M1355" s="9"/>
    </row>
    <row r="1356" customFormat="false" ht="15" hidden="false" customHeight="false" outlineLevel="0" collapsed="false">
      <c r="A1356" s="9"/>
      <c r="B1356" s="9"/>
      <c r="C1356" s="11"/>
      <c r="D1356" s="9"/>
      <c r="E1356" s="9"/>
      <c r="F1356" s="22" t="str">
        <f aca="false">IF(E1356="","",IFERROR(INDEX(02_INDICADORES!$B$2:$B$42,MATCH(E1356,02_INDICADORES!$A$2:$A$42,0)),"ID?"))</f>
        <v/>
      </c>
      <c r="G1356" s="21" t="str">
        <f aca="false">IF(E1356="","",IFERROR(INDEX(02_INDICADORES!$C$2:$C$42,MATCH(E1356,02_INDICADORES!$A$2:$A$42,0)),"ID?"))</f>
        <v/>
      </c>
      <c r="H1356" s="22" t="str">
        <f aca="false">IF(E1356="","",IFERROR(INDEX(02_INDICADORES!$D$2:$D$42,MATCH(E1356,02_INDICADORES!$A$2:$A$42,0)),""))</f>
        <v/>
      </c>
      <c r="I1356" s="9"/>
      <c r="J1356" s="16" t="str">
        <f aca="false">IF(OR(I1356="",H1356=""),"",I1356*H1356)</f>
        <v/>
      </c>
      <c r="K1356" s="9"/>
      <c r="L1356" s="9"/>
      <c r="M1356" s="9"/>
    </row>
    <row r="1357" customFormat="false" ht="15" hidden="false" customHeight="false" outlineLevel="0" collapsed="false">
      <c r="A1357" s="9"/>
      <c r="B1357" s="9"/>
      <c r="C1357" s="11"/>
      <c r="D1357" s="9"/>
      <c r="E1357" s="9"/>
      <c r="F1357" s="22" t="str">
        <f aca="false">IF(E1357="","",IFERROR(INDEX(02_INDICADORES!$B$2:$B$42,MATCH(E1357,02_INDICADORES!$A$2:$A$42,0)),"ID?"))</f>
        <v/>
      </c>
      <c r="G1357" s="21" t="str">
        <f aca="false">IF(E1357="","",IFERROR(INDEX(02_INDICADORES!$C$2:$C$42,MATCH(E1357,02_INDICADORES!$A$2:$A$42,0)),"ID?"))</f>
        <v/>
      </c>
      <c r="H1357" s="22" t="str">
        <f aca="false">IF(E1357="","",IFERROR(INDEX(02_INDICADORES!$D$2:$D$42,MATCH(E1357,02_INDICADORES!$A$2:$A$42,0)),""))</f>
        <v/>
      </c>
      <c r="I1357" s="9"/>
      <c r="J1357" s="16" t="str">
        <f aca="false">IF(OR(I1357="",H1357=""),"",I1357*H1357)</f>
        <v/>
      </c>
      <c r="K1357" s="9"/>
      <c r="L1357" s="9"/>
      <c r="M1357" s="9"/>
    </row>
    <row r="1358" customFormat="false" ht="15" hidden="false" customHeight="false" outlineLevel="0" collapsed="false">
      <c r="A1358" s="9"/>
      <c r="B1358" s="9"/>
      <c r="C1358" s="11"/>
      <c r="D1358" s="9"/>
      <c r="E1358" s="9"/>
      <c r="F1358" s="22" t="str">
        <f aca="false">IF(E1358="","",IFERROR(INDEX(02_INDICADORES!$B$2:$B$42,MATCH(E1358,02_INDICADORES!$A$2:$A$42,0)),"ID?"))</f>
        <v/>
      </c>
      <c r="G1358" s="21" t="str">
        <f aca="false">IF(E1358="","",IFERROR(INDEX(02_INDICADORES!$C$2:$C$42,MATCH(E1358,02_INDICADORES!$A$2:$A$42,0)),"ID?"))</f>
        <v/>
      </c>
      <c r="H1358" s="22" t="str">
        <f aca="false">IF(E1358="","",IFERROR(INDEX(02_INDICADORES!$D$2:$D$42,MATCH(E1358,02_INDICADORES!$A$2:$A$42,0)),""))</f>
        <v/>
      </c>
      <c r="I1358" s="9"/>
      <c r="J1358" s="16" t="str">
        <f aca="false">IF(OR(I1358="",H1358=""),"",I1358*H1358)</f>
        <v/>
      </c>
      <c r="K1358" s="9"/>
      <c r="L1358" s="9"/>
      <c r="M1358" s="9"/>
    </row>
    <row r="1359" customFormat="false" ht="15" hidden="false" customHeight="false" outlineLevel="0" collapsed="false">
      <c r="A1359" s="9"/>
      <c r="B1359" s="9"/>
      <c r="C1359" s="11"/>
      <c r="D1359" s="9"/>
      <c r="E1359" s="9"/>
      <c r="F1359" s="22" t="str">
        <f aca="false">IF(E1359="","",IFERROR(INDEX(02_INDICADORES!$B$2:$B$42,MATCH(E1359,02_INDICADORES!$A$2:$A$42,0)),"ID?"))</f>
        <v/>
      </c>
      <c r="G1359" s="21" t="str">
        <f aca="false">IF(E1359="","",IFERROR(INDEX(02_INDICADORES!$C$2:$C$42,MATCH(E1359,02_INDICADORES!$A$2:$A$42,0)),"ID?"))</f>
        <v/>
      </c>
      <c r="H1359" s="22" t="str">
        <f aca="false">IF(E1359="","",IFERROR(INDEX(02_INDICADORES!$D$2:$D$42,MATCH(E1359,02_INDICADORES!$A$2:$A$42,0)),""))</f>
        <v/>
      </c>
      <c r="I1359" s="9"/>
      <c r="J1359" s="16" t="str">
        <f aca="false">IF(OR(I1359="",H1359=""),"",I1359*H1359)</f>
        <v/>
      </c>
      <c r="K1359" s="9"/>
      <c r="L1359" s="9"/>
      <c r="M1359" s="9"/>
    </row>
    <row r="1360" customFormat="false" ht="15" hidden="false" customHeight="false" outlineLevel="0" collapsed="false">
      <c r="A1360" s="9"/>
      <c r="B1360" s="9"/>
      <c r="C1360" s="11"/>
      <c r="D1360" s="9"/>
      <c r="E1360" s="9"/>
      <c r="F1360" s="22" t="str">
        <f aca="false">IF(E1360="","",IFERROR(INDEX(02_INDICADORES!$B$2:$B$42,MATCH(E1360,02_INDICADORES!$A$2:$A$42,0)),"ID?"))</f>
        <v/>
      </c>
      <c r="G1360" s="21" t="str">
        <f aca="false">IF(E1360="","",IFERROR(INDEX(02_INDICADORES!$C$2:$C$42,MATCH(E1360,02_INDICADORES!$A$2:$A$42,0)),"ID?"))</f>
        <v/>
      </c>
      <c r="H1360" s="22" t="str">
        <f aca="false">IF(E1360="","",IFERROR(INDEX(02_INDICADORES!$D$2:$D$42,MATCH(E1360,02_INDICADORES!$A$2:$A$42,0)),""))</f>
        <v/>
      </c>
      <c r="I1360" s="9"/>
      <c r="J1360" s="16" t="str">
        <f aca="false">IF(OR(I1360="",H1360=""),"",I1360*H1360)</f>
        <v/>
      </c>
      <c r="K1360" s="9"/>
      <c r="L1360" s="9"/>
      <c r="M1360" s="9"/>
    </row>
    <row r="1361" customFormat="false" ht="15" hidden="false" customHeight="false" outlineLevel="0" collapsed="false">
      <c r="A1361" s="9"/>
      <c r="B1361" s="9"/>
      <c r="C1361" s="11"/>
      <c r="D1361" s="9"/>
      <c r="E1361" s="9"/>
      <c r="F1361" s="22" t="str">
        <f aca="false">IF(E1361="","",IFERROR(INDEX(02_INDICADORES!$B$2:$B$42,MATCH(E1361,02_INDICADORES!$A$2:$A$42,0)),"ID?"))</f>
        <v/>
      </c>
      <c r="G1361" s="21" t="str">
        <f aca="false">IF(E1361="","",IFERROR(INDEX(02_INDICADORES!$C$2:$C$42,MATCH(E1361,02_INDICADORES!$A$2:$A$42,0)),"ID?"))</f>
        <v/>
      </c>
      <c r="H1361" s="22" t="str">
        <f aca="false">IF(E1361="","",IFERROR(INDEX(02_INDICADORES!$D$2:$D$42,MATCH(E1361,02_INDICADORES!$A$2:$A$42,0)),""))</f>
        <v/>
      </c>
      <c r="I1361" s="9"/>
      <c r="J1361" s="16" t="str">
        <f aca="false">IF(OR(I1361="",H1361=""),"",I1361*H1361)</f>
        <v/>
      </c>
      <c r="K1361" s="9"/>
      <c r="L1361" s="9"/>
      <c r="M1361" s="9"/>
    </row>
    <row r="1362" customFormat="false" ht="15" hidden="false" customHeight="false" outlineLevel="0" collapsed="false">
      <c r="A1362" s="9"/>
      <c r="B1362" s="9"/>
      <c r="C1362" s="11"/>
      <c r="D1362" s="9"/>
      <c r="E1362" s="9"/>
      <c r="F1362" s="22" t="str">
        <f aca="false">IF(E1362="","",IFERROR(INDEX(02_INDICADORES!$B$2:$B$42,MATCH(E1362,02_INDICADORES!$A$2:$A$42,0)),"ID?"))</f>
        <v/>
      </c>
      <c r="G1362" s="21" t="str">
        <f aca="false">IF(E1362="","",IFERROR(INDEX(02_INDICADORES!$C$2:$C$42,MATCH(E1362,02_INDICADORES!$A$2:$A$42,0)),"ID?"))</f>
        <v/>
      </c>
      <c r="H1362" s="22" t="str">
        <f aca="false">IF(E1362="","",IFERROR(INDEX(02_INDICADORES!$D$2:$D$42,MATCH(E1362,02_INDICADORES!$A$2:$A$42,0)),""))</f>
        <v/>
      </c>
      <c r="I1362" s="9"/>
      <c r="J1362" s="16" t="str">
        <f aca="false">IF(OR(I1362="",H1362=""),"",I1362*H1362)</f>
        <v/>
      </c>
      <c r="K1362" s="9"/>
      <c r="L1362" s="9"/>
      <c r="M1362" s="9"/>
    </row>
    <row r="1363" customFormat="false" ht="15" hidden="false" customHeight="false" outlineLevel="0" collapsed="false">
      <c r="A1363" s="9"/>
      <c r="B1363" s="9"/>
      <c r="C1363" s="11"/>
      <c r="D1363" s="9"/>
      <c r="E1363" s="9"/>
      <c r="F1363" s="22" t="str">
        <f aca="false">IF(E1363="","",IFERROR(INDEX(02_INDICADORES!$B$2:$B$42,MATCH(E1363,02_INDICADORES!$A$2:$A$42,0)),"ID?"))</f>
        <v/>
      </c>
      <c r="G1363" s="21" t="str">
        <f aca="false">IF(E1363="","",IFERROR(INDEX(02_INDICADORES!$C$2:$C$42,MATCH(E1363,02_INDICADORES!$A$2:$A$42,0)),"ID?"))</f>
        <v/>
      </c>
      <c r="H1363" s="22" t="str">
        <f aca="false">IF(E1363="","",IFERROR(INDEX(02_INDICADORES!$D$2:$D$42,MATCH(E1363,02_INDICADORES!$A$2:$A$42,0)),""))</f>
        <v/>
      </c>
      <c r="I1363" s="9"/>
      <c r="J1363" s="16" t="str">
        <f aca="false">IF(OR(I1363="",H1363=""),"",I1363*H1363)</f>
        <v/>
      </c>
      <c r="K1363" s="9"/>
      <c r="L1363" s="9"/>
      <c r="M1363" s="9"/>
    </row>
    <row r="1364" customFormat="false" ht="15" hidden="false" customHeight="false" outlineLevel="0" collapsed="false">
      <c r="A1364" s="9"/>
      <c r="B1364" s="9"/>
      <c r="C1364" s="11"/>
      <c r="D1364" s="9"/>
      <c r="E1364" s="9"/>
      <c r="F1364" s="22" t="str">
        <f aca="false">IF(E1364="","",IFERROR(INDEX(02_INDICADORES!$B$2:$B$42,MATCH(E1364,02_INDICADORES!$A$2:$A$42,0)),"ID?"))</f>
        <v/>
      </c>
      <c r="G1364" s="21" t="str">
        <f aca="false">IF(E1364="","",IFERROR(INDEX(02_INDICADORES!$C$2:$C$42,MATCH(E1364,02_INDICADORES!$A$2:$A$42,0)),"ID?"))</f>
        <v/>
      </c>
      <c r="H1364" s="22" t="str">
        <f aca="false">IF(E1364="","",IFERROR(INDEX(02_INDICADORES!$D$2:$D$42,MATCH(E1364,02_INDICADORES!$A$2:$A$42,0)),""))</f>
        <v/>
      </c>
      <c r="I1364" s="9"/>
      <c r="J1364" s="16" t="str">
        <f aca="false">IF(OR(I1364="",H1364=""),"",I1364*H1364)</f>
        <v/>
      </c>
      <c r="K1364" s="9"/>
      <c r="L1364" s="9"/>
      <c r="M1364" s="9"/>
    </row>
    <row r="1365" customFormat="false" ht="15" hidden="false" customHeight="false" outlineLevel="0" collapsed="false">
      <c r="A1365" s="9"/>
      <c r="B1365" s="9"/>
      <c r="C1365" s="11"/>
      <c r="D1365" s="9"/>
      <c r="E1365" s="9"/>
      <c r="F1365" s="22" t="str">
        <f aca="false">IF(E1365="","",IFERROR(INDEX(02_INDICADORES!$B$2:$B$42,MATCH(E1365,02_INDICADORES!$A$2:$A$42,0)),"ID?"))</f>
        <v/>
      </c>
      <c r="G1365" s="21" t="str">
        <f aca="false">IF(E1365="","",IFERROR(INDEX(02_INDICADORES!$C$2:$C$42,MATCH(E1365,02_INDICADORES!$A$2:$A$42,0)),"ID?"))</f>
        <v/>
      </c>
      <c r="H1365" s="22" t="str">
        <f aca="false">IF(E1365="","",IFERROR(INDEX(02_INDICADORES!$D$2:$D$42,MATCH(E1365,02_INDICADORES!$A$2:$A$42,0)),""))</f>
        <v/>
      </c>
      <c r="I1365" s="9"/>
      <c r="J1365" s="16" t="str">
        <f aca="false">IF(OR(I1365="",H1365=""),"",I1365*H1365)</f>
        <v/>
      </c>
      <c r="K1365" s="9"/>
      <c r="L1365" s="9"/>
      <c r="M1365" s="9"/>
    </row>
    <row r="1366" customFormat="false" ht="15" hidden="false" customHeight="false" outlineLevel="0" collapsed="false">
      <c r="A1366" s="9"/>
      <c r="B1366" s="9"/>
      <c r="C1366" s="11"/>
      <c r="D1366" s="9"/>
      <c r="E1366" s="9"/>
      <c r="F1366" s="22" t="str">
        <f aca="false">IF(E1366="","",IFERROR(INDEX(02_INDICADORES!$B$2:$B$42,MATCH(E1366,02_INDICADORES!$A$2:$A$42,0)),"ID?"))</f>
        <v/>
      </c>
      <c r="G1366" s="21" t="str">
        <f aca="false">IF(E1366="","",IFERROR(INDEX(02_INDICADORES!$C$2:$C$42,MATCH(E1366,02_INDICADORES!$A$2:$A$42,0)),"ID?"))</f>
        <v/>
      </c>
      <c r="H1366" s="22" t="str">
        <f aca="false">IF(E1366="","",IFERROR(INDEX(02_INDICADORES!$D$2:$D$42,MATCH(E1366,02_INDICADORES!$A$2:$A$42,0)),""))</f>
        <v/>
      </c>
      <c r="I1366" s="9"/>
      <c r="J1366" s="16" t="str">
        <f aca="false">IF(OR(I1366="",H1366=""),"",I1366*H1366)</f>
        <v/>
      </c>
      <c r="K1366" s="9"/>
      <c r="L1366" s="9"/>
      <c r="M1366" s="9"/>
    </row>
    <row r="1367" customFormat="false" ht="15" hidden="false" customHeight="false" outlineLevel="0" collapsed="false">
      <c r="A1367" s="9"/>
      <c r="B1367" s="9"/>
      <c r="C1367" s="11"/>
      <c r="D1367" s="9"/>
      <c r="E1367" s="9"/>
      <c r="F1367" s="22" t="str">
        <f aca="false">IF(E1367="","",IFERROR(INDEX(02_INDICADORES!$B$2:$B$42,MATCH(E1367,02_INDICADORES!$A$2:$A$42,0)),"ID?"))</f>
        <v/>
      </c>
      <c r="G1367" s="21" t="str">
        <f aca="false">IF(E1367="","",IFERROR(INDEX(02_INDICADORES!$C$2:$C$42,MATCH(E1367,02_INDICADORES!$A$2:$A$42,0)),"ID?"))</f>
        <v/>
      </c>
      <c r="H1367" s="22" t="str">
        <f aca="false">IF(E1367="","",IFERROR(INDEX(02_INDICADORES!$D$2:$D$42,MATCH(E1367,02_INDICADORES!$A$2:$A$42,0)),""))</f>
        <v/>
      </c>
      <c r="I1367" s="9"/>
      <c r="J1367" s="16" t="str">
        <f aca="false">IF(OR(I1367="",H1367=""),"",I1367*H1367)</f>
        <v/>
      </c>
      <c r="K1367" s="9"/>
      <c r="L1367" s="9"/>
      <c r="M1367" s="9"/>
    </row>
    <row r="1368" customFormat="false" ht="15" hidden="false" customHeight="false" outlineLevel="0" collapsed="false">
      <c r="A1368" s="9"/>
      <c r="B1368" s="9"/>
      <c r="C1368" s="11"/>
      <c r="D1368" s="9"/>
      <c r="E1368" s="9"/>
      <c r="F1368" s="22" t="str">
        <f aca="false">IF(E1368="","",IFERROR(INDEX(02_INDICADORES!$B$2:$B$42,MATCH(E1368,02_INDICADORES!$A$2:$A$42,0)),"ID?"))</f>
        <v/>
      </c>
      <c r="G1368" s="21" t="str">
        <f aca="false">IF(E1368="","",IFERROR(INDEX(02_INDICADORES!$C$2:$C$42,MATCH(E1368,02_INDICADORES!$A$2:$A$42,0)),"ID?"))</f>
        <v/>
      </c>
      <c r="H1368" s="22" t="str">
        <f aca="false">IF(E1368="","",IFERROR(INDEX(02_INDICADORES!$D$2:$D$42,MATCH(E1368,02_INDICADORES!$A$2:$A$42,0)),""))</f>
        <v/>
      </c>
      <c r="I1368" s="9"/>
      <c r="J1368" s="16" t="str">
        <f aca="false">IF(OR(I1368="",H1368=""),"",I1368*H1368)</f>
        <v/>
      </c>
      <c r="K1368" s="9"/>
      <c r="L1368" s="9"/>
      <c r="M1368" s="9"/>
    </row>
    <row r="1369" customFormat="false" ht="15" hidden="false" customHeight="false" outlineLevel="0" collapsed="false">
      <c r="A1369" s="9"/>
      <c r="B1369" s="9"/>
      <c r="C1369" s="11"/>
      <c r="D1369" s="9"/>
      <c r="E1369" s="9"/>
      <c r="F1369" s="22" t="str">
        <f aca="false">IF(E1369="","",IFERROR(INDEX(02_INDICADORES!$B$2:$B$42,MATCH(E1369,02_INDICADORES!$A$2:$A$42,0)),"ID?"))</f>
        <v/>
      </c>
      <c r="G1369" s="21" t="str">
        <f aca="false">IF(E1369="","",IFERROR(INDEX(02_INDICADORES!$C$2:$C$42,MATCH(E1369,02_INDICADORES!$A$2:$A$42,0)),"ID?"))</f>
        <v/>
      </c>
      <c r="H1369" s="22" t="str">
        <f aca="false">IF(E1369="","",IFERROR(INDEX(02_INDICADORES!$D$2:$D$42,MATCH(E1369,02_INDICADORES!$A$2:$A$42,0)),""))</f>
        <v/>
      </c>
      <c r="I1369" s="9"/>
      <c r="J1369" s="16" t="str">
        <f aca="false">IF(OR(I1369="",H1369=""),"",I1369*H1369)</f>
        <v/>
      </c>
      <c r="K1369" s="9"/>
      <c r="L1369" s="9"/>
      <c r="M1369" s="9"/>
    </row>
    <row r="1370" customFormat="false" ht="15" hidden="false" customHeight="false" outlineLevel="0" collapsed="false">
      <c r="A1370" s="9"/>
      <c r="B1370" s="9"/>
      <c r="C1370" s="11"/>
      <c r="D1370" s="9"/>
      <c r="E1370" s="9"/>
      <c r="F1370" s="22" t="str">
        <f aca="false">IF(E1370="","",IFERROR(INDEX(02_INDICADORES!$B$2:$B$42,MATCH(E1370,02_INDICADORES!$A$2:$A$42,0)),"ID?"))</f>
        <v/>
      </c>
      <c r="G1370" s="21" t="str">
        <f aca="false">IF(E1370="","",IFERROR(INDEX(02_INDICADORES!$C$2:$C$42,MATCH(E1370,02_INDICADORES!$A$2:$A$42,0)),"ID?"))</f>
        <v/>
      </c>
      <c r="H1370" s="22" t="str">
        <f aca="false">IF(E1370="","",IFERROR(INDEX(02_INDICADORES!$D$2:$D$42,MATCH(E1370,02_INDICADORES!$A$2:$A$42,0)),""))</f>
        <v/>
      </c>
      <c r="I1370" s="9"/>
      <c r="J1370" s="16" t="str">
        <f aca="false">IF(OR(I1370="",H1370=""),"",I1370*H1370)</f>
        <v/>
      </c>
      <c r="K1370" s="9"/>
      <c r="L1370" s="9"/>
      <c r="M1370" s="9"/>
    </row>
    <row r="1371" customFormat="false" ht="15" hidden="false" customHeight="false" outlineLevel="0" collapsed="false">
      <c r="A1371" s="9"/>
      <c r="B1371" s="9"/>
      <c r="C1371" s="11"/>
      <c r="D1371" s="9"/>
      <c r="E1371" s="9"/>
      <c r="F1371" s="22" t="str">
        <f aca="false">IF(E1371="","",IFERROR(INDEX(02_INDICADORES!$B$2:$B$42,MATCH(E1371,02_INDICADORES!$A$2:$A$42,0)),"ID?"))</f>
        <v/>
      </c>
      <c r="G1371" s="21" t="str">
        <f aca="false">IF(E1371="","",IFERROR(INDEX(02_INDICADORES!$C$2:$C$42,MATCH(E1371,02_INDICADORES!$A$2:$A$42,0)),"ID?"))</f>
        <v/>
      </c>
      <c r="H1371" s="22" t="str">
        <f aca="false">IF(E1371="","",IFERROR(INDEX(02_INDICADORES!$D$2:$D$42,MATCH(E1371,02_INDICADORES!$A$2:$A$42,0)),""))</f>
        <v/>
      </c>
      <c r="I1371" s="9"/>
      <c r="J1371" s="16" t="str">
        <f aca="false">IF(OR(I1371="",H1371=""),"",I1371*H1371)</f>
        <v/>
      </c>
      <c r="K1371" s="9"/>
      <c r="L1371" s="9"/>
      <c r="M1371" s="9"/>
    </row>
    <row r="1372" customFormat="false" ht="15" hidden="false" customHeight="false" outlineLevel="0" collapsed="false">
      <c r="A1372" s="9"/>
      <c r="B1372" s="9"/>
      <c r="C1372" s="11"/>
      <c r="D1372" s="9"/>
      <c r="E1372" s="9"/>
      <c r="F1372" s="22" t="str">
        <f aca="false">IF(E1372="","",IFERROR(INDEX(02_INDICADORES!$B$2:$B$42,MATCH(E1372,02_INDICADORES!$A$2:$A$42,0)),"ID?"))</f>
        <v/>
      </c>
      <c r="G1372" s="21" t="str">
        <f aca="false">IF(E1372="","",IFERROR(INDEX(02_INDICADORES!$C$2:$C$42,MATCH(E1372,02_INDICADORES!$A$2:$A$42,0)),"ID?"))</f>
        <v/>
      </c>
      <c r="H1372" s="22" t="str">
        <f aca="false">IF(E1372="","",IFERROR(INDEX(02_INDICADORES!$D$2:$D$42,MATCH(E1372,02_INDICADORES!$A$2:$A$42,0)),""))</f>
        <v/>
      </c>
      <c r="I1372" s="9"/>
      <c r="J1372" s="16" t="str">
        <f aca="false">IF(OR(I1372="",H1372=""),"",I1372*H1372)</f>
        <v/>
      </c>
      <c r="K1372" s="9"/>
      <c r="L1372" s="9"/>
      <c r="M1372" s="9"/>
    </row>
    <row r="1373" customFormat="false" ht="15" hidden="false" customHeight="false" outlineLevel="0" collapsed="false">
      <c r="A1373" s="9"/>
      <c r="B1373" s="9"/>
      <c r="C1373" s="11"/>
      <c r="D1373" s="9"/>
      <c r="E1373" s="9"/>
      <c r="F1373" s="22" t="str">
        <f aca="false">IF(E1373="","",IFERROR(INDEX(02_INDICADORES!$B$2:$B$42,MATCH(E1373,02_INDICADORES!$A$2:$A$42,0)),"ID?"))</f>
        <v/>
      </c>
      <c r="G1373" s="21" t="str">
        <f aca="false">IF(E1373="","",IFERROR(INDEX(02_INDICADORES!$C$2:$C$42,MATCH(E1373,02_INDICADORES!$A$2:$A$42,0)),"ID?"))</f>
        <v/>
      </c>
      <c r="H1373" s="22" t="str">
        <f aca="false">IF(E1373="","",IFERROR(INDEX(02_INDICADORES!$D$2:$D$42,MATCH(E1373,02_INDICADORES!$A$2:$A$42,0)),""))</f>
        <v/>
      </c>
      <c r="I1373" s="9"/>
      <c r="J1373" s="16" t="str">
        <f aca="false">IF(OR(I1373="",H1373=""),"",I1373*H1373)</f>
        <v/>
      </c>
      <c r="K1373" s="9"/>
      <c r="L1373" s="9"/>
      <c r="M1373" s="9"/>
    </row>
    <row r="1374" customFormat="false" ht="15" hidden="false" customHeight="false" outlineLevel="0" collapsed="false">
      <c r="A1374" s="9"/>
      <c r="B1374" s="9"/>
      <c r="C1374" s="11"/>
      <c r="D1374" s="9"/>
      <c r="E1374" s="9"/>
      <c r="F1374" s="22" t="str">
        <f aca="false">IF(E1374="","",IFERROR(INDEX(02_INDICADORES!$B$2:$B$42,MATCH(E1374,02_INDICADORES!$A$2:$A$42,0)),"ID?"))</f>
        <v/>
      </c>
      <c r="G1374" s="21" t="str">
        <f aca="false">IF(E1374="","",IFERROR(INDEX(02_INDICADORES!$C$2:$C$42,MATCH(E1374,02_INDICADORES!$A$2:$A$42,0)),"ID?"))</f>
        <v/>
      </c>
      <c r="H1374" s="22" t="str">
        <f aca="false">IF(E1374="","",IFERROR(INDEX(02_INDICADORES!$D$2:$D$42,MATCH(E1374,02_INDICADORES!$A$2:$A$42,0)),""))</f>
        <v/>
      </c>
      <c r="I1374" s="9"/>
      <c r="J1374" s="16" t="str">
        <f aca="false">IF(OR(I1374="",H1374=""),"",I1374*H1374)</f>
        <v/>
      </c>
      <c r="K1374" s="9"/>
      <c r="L1374" s="9"/>
      <c r="M1374" s="9"/>
    </row>
    <row r="1375" customFormat="false" ht="15" hidden="false" customHeight="false" outlineLevel="0" collapsed="false">
      <c r="A1375" s="9"/>
      <c r="B1375" s="9"/>
      <c r="C1375" s="11"/>
      <c r="D1375" s="9"/>
      <c r="E1375" s="9"/>
      <c r="F1375" s="22" t="str">
        <f aca="false">IF(E1375="","",IFERROR(INDEX(02_INDICADORES!$B$2:$B$42,MATCH(E1375,02_INDICADORES!$A$2:$A$42,0)),"ID?"))</f>
        <v/>
      </c>
      <c r="G1375" s="21" t="str">
        <f aca="false">IF(E1375="","",IFERROR(INDEX(02_INDICADORES!$C$2:$C$42,MATCH(E1375,02_INDICADORES!$A$2:$A$42,0)),"ID?"))</f>
        <v/>
      </c>
      <c r="H1375" s="22" t="str">
        <f aca="false">IF(E1375="","",IFERROR(INDEX(02_INDICADORES!$D$2:$D$42,MATCH(E1375,02_INDICADORES!$A$2:$A$42,0)),""))</f>
        <v/>
      </c>
      <c r="I1375" s="9"/>
      <c r="J1375" s="16" t="str">
        <f aca="false">IF(OR(I1375="",H1375=""),"",I1375*H1375)</f>
        <v/>
      </c>
      <c r="K1375" s="9"/>
      <c r="L1375" s="9"/>
      <c r="M1375" s="9"/>
    </row>
    <row r="1376" customFormat="false" ht="15" hidden="false" customHeight="false" outlineLevel="0" collapsed="false">
      <c r="A1376" s="9"/>
      <c r="B1376" s="9"/>
      <c r="C1376" s="11"/>
      <c r="D1376" s="9"/>
      <c r="E1376" s="9"/>
      <c r="F1376" s="22" t="str">
        <f aca="false">IF(E1376="","",IFERROR(INDEX(02_INDICADORES!$B$2:$B$42,MATCH(E1376,02_INDICADORES!$A$2:$A$42,0)),"ID?"))</f>
        <v/>
      </c>
      <c r="G1376" s="21" t="str">
        <f aca="false">IF(E1376="","",IFERROR(INDEX(02_INDICADORES!$C$2:$C$42,MATCH(E1376,02_INDICADORES!$A$2:$A$42,0)),"ID?"))</f>
        <v/>
      </c>
      <c r="H1376" s="22" t="str">
        <f aca="false">IF(E1376="","",IFERROR(INDEX(02_INDICADORES!$D$2:$D$42,MATCH(E1376,02_INDICADORES!$A$2:$A$42,0)),""))</f>
        <v/>
      </c>
      <c r="I1376" s="9"/>
      <c r="J1376" s="16" t="str">
        <f aca="false">IF(OR(I1376="",H1376=""),"",I1376*H1376)</f>
        <v/>
      </c>
      <c r="K1376" s="9"/>
      <c r="L1376" s="9"/>
      <c r="M1376" s="9"/>
    </row>
    <row r="1377" customFormat="false" ht="15" hidden="false" customHeight="false" outlineLevel="0" collapsed="false">
      <c r="A1377" s="9"/>
      <c r="B1377" s="9"/>
      <c r="C1377" s="11"/>
      <c r="D1377" s="9"/>
      <c r="E1377" s="9"/>
      <c r="F1377" s="22" t="str">
        <f aca="false">IF(E1377="","",IFERROR(INDEX(02_INDICADORES!$B$2:$B$42,MATCH(E1377,02_INDICADORES!$A$2:$A$42,0)),"ID?"))</f>
        <v/>
      </c>
      <c r="G1377" s="21" t="str">
        <f aca="false">IF(E1377="","",IFERROR(INDEX(02_INDICADORES!$C$2:$C$42,MATCH(E1377,02_INDICADORES!$A$2:$A$42,0)),"ID?"))</f>
        <v/>
      </c>
      <c r="H1377" s="22" t="str">
        <f aca="false">IF(E1377="","",IFERROR(INDEX(02_INDICADORES!$D$2:$D$42,MATCH(E1377,02_INDICADORES!$A$2:$A$42,0)),""))</f>
        <v/>
      </c>
      <c r="I1377" s="9"/>
      <c r="J1377" s="16" t="str">
        <f aca="false">IF(OR(I1377="",H1377=""),"",I1377*H1377)</f>
        <v/>
      </c>
      <c r="K1377" s="9"/>
      <c r="L1377" s="9"/>
      <c r="M1377" s="9"/>
    </row>
    <row r="1378" customFormat="false" ht="15" hidden="false" customHeight="false" outlineLevel="0" collapsed="false">
      <c r="A1378" s="9"/>
      <c r="B1378" s="9"/>
      <c r="C1378" s="11"/>
      <c r="D1378" s="9"/>
      <c r="E1378" s="9"/>
      <c r="F1378" s="22" t="str">
        <f aca="false">IF(E1378="","",IFERROR(INDEX(02_INDICADORES!$B$2:$B$42,MATCH(E1378,02_INDICADORES!$A$2:$A$42,0)),"ID?"))</f>
        <v/>
      </c>
      <c r="G1378" s="21" t="str">
        <f aca="false">IF(E1378="","",IFERROR(INDEX(02_INDICADORES!$C$2:$C$42,MATCH(E1378,02_INDICADORES!$A$2:$A$42,0)),"ID?"))</f>
        <v/>
      </c>
      <c r="H1378" s="22" t="str">
        <f aca="false">IF(E1378="","",IFERROR(INDEX(02_INDICADORES!$D$2:$D$42,MATCH(E1378,02_INDICADORES!$A$2:$A$42,0)),""))</f>
        <v/>
      </c>
      <c r="I1378" s="9"/>
      <c r="J1378" s="16" t="str">
        <f aca="false">IF(OR(I1378="",H1378=""),"",I1378*H1378)</f>
        <v/>
      </c>
      <c r="K1378" s="9"/>
      <c r="L1378" s="9"/>
      <c r="M1378" s="9"/>
    </row>
    <row r="1379" customFormat="false" ht="15" hidden="false" customHeight="false" outlineLevel="0" collapsed="false">
      <c r="A1379" s="9"/>
      <c r="B1379" s="9"/>
      <c r="C1379" s="11"/>
      <c r="D1379" s="9"/>
      <c r="E1379" s="9"/>
      <c r="F1379" s="22" t="str">
        <f aca="false">IF(E1379="","",IFERROR(INDEX(02_INDICADORES!$B$2:$B$42,MATCH(E1379,02_INDICADORES!$A$2:$A$42,0)),"ID?"))</f>
        <v/>
      </c>
      <c r="G1379" s="21" t="str">
        <f aca="false">IF(E1379="","",IFERROR(INDEX(02_INDICADORES!$C$2:$C$42,MATCH(E1379,02_INDICADORES!$A$2:$A$42,0)),"ID?"))</f>
        <v/>
      </c>
      <c r="H1379" s="22" t="str">
        <f aca="false">IF(E1379="","",IFERROR(INDEX(02_INDICADORES!$D$2:$D$42,MATCH(E1379,02_INDICADORES!$A$2:$A$42,0)),""))</f>
        <v/>
      </c>
      <c r="I1379" s="9"/>
      <c r="J1379" s="16" t="str">
        <f aca="false">IF(OR(I1379="",H1379=""),"",I1379*H1379)</f>
        <v/>
      </c>
      <c r="K1379" s="9"/>
      <c r="L1379" s="9"/>
      <c r="M1379" s="9"/>
    </row>
    <row r="1380" customFormat="false" ht="15" hidden="false" customHeight="false" outlineLevel="0" collapsed="false">
      <c r="A1380" s="9"/>
      <c r="B1380" s="9"/>
      <c r="C1380" s="11"/>
      <c r="D1380" s="9"/>
      <c r="E1380" s="9"/>
      <c r="F1380" s="22" t="str">
        <f aca="false">IF(E1380="","",IFERROR(INDEX(02_INDICADORES!$B$2:$B$42,MATCH(E1380,02_INDICADORES!$A$2:$A$42,0)),"ID?"))</f>
        <v/>
      </c>
      <c r="G1380" s="21" t="str">
        <f aca="false">IF(E1380="","",IFERROR(INDEX(02_INDICADORES!$C$2:$C$42,MATCH(E1380,02_INDICADORES!$A$2:$A$42,0)),"ID?"))</f>
        <v/>
      </c>
      <c r="H1380" s="22" t="str">
        <f aca="false">IF(E1380="","",IFERROR(INDEX(02_INDICADORES!$D$2:$D$42,MATCH(E1380,02_INDICADORES!$A$2:$A$42,0)),""))</f>
        <v/>
      </c>
      <c r="I1380" s="9"/>
      <c r="J1380" s="16" t="str">
        <f aca="false">IF(OR(I1380="",H1380=""),"",I1380*H1380)</f>
        <v/>
      </c>
      <c r="K1380" s="9"/>
      <c r="L1380" s="9"/>
      <c r="M1380" s="9"/>
    </row>
    <row r="1381" customFormat="false" ht="15" hidden="false" customHeight="false" outlineLevel="0" collapsed="false">
      <c r="A1381" s="9"/>
      <c r="B1381" s="9"/>
      <c r="C1381" s="11"/>
      <c r="D1381" s="9"/>
      <c r="E1381" s="9"/>
      <c r="F1381" s="22" t="str">
        <f aca="false">IF(E1381="","",IFERROR(INDEX(02_INDICADORES!$B$2:$B$42,MATCH(E1381,02_INDICADORES!$A$2:$A$42,0)),"ID?"))</f>
        <v/>
      </c>
      <c r="G1381" s="21" t="str">
        <f aca="false">IF(E1381="","",IFERROR(INDEX(02_INDICADORES!$C$2:$C$42,MATCH(E1381,02_INDICADORES!$A$2:$A$42,0)),"ID?"))</f>
        <v/>
      </c>
      <c r="H1381" s="22" t="str">
        <f aca="false">IF(E1381="","",IFERROR(INDEX(02_INDICADORES!$D$2:$D$42,MATCH(E1381,02_INDICADORES!$A$2:$A$42,0)),""))</f>
        <v/>
      </c>
      <c r="I1381" s="9"/>
      <c r="J1381" s="16" t="str">
        <f aca="false">IF(OR(I1381="",H1381=""),"",I1381*H1381)</f>
        <v/>
      </c>
      <c r="K1381" s="9"/>
      <c r="L1381" s="9"/>
      <c r="M1381" s="9"/>
    </row>
    <row r="1382" customFormat="false" ht="15" hidden="false" customHeight="false" outlineLevel="0" collapsed="false">
      <c r="A1382" s="9"/>
      <c r="B1382" s="9"/>
      <c r="C1382" s="11"/>
      <c r="D1382" s="9"/>
      <c r="E1382" s="9"/>
      <c r="F1382" s="22" t="str">
        <f aca="false">IF(E1382="","",IFERROR(INDEX(02_INDICADORES!$B$2:$B$42,MATCH(E1382,02_INDICADORES!$A$2:$A$42,0)),"ID?"))</f>
        <v/>
      </c>
      <c r="G1382" s="21" t="str">
        <f aca="false">IF(E1382="","",IFERROR(INDEX(02_INDICADORES!$C$2:$C$42,MATCH(E1382,02_INDICADORES!$A$2:$A$42,0)),"ID?"))</f>
        <v/>
      </c>
      <c r="H1382" s="22" t="str">
        <f aca="false">IF(E1382="","",IFERROR(INDEX(02_INDICADORES!$D$2:$D$42,MATCH(E1382,02_INDICADORES!$A$2:$A$42,0)),""))</f>
        <v/>
      </c>
      <c r="I1382" s="9"/>
      <c r="J1382" s="16" t="str">
        <f aca="false">IF(OR(I1382="",H1382=""),"",I1382*H1382)</f>
        <v/>
      </c>
      <c r="K1382" s="9"/>
      <c r="L1382" s="9"/>
      <c r="M1382" s="9"/>
    </row>
    <row r="1383" customFormat="false" ht="15" hidden="false" customHeight="false" outlineLevel="0" collapsed="false">
      <c r="A1383" s="9"/>
      <c r="B1383" s="9"/>
      <c r="C1383" s="11"/>
      <c r="D1383" s="9"/>
      <c r="E1383" s="9"/>
      <c r="F1383" s="22" t="str">
        <f aca="false">IF(E1383="","",IFERROR(INDEX(02_INDICADORES!$B$2:$B$42,MATCH(E1383,02_INDICADORES!$A$2:$A$42,0)),"ID?"))</f>
        <v/>
      </c>
      <c r="G1383" s="21" t="str">
        <f aca="false">IF(E1383="","",IFERROR(INDEX(02_INDICADORES!$C$2:$C$42,MATCH(E1383,02_INDICADORES!$A$2:$A$42,0)),"ID?"))</f>
        <v/>
      </c>
      <c r="H1383" s="22" t="str">
        <f aca="false">IF(E1383="","",IFERROR(INDEX(02_INDICADORES!$D$2:$D$42,MATCH(E1383,02_INDICADORES!$A$2:$A$42,0)),""))</f>
        <v/>
      </c>
      <c r="I1383" s="9"/>
      <c r="J1383" s="16" t="str">
        <f aca="false">IF(OR(I1383="",H1383=""),"",I1383*H1383)</f>
        <v/>
      </c>
      <c r="K1383" s="9"/>
      <c r="L1383" s="9"/>
      <c r="M1383" s="9"/>
    </row>
    <row r="1384" customFormat="false" ht="15" hidden="false" customHeight="false" outlineLevel="0" collapsed="false">
      <c r="A1384" s="9"/>
      <c r="B1384" s="9"/>
      <c r="C1384" s="11"/>
      <c r="D1384" s="9"/>
      <c r="E1384" s="9"/>
      <c r="F1384" s="22" t="str">
        <f aca="false">IF(E1384="","",IFERROR(INDEX(02_INDICADORES!$B$2:$B$42,MATCH(E1384,02_INDICADORES!$A$2:$A$42,0)),"ID?"))</f>
        <v/>
      </c>
      <c r="G1384" s="21" t="str">
        <f aca="false">IF(E1384="","",IFERROR(INDEX(02_INDICADORES!$C$2:$C$42,MATCH(E1384,02_INDICADORES!$A$2:$A$42,0)),"ID?"))</f>
        <v/>
      </c>
      <c r="H1384" s="22" t="str">
        <f aca="false">IF(E1384="","",IFERROR(INDEX(02_INDICADORES!$D$2:$D$42,MATCH(E1384,02_INDICADORES!$A$2:$A$42,0)),""))</f>
        <v/>
      </c>
      <c r="I1384" s="9"/>
      <c r="J1384" s="16" t="str">
        <f aca="false">IF(OR(I1384="",H1384=""),"",I1384*H1384)</f>
        <v/>
      </c>
      <c r="K1384" s="9"/>
      <c r="L1384" s="9"/>
      <c r="M1384" s="9"/>
    </row>
    <row r="1385" customFormat="false" ht="15" hidden="false" customHeight="false" outlineLevel="0" collapsed="false">
      <c r="A1385" s="9"/>
      <c r="B1385" s="9"/>
      <c r="C1385" s="11"/>
      <c r="D1385" s="9"/>
      <c r="E1385" s="9"/>
      <c r="F1385" s="22" t="str">
        <f aca="false">IF(E1385="","",IFERROR(INDEX(02_INDICADORES!$B$2:$B$42,MATCH(E1385,02_INDICADORES!$A$2:$A$42,0)),"ID?"))</f>
        <v/>
      </c>
      <c r="G1385" s="21" t="str">
        <f aca="false">IF(E1385="","",IFERROR(INDEX(02_INDICADORES!$C$2:$C$42,MATCH(E1385,02_INDICADORES!$A$2:$A$42,0)),"ID?"))</f>
        <v/>
      </c>
      <c r="H1385" s="22" t="str">
        <f aca="false">IF(E1385="","",IFERROR(INDEX(02_INDICADORES!$D$2:$D$42,MATCH(E1385,02_INDICADORES!$A$2:$A$42,0)),""))</f>
        <v/>
      </c>
      <c r="I1385" s="9"/>
      <c r="J1385" s="16" t="str">
        <f aca="false">IF(OR(I1385="",H1385=""),"",I1385*H1385)</f>
        <v/>
      </c>
      <c r="K1385" s="9"/>
      <c r="L1385" s="9"/>
      <c r="M1385" s="9"/>
    </row>
    <row r="1386" customFormat="false" ht="15" hidden="false" customHeight="false" outlineLevel="0" collapsed="false">
      <c r="A1386" s="9"/>
      <c r="B1386" s="9"/>
      <c r="C1386" s="11"/>
      <c r="D1386" s="9"/>
      <c r="E1386" s="9"/>
      <c r="F1386" s="22" t="str">
        <f aca="false">IF(E1386="","",IFERROR(INDEX(02_INDICADORES!$B$2:$B$42,MATCH(E1386,02_INDICADORES!$A$2:$A$42,0)),"ID?"))</f>
        <v/>
      </c>
      <c r="G1386" s="21" t="str">
        <f aca="false">IF(E1386="","",IFERROR(INDEX(02_INDICADORES!$C$2:$C$42,MATCH(E1386,02_INDICADORES!$A$2:$A$42,0)),"ID?"))</f>
        <v/>
      </c>
      <c r="H1386" s="22" t="str">
        <f aca="false">IF(E1386="","",IFERROR(INDEX(02_INDICADORES!$D$2:$D$42,MATCH(E1386,02_INDICADORES!$A$2:$A$42,0)),""))</f>
        <v/>
      </c>
      <c r="I1386" s="9"/>
      <c r="J1386" s="16" t="str">
        <f aca="false">IF(OR(I1386="",H1386=""),"",I1386*H1386)</f>
        <v/>
      </c>
      <c r="K1386" s="9"/>
      <c r="L1386" s="9"/>
      <c r="M1386" s="9"/>
    </row>
    <row r="1387" customFormat="false" ht="15" hidden="false" customHeight="false" outlineLevel="0" collapsed="false">
      <c r="A1387" s="9"/>
      <c r="B1387" s="9"/>
      <c r="C1387" s="11"/>
      <c r="D1387" s="9"/>
      <c r="E1387" s="9"/>
      <c r="F1387" s="22" t="str">
        <f aca="false">IF(E1387="","",IFERROR(INDEX(02_INDICADORES!$B$2:$B$42,MATCH(E1387,02_INDICADORES!$A$2:$A$42,0)),"ID?"))</f>
        <v/>
      </c>
      <c r="G1387" s="21" t="str">
        <f aca="false">IF(E1387="","",IFERROR(INDEX(02_INDICADORES!$C$2:$C$42,MATCH(E1387,02_INDICADORES!$A$2:$A$42,0)),"ID?"))</f>
        <v/>
      </c>
      <c r="H1387" s="22" t="str">
        <f aca="false">IF(E1387="","",IFERROR(INDEX(02_INDICADORES!$D$2:$D$42,MATCH(E1387,02_INDICADORES!$A$2:$A$42,0)),""))</f>
        <v/>
      </c>
      <c r="I1387" s="9"/>
      <c r="J1387" s="16" t="str">
        <f aca="false">IF(OR(I1387="",H1387=""),"",I1387*H1387)</f>
        <v/>
      </c>
      <c r="K1387" s="9"/>
      <c r="L1387" s="9"/>
      <c r="M1387" s="9"/>
    </row>
    <row r="1388" customFormat="false" ht="15" hidden="false" customHeight="false" outlineLevel="0" collapsed="false">
      <c r="A1388" s="9"/>
      <c r="B1388" s="9"/>
      <c r="C1388" s="11"/>
      <c r="D1388" s="9"/>
      <c r="E1388" s="9"/>
      <c r="F1388" s="22" t="str">
        <f aca="false">IF(E1388="","",IFERROR(INDEX(02_INDICADORES!$B$2:$B$42,MATCH(E1388,02_INDICADORES!$A$2:$A$42,0)),"ID?"))</f>
        <v/>
      </c>
      <c r="G1388" s="21" t="str">
        <f aca="false">IF(E1388="","",IFERROR(INDEX(02_INDICADORES!$C$2:$C$42,MATCH(E1388,02_INDICADORES!$A$2:$A$42,0)),"ID?"))</f>
        <v/>
      </c>
      <c r="H1388" s="22" t="str">
        <f aca="false">IF(E1388="","",IFERROR(INDEX(02_INDICADORES!$D$2:$D$42,MATCH(E1388,02_INDICADORES!$A$2:$A$42,0)),""))</f>
        <v/>
      </c>
      <c r="I1388" s="9"/>
      <c r="J1388" s="16" t="str">
        <f aca="false">IF(OR(I1388="",H1388=""),"",I1388*H1388)</f>
        <v/>
      </c>
      <c r="K1388" s="9"/>
      <c r="L1388" s="9"/>
      <c r="M1388" s="9"/>
    </row>
    <row r="1389" customFormat="false" ht="15" hidden="false" customHeight="false" outlineLevel="0" collapsed="false">
      <c r="A1389" s="9"/>
      <c r="B1389" s="9"/>
      <c r="C1389" s="11"/>
      <c r="D1389" s="9"/>
      <c r="E1389" s="9"/>
      <c r="F1389" s="22" t="str">
        <f aca="false">IF(E1389="","",IFERROR(INDEX(02_INDICADORES!$B$2:$B$42,MATCH(E1389,02_INDICADORES!$A$2:$A$42,0)),"ID?"))</f>
        <v/>
      </c>
      <c r="G1389" s="21" t="str">
        <f aca="false">IF(E1389="","",IFERROR(INDEX(02_INDICADORES!$C$2:$C$42,MATCH(E1389,02_INDICADORES!$A$2:$A$42,0)),"ID?"))</f>
        <v/>
      </c>
      <c r="H1389" s="22" t="str">
        <f aca="false">IF(E1389="","",IFERROR(INDEX(02_INDICADORES!$D$2:$D$42,MATCH(E1389,02_INDICADORES!$A$2:$A$42,0)),""))</f>
        <v/>
      </c>
      <c r="I1389" s="9"/>
      <c r="J1389" s="16" t="str">
        <f aca="false">IF(OR(I1389="",H1389=""),"",I1389*H1389)</f>
        <v/>
      </c>
      <c r="K1389" s="9"/>
      <c r="L1389" s="9"/>
      <c r="M1389" s="9"/>
    </row>
    <row r="1390" customFormat="false" ht="15" hidden="false" customHeight="false" outlineLevel="0" collapsed="false">
      <c r="A1390" s="9"/>
      <c r="B1390" s="9"/>
      <c r="C1390" s="11"/>
      <c r="D1390" s="9"/>
      <c r="E1390" s="9"/>
      <c r="F1390" s="22" t="str">
        <f aca="false">IF(E1390="","",IFERROR(INDEX(02_INDICADORES!$B$2:$B$42,MATCH(E1390,02_INDICADORES!$A$2:$A$42,0)),"ID?"))</f>
        <v/>
      </c>
      <c r="G1390" s="21" t="str">
        <f aca="false">IF(E1390="","",IFERROR(INDEX(02_INDICADORES!$C$2:$C$42,MATCH(E1390,02_INDICADORES!$A$2:$A$42,0)),"ID?"))</f>
        <v/>
      </c>
      <c r="H1390" s="22" t="str">
        <f aca="false">IF(E1390="","",IFERROR(INDEX(02_INDICADORES!$D$2:$D$42,MATCH(E1390,02_INDICADORES!$A$2:$A$42,0)),""))</f>
        <v/>
      </c>
      <c r="I1390" s="9"/>
      <c r="J1390" s="16" t="str">
        <f aca="false">IF(OR(I1390="",H1390=""),"",I1390*H1390)</f>
        <v/>
      </c>
      <c r="K1390" s="9"/>
      <c r="L1390" s="9"/>
      <c r="M1390" s="9"/>
    </row>
    <row r="1391" customFormat="false" ht="15" hidden="false" customHeight="false" outlineLevel="0" collapsed="false">
      <c r="A1391" s="9"/>
      <c r="B1391" s="9"/>
      <c r="C1391" s="11"/>
      <c r="D1391" s="9"/>
      <c r="E1391" s="9"/>
      <c r="F1391" s="22" t="str">
        <f aca="false">IF(E1391="","",IFERROR(INDEX(02_INDICADORES!$B$2:$B$42,MATCH(E1391,02_INDICADORES!$A$2:$A$42,0)),"ID?"))</f>
        <v/>
      </c>
      <c r="G1391" s="21" t="str">
        <f aca="false">IF(E1391="","",IFERROR(INDEX(02_INDICADORES!$C$2:$C$42,MATCH(E1391,02_INDICADORES!$A$2:$A$42,0)),"ID?"))</f>
        <v/>
      </c>
      <c r="H1391" s="22" t="str">
        <f aca="false">IF(E1391="","",IFERROR(INDEX(02_INDICADORES!$D$2:$D$42,MATCH(E1391,02_INDICADORES!$A$2:$A$42,0)),""))</f>
        <v/>
      </c>
      <c r="I1391" s="9"/>
      <c r="J1391" s="16" t="str">
        <f aca="false">IF(OR(I1391="",H1391=""),"",I1391*H1391)</f>
        <v/>
      </c>
      <c r="K1391" s="9"/>
      <c r="L1391" s="9"/>
      <c r="M1391" s="9"/>
    </row>
    <row r="1392" customFormat="false" ht="15" hidden="false" customHeight="false" outlineLevel="0" collapsed="false">
      <c r="A1392" s="9"/>
      <c r="B1392" s="9"/>
      <c r="C1392" s="11"/>
      <c r="D1392" s="9"/>
      <c r="E1392" s="9"/>
      <c r="F1392" s="22" t="str">
        <f aca="false">IF(E1392="","",IFERROR(INDEX(02_INDICADORES!$B$2:$B$42,MATCH(E1392,02_INDICADORES!$A$2:$A$42,0)),"ID?"))</f>
        <v/>
      </c>
      <c r="G1392" s="21" t="str">
        <f aca="false">IF(E1392="","",IFERROR(INDEX(02_INDICADORES!$C$2:$C$42,MATCH(E1392,02_INDICADORES!$A$2:$A$42,0)),"ID?"))</f>
        <v/>
      </c>
      <c r="H1392" s="22" t="str">
        <f aca="false">IF(E1392="","",IFERROR(INDEX(02_INDICADORES!$D$2:$D$42,MATCH(E1392,02_INDICADORES!$A$2:$A$42,0)),""))</f>
        <v/>
      </c>
      <c r="I1392" s="9"/>
      <c r="J1392" s="16" t="str">
        <f aca="false">IF(OR(I1392="",H1392=""),"",I1392*H1392)</f>
        <v/>
      </c>
      <c r="K1392" s="9"/>
      <c r="L1392" s="9"/>
      <c r="M1392" s="9"/>
    </row>
    <row r="1393" customFormat="false" ht="15" hidden="false" customHeight="false" outlineLevel="0" collapsed="false">
      <c r="A1393" s="9"/>
      <c r="B1393" s="9"/>
      <c r="C1393" s="11"/>
      <c r="D1393" s="9"/>
      <c r="E1393" s="9"/>
      <c r="F1393" s="22" t="str">
        <f aca="false">IF(E1393="","",IFERROR(INDEX(02_INDICADORES!$B$2:$B$42,MATCH(E1393,02_INDICADORES!$A$2:$A$42,0)),"ID?"))</f>
        <v/>
      </c>
      <c r="G1393" s="21" t="str">
        <f aca="false">IF(E1393="","",IFERROR(INDEX(02_INDICADORES!$C$2:$C$42,MATCH(E1393,02_INDICADORES!$A$2:$A$42,0)),"ID?"))</f>
        <v/>
      </c>
      <c r="H1393" s="22" t="str">
        <f aca="false">IF(E1393="","",IFERROR(INDEX(02_INDICADORES!$D$2:$D$42,MATCH(E1393,02_INDICADORES!$A$2:$A$42,0)),""))</f>
        <v/>
      </c>
      <c r="I1393" s="9"/>
      <c r="J1393" s="16" t="str">
        <f aca="false">IF(OR(I1393="",H1393=""),"",I1393*H1393)</f>
        <v/>
      </c>
      <c r="K1393" s="9"/>
      <c r="L1393" s="9"/>
      <c r="M1393" s="9"/>
    </row>
    <row r="1394" customFormat="false" ht="15" hidden="false" customHeight="false" outlineLevel="0" collapsed="false">
      <c r="A1394" s="9"/>
      <c r="B1394" s="9"/>
      <c r="C1394" s="11"/>
      <c r="D1394" s="9"/>
      <c r="E1394" s="9"/>
      <c r="F1394" s="22" t="str">
        <f aca="false">IF(E1394="","",IFERROR(INDEX(02_INDICADORES!$B$2:$B$42,MATCH(E1394,02_INDICADORES!$A$2:$A$42,0)),"ID?"))</f>
        <v/>
      </c>
      <c r="G1394" s="21" t="str">
        <f aca="false">IF(E1394="","",IFERROR(INDEX(02_INDICADORES!$C$2:$C$42,MATCH(E1394,02_INDICADORES!$A$2:$A$42,0)),"ID?"))</f>
        <v/>
      </c>
      <c r="H1394" s="22" t="str">
        <f aca="false">IF(E1394="","",IFERROR(INDEX(02_INDICADORES!$D$2:$D$42,MATCH(E1394,02_INDICADORES!$A$2:$A$42,0)),""))</f>
        <v/>
      </c>
      <c r="I1394" s="9"/>
      <c r="J1394" s="16" t="str">
        <f aca="false">IF(OR(I1394="",H1394=""),"",I1394*H1394)</f>
        <v/>
      </c>
      <c r="K1394" s="9"/>
      <c r="L1394" s="9"/>
      <c r="M1394" s="9"/>
    </row>
    <row r="1395" customFormat="false" ht="15" hidden="false" customHeight="false" outlineLevel="0" collapsed="false">
      <c r="A1395" s="9"/>
      <c r="B1395" s="9"/>
      <c r="C1395" s="11"/>
      <c r="D1395" s="9"/>
      <c r="E1395" s="9"/>
      <c r="F1395" s="22" t="str">
        <f aca="false">IF(E1395="","",IFERROR(INDEX(02_INDICADORES!$B$2:$B$42,MATCH(E1395,02_INDICADORES!$A$2:$A$42,0)),"ID?"))</f>
        <v/>
      </c>
      <c r="G1395" s="21" t="str">
        <f aca="false">IF(E1395="","",IFERROR(INDEX(02_INDICADORES!$C$2:$C$42,MATCH(E1395,02_INDICADORES!$A$2:$A$42,0)),"ID?"))</f>
        <v/>
      </c>
      <c r="H1395" s="22" t="str">
        <f aca="false">IF(E1395="","",IFERROR(INDEX(02_INDICADORES!$D$2:$D$42,MATCH(E1395,02_INDICADORES!$A$2:$A$42,0)),""))</f>
        <v/>
      </c>
      <c r="I1395" s="9"/>
      <c r="J1395" s="16" t="str">
        <f aca="false">IF(OR(I1395="",H1395=""),"",I1395*H1395)</f>
        <v/>
      </c>
      <c r="K1395" s="9"/>
      <c r="L1395" s="9"/>
      <c r="M1395" s="9"/>
    </row>
    <row r="1396" customFormat="false" ht="15" hidden="false" customHeight="false" outlineLevel="0" collapsed="false">
      <c r="A1396" s="9"/>
      <c r="B1396" s="9"/>
      <c r="C1396" s="11"/>
      <c r="D1396" s="9"/>
      <c r="E1396" s="9"/>
      <c r="F1396" s="22" t="str">
        <f aca="false">IF(E1396="","",IFERROR(INDEX(02_INDICADORES!$B$2:$B$42,MATCH(E1396,02_INDICADORES!$A$2:$A$42,0)),"ID?"))</f>
        <v/>
      </c>
      <c r="G1396" s="21" t="str">
        <f aca="false">IF(E1396="","",IFERROR(INDEX(02_INDICADORES!$C$2:$C$42,MATCH(E1396,02_INDICADORES!$A$2:$A$42,0)),"ID?"))</f>
        <v/>
      </c>
      <c r="H1396" s="22" t="str">
        <f aca="false">IF(E1396="","",IFERROR(INDEX(02_INDICADORES!$D$2:$D$42,MATCH(E1396,02_INDICADORES!$A$2:$A$42,0)),""))</f>
        <v/>
      </c>
      <c r="I1396" s="9"/>
      <c r="J1396" s="16" t="str">
        <f aca="false">IF(OR(I1396="",H1396=""),"",I1396*H1396)</f>
        <v/>
      </c>
      <c r="K1396" s="9"/>
      <c r="L1396" s="9"/>
      <c r="M1396" s="9"/>
    </row>
    <row r="1397" customFormat="false" ht="15" hidden="false" customHeight="false" outlineLevel="0" collapsed="false">
      <c r="A1397" s="9"/>
      <c r="B1397" s="9"/>
      <c r="C1397" s="11"/>
      <c r="D1397" s="9"/>
      <c r="E1397" s="9"/>
      <c r="F1397" s="22" t="str">
        <f aca="false">IF(E1397="","",IFERROR(INDEX(02_INDICADORES!$B$2:$B$42,MATCH(E1397,02_INDICADORES!$A$2:$A$42,0)),"ID?"))</f>
        <v/>
      </c>
      <c r="G1397" s="21" t="str">
        <f aca="false">IF(E1397="","",IFERROR(INDEX(02_INDICADORES!$C$2:$C$42,MATCH(E1397,02_INDICADORES!$A$2:$A$42,0)),"ID?"))</f>
        <v/>
      </c>
      <c r="H1397" s="22" t="str">
        <f aca="false">IF(E1397="","",IFERROR(INDEX(02_INDICADORES!$D$2:$D$42,MATCH(E1397,02_INDICADORES!$A$2:$A$42,0)),""))</f>
        <v/>
      </c>
      <c r="I1397" s="9"/>
      <c r="J1397" s="16" t="str">
        <f aca="false">IF(OR(I1397="",H1397=""),"",I1397*H1397)</f>
        <v/>
      </c>
      <c r="K1397" s="9"/>
      <c r="L1397" s="9"/>
      <c r="M1397" s="9"/>
    </row>
    <row r="1398" customFormat="false" ht="15" hidden="false" customHeight="false" outlineLevel="0" collapsed="false">
      <c r="A1398" s="9"/>
      <c r="B1398" s="9"/>
      <c r="C1398" s="11"/>
      <c r="D1398" s="9"/>
      <c r="E1398" s="9"/>
      <c r="F1398" s="22" t="str">
        <f aca="false">IF(E1398="","",IFERROR(INDEX(02_INDICADORES!$B$2:$B$42,MATCH(E1398,02_INDICADORES!$A$2:$A$42,0)),"ID?"))</f>
        <v/>
      </c>
      <c r="G1398" s="21" t="str">
        <f aca="false">IF(E1398="","",IFERROR(INDEX(02_INDICADORES!$C$2:$C$42,MATCH(E1398,02_INDICADORES!$A$2:$A$42,0)),"ID?"))</f>
        <v/>
      </c>
      <c r="H1398" s="22" t="str">
        <f aca="false">IF(E1398="","",IFERROR(INDEX(02_INDICADORES!$D$2:$D$42,MATCH(E1398,02_INDICADORES!$A$2:$A$42,0)),""))</f>
        <v/>
      </c>
      <c r="I1398" s="9"/>
      <c r="J1398" s="16" t="str">
        <f aca="false">IF(OR(I1398="",H1398=""),"",I1398*H1398)</f>
        <v/>
      </c>
      <c r="K1398" s="9"/>
      <c r="L1398" s="9"/>
      <c r="M1398" s="9"/>
    </row>
    <row r="1399" customFormat="false" ht="15" hidden="false" customHeight="false" outlineLevel="0" collapsed="false">
      <c r="A1399" s="9"/>
      <c r="B1399" s="9"/>
      <c r="C1399" s="11"/>
      <c r="D1399" s="9"/>
      <c r="E1399" s="9"/>
      <c r="F1399" s="22" t="str">
        <f aca="false">IF(E1399="","",IFERROR(INDEX(02_INDICADORES!$B$2:$B$42,MATCH(E1399,02_INDICADORES!$A$2:$A$42,0)),"ID?"))</f>
        <v/>
      </c>
      <c r="G1399" s="21" t="str">
        <f aca="false">IF(E1399="","",IFERROR(INDEX(02_INDICADORES!$C$2:$C$42,MATCH(E1399,02_INDICADORES!$A$2:$A$42,0)),"ID?"))</f>
        <v/>
      </c>
      <c r="H1399" s="22" t="str">
        <f aca="false">IF(E1399="","",IFERROR(INDEX(02_INDICADORES!$D$2:$D$42,MATCH(E1399,02_INDICADORES!$A$2:$A$42,0)),""))</f>
        <v/>
      </c>
      <c r="I1399" s="9"/>
      <c r="J1399" s="16" t="str">
        <f aca="false">IF(OR(I1399="",H1399=""),"",I1399*H1399)</f>
        <v/>
      </c>
      <c r="K1399" s="9"/>
      <c r="L1399" s="9"/>
      <c r="M1399" s="9"/>
    </row>
    <row r="1400" customFormat="false" ht="15" hidden="false" customHeight="false" outlineLevel="0" collapsed="false">
      <c r="A1400" s="9"/>
      <c r="B1400" s="9"/>
      <c r="C1400" s="11"/>
      <c r="D1400" s="9"/>
      <c r="E1400" s="9"/>
      <c r="F1400" s="22" t="str">
        <f aca="false">IF(E1400="","",IFERROR(INDEX(02_INDICADORES!$B$2:$B$42,MATCH(E1400,02_INDICADORES!$A$2:$A$42,0)),"ID?"))</f>
        <v/>
      </c>
      <c r="G1400" s="21" t="str">
        <f aca="false">IF(E1400="","",IFERROR(INDEX(02_INDICADORES!$C$2:$C$42,MATCH(E1400,02_INDICADORES!$A$2:$A$42,0)),"ID?"))</f>
        <v/>
      </c>
      <c r="H1400" s="22" t="str">
        <f aca="false">IF(E1400="","",IFERROR(INDEX(02_INDICADORES!$D$2:$D$42,MATCH(E1400,02_INDICADORES!$A$2:$A$42,0)),""))</f>
        <v/>
      </c>
      <c r="I1400" s="9"/>
      <c r="J1400" s="16" t="str">
        <f aca="false">IF(OR(I1400="",H1400=""),"",I1400*H1400)</f>
        <v/>
      </c>
      <c r="K1400" s="9"/>
      <c r="L1400" s="9"/>
      <c r="M1400" s="9"/>
    </row>
    <row r="1401" customFormat="false" ht="15" hidden="false" customHeight="false" outlineLevel="0" collapsed="false">
      <c r="A1401" s="9"/>
      <c r="B1401" s="9"/>
      <c r="C1401" s="11"/>
      <c r="D1401" s="9"/>
      <c r="E1401" s="9"/>
      <c r="F1401" s="22" t="str">
        <f aca="false">IF(E1401="","",IFERROR(INDEX(02_INDICADORES!$B$2:$B$42,MATCH(E1401,02_INDICADORES!$A$2:$A$42,0)),"ID?"))</f>
        <v/>
      </c>
      <c r="G1401" s="21" t="str">
        <f aca="false">IF(E1401="","",IFERROR(INDEX(02_INDICADORES!$C$2:$C$42,MATCH(E1401,02_INDICADORES!$A$2:$A$42,0)),"ID?"))</f>
        <v/>
      </c>
      <c r="H1401" s="22" t="str">
        <f aca="false">IF(E1401="","",IFERROR(INDEX(02_INDICADORES!$D$2:$D$42,MATCH(E1401,02_INDICADORES!$A$2:$A$42,0)),""))</f>
        <v/>
      </c>
      <c r="I1401" s="9"/>
      <c r="J1401" s="16" t="str">
        <f aca="false">IF(OR(I1401="",H1401=""),"",I1401*H1401)</f>
        <v/>
      </c>
      <c r="K1401" s="9"/>
      <c r="L1401" s="9"/>
      <c r="M1401" s="9"/>
    </row>
    <row r="1402" customFormat="false" ht="15" hidden="false" customHeight="false" outlineLevel="0" collapsed="false">
      <c r="A1402" s="9"/>
      <c r="B1402" s="9"/>
      <c r="C1402" s="11"/>
      <c r="D1402" s="9"/>
      <c r="E1402" s="9"/>
      <c r="F1402" s="22" t="str">
        <f aca="false">IF(E1402="","",IFERROR(INDEX(02_INDICADORES!$B$2:$B$42,MATCH(E1402,02_INDICADORES!$A$2:$A$42,0)),"ID?"))</f>
        <v/>
      </c>
      <c r="G1402" s="21" t="str">
        <f aca="false">IF(E1402="","",IFERROR(INDEX(02_INDICADORES!$C$2:$C$42,MATCH(E1402,02_INDICADORES!$A$2:$A$42,0)),"ID?"))</f>
        <v/>
      </c>
      <c r="H1402" s="22" t="str">
        <f aca="false">IF(E1402="","",IFERROR(INDEX(02_INDICADORES!$D$2:$D$42,MATCH(E1402,02_INDICADORES!$A$2:$A$42,0)),""))</f>
        <v/>
      </c>
      <c r="I1402" s="9"/>
      <c r="J1402" s="16" t="str">
        <f aca="false">IF(OR(I1402="",H1402=""),"",I1402*H1402)</f>
        <v/>
      </c>
      <c r="K1402" s="9"/>
      <c r="L1402" s="9"/>
      <c r="M1402" s="9"/>
    </row>
    <row r="1403" customFormat="false" ht="15" hidden="false" customHeight="false" outlineLevel="0" collapsed="false">
      <c r="A1403" s="9"/>
      <c r="B1403" s="9"/>
      <c r="C1403" s="11"/>
      <c r="D1403" s="9"/>
      <c r="E1403" s="9"/>
      <c r="F1403" s="22" t="str">
        <f aca="false">IF(E1403="","",IFERROR(INDEX(02_INDICADORES!$B$2:$B$42,MATCH(E1403,02_INDICADORES!$A$2:$A$42,0)),"ID?"))</f>
        <v/>
      </c>
      <c r="G1403" s="21" t="str">
        <f aca="false">IF(E1403="","",IFERROR(INDEX(02_INDICADORES!$C$2:$C$42,MATCH(E1403,02_INDICADORES!$A$2:$A$42,0)),"ID?"))</f>
        <v/>
      </c>
      <c r="H1403" s="22" t="str">
        <f aca="false">IF(E1403="","",IFERROR(INDEX(02_INDICADORES!$D$2:$D$42,MATCH(E1403,02_INDICADORES!$A$2:$A$42,0)),""))</f>
        <v/>
      </c>
      <c r="I1403" s="9"/>
      <c r="J1403" s="16" t="str">
        <f aca="false">IF(OR(I1403="",H1403=""),"",I1403*H1403)</f>
        <v/>
      </c>
      <c r="K1403" s="9"/>
      <c r="L1403" s="9"/>
      <c r="M1403" s="9"/>
    </row>
    <row r="1404" customFormat="false" ht="15" hidden="false" customHeight="false" outlineLevel="0" collapsed="false">
      <c r="A1404" s="9"/>
      <c r="B1404" s="9"/>
      <c r="C1404" s="11"/>
      <c r="D1404" s="9"/>
      <c r="E1404" s="9"/>
      <c r="F1404" s="22" t="str">
        <f aca="false">IF(E1404="","",IFERROR(INDEX(02_INDICADORES!$B$2:$B$42,MATCH(E1404,02_INDICADORES!$A$2:$A$42,0)),"ID?"))</f>
        <v/>
      </c>
      <c r="G1404" s="21" t="str">
        <f aca="false">IF(E1404="","",IFERROR(INDEX(02_INDICADORES!$C$2:$C$42,MATCH(E1404,02_INDICADORES!$A$2:$A$42,0)),"ID?"))</f>
        <v/>
      </c>
      <c r="H1404" s="22" t="str">
        <f aca="false">IF(E1404="","",IFERROR(INDEX(02_INDICADORES!$D$2:$D$42,MATCH(E1404,02_INDICADORES!$A$2:$A$42,0)),""))</f>
        <v/>
      </c>
      <c r="I1404" s="9"/>
      <c r="J1404" s="16" t="str">
        <f aca="false">IF(OR(I1404="",H1404=""),"",I1404*H1404)</f>
        <v/>
      </c>
      <c r="K1404" s="9"/>
      <c r="L1404" s="9"/>
      <c r="M1404" s="9"/>
    </row>
    <row r="1405" customFormat="false" ht="15" hidden="false" customHeight="false" outlineLevel="0" collapsed="false">
      <c r="A1405" s="9"/>
      <c r="B1405" s="9"/>
      <c r="C1405" s="11"/>
      <c r="D1405" s="9"/>
      <c r="E1405" s="9"/>
      <c r="F1405" s="22" t="str">
        <f aca="false">IF(E1405="","",IFERROR(INDEX(02_INDICADORES!$B$2:$B$42,MATCH(E1405,02_INDICADORES!$A$2:$A$42,0)),"ID?"))</f>
        <v/>
      </c>
      <c r="G1405" s="21" t="str">
        <f aca="false">IF(E1405="","",IFERROR(INDEX(02_INDICADORES!$C$2:$C$42,MATCH(E1405,02_INDICADORES!$A$2:$A$42,0)),"ID?"))</f>
        <v/>
      </c>
      <c r="H1405" s="22" t="str">
        <f aca="false">IF(E1405="","",IFERROR(INDEX(02_INDICADORES!$D$2:$D$42,MATCH(E1405,02_INDICADORES!$A$2:$A$42,0)),""))</f>
        <v/>
      </c>
      <c r="I1405" s="9"/>
      <c r="J1405" s="16" t="str">
        <f aca="false">IF(OR(I1405="",H1405=""),"",I1405*H1405)</f>
        <v/>
      </c>
      <c r="K1405" s="9"/>
      <c r="L1405" s="9"/>
      <c r="M1405" s="9"/>
    </row>
    <row r="1406" customFormat="false" ht="15" hidden="false" customHeight="false" outlineLevel="0" collapsed="false">
      <c r="A1406" s="9"/>
      <c r="B1406" s="9"/>
      <c r="C1406" s="11"/>
      <c r="D1406" s="9"/>
      <c r="E1406" s="9"/>
      <c r="F1406" s="22" t="str">
        <f aca="false">IF(E1406="","",IFERROR(INDEX(02_INDICADORES!$B$2:$B$42,MATCH(E1406,02_INDICADORES!$A$2:$A$42,0)),"ID?"))</f>
        <v/>
      </c>
      <c r="G1406" s="21" t="str">
        <f aca="false">IF(E1406="","",IFERROR(INDEX(02_INDICADORES!$C$2:$C$42,MATCH(E1406,02_INDICADORES!$A$2:$A$42,0)),"ID?"))</f>
        <v/>
      </c>
      <c r="H1406" s="22" t="str">
        <f aca="false">IF(E1406="","",IFERROR(INDEX(02_INDICADORES!$D$2:$D$42,MATCH(E1406,02_INDICADORES!$A$2:$A$42,0)),""))</f>
        <v/>
      </c>
      <c r="I1406" s="9"/>
      <c r="J1406" s="16" t="str">
        <f aca="false">IF(OR(I1406="",H1406=""),"",I1406*H1406)</f>
        <v/>
      </c>
      <c r="K1406" s="9"/>
      <c r="L1406" s="9"/>
      <c r="M1406" s="9"/>
    </row>
    <row r="1407" customFormat="false" ht="15" hidden="false" customHeight="false" outlineLevel="0" collapsed="false">
      <c r="A1407" s="9"/>
      <c r="B1407" s="9"/>
      <c r="C1407" s="11"/>
      <c r="D1407" s="9"/>
      <c r="E1407" s="9"/>
      <c r="F1407" s="22" t="str">
        <f aca="false">IF(E1407="","",IFERROR(INDEX(02_INDICADORES!$B$2:$B$42,MATCH(E1407,02_INDICADORES!$A$2:$A$42,0)),"ID?"))</f>
        <v/>
      </c>
      <c r="G1407" s="21" t="str">
        <f aca="false">IF(E1407="","",IFERROR(INDEX(02_INDICADORES!$C$2:$C$42,MATCH(E1407,02_INDICADORES!$A$2:$A$42,0)),"ID?"))</f>
        <v/>
      </c>
      <c r="H1407" s="22" t="str">
        <f aca="false">IF(E1407="","",IFERROR(INDEX(02_INDICADORES!$D$2:$D$42,MATCH(E1407,02_INDICADORES!$A$2:$A$42,0)),""))</f>
        <v/>
      </c>
      <c r="I1407" s="9"/>
      <c r="J1407" s="16" t="str">
        <f aca="false">IF(OR(I1407="",H1407=""),"",I1407*H1407)</f>
        <v/>
      </c>
      <c r="K1407" s="9"/>
      <c r="L1407" s="9"/>
      <c r="M1407" s="9"/>
    </row>
    <row r="1408" customFormat="false" ht="15" hidden="false" customHeight="false" outlineLevel="0" collapsed="false">
      <c r="A1408" s="9"/>
      <c r="B1408" s="9"/>
      <c r="C1408" s="11"/>
      <c r="D1408" s="9"/>
      <c r="E1408" s="9"/>
      <c r="F1408" s="22" t="str">
        <f aca="false">IF(E1408="","",IFERROR(INDEX(02_INDICADORES!$B$2:$B$42,MATCH(E1408,02_INDICADORES!$A$2:$A$42,0)),"ID?"))</f>
        <v/>
      </c>
      <c r="G1408" s="21" t="str">
        <f aca="false">IF(E1408="","",IFERROR(INDEX(02_INDICADORES!$C$2:$C$42,MATCH(E1408,02_INDICADORES!$A$2:$A$42,0)),"ID?"))</f>
        <v/>
      </c>
      <c r="H1408" s="22" t="str">
        <f aca="false">IF(E1408="","",IFERROR(INDEX(02_INDICADORES!$D$2:$D$42,MATCH(E1408,02_INDICADORES!$A$2:$A$42,0)),""))</f>
        <v/>
      </c>
      <c r="I1408" s="9"/>
      <c r="J1408" s="16" t="str">
        <f aca="false">IF(OR(I1408="",H1408=""),"",I1408*H1408)</f>
        <v/>
      </c>
      <c r="K1408" s="9"/>
      <c r="L1408" s="9"/>
      <c r="M1408" s="9"/>
    </row>
    <row r="1409" customFormat="false" ht="15" hidden="false" customHeight="false" outlineLevel="0" collapsed="false">
      <c r="A1409" s="9"/>
      <c r="B1409" s="9"/>
      <c r="C1409" s="11"/>
      <c r="D1409" s="9"/>
      <c r="E1409" s="9"/>
      <c r="F1409" s="22" t="str">
        <f aca="false">IF(E1409="","",IFERROR(INDEX(02_INDICADORES!$B$2:$B$42,MATCH(E1409,02_INDICADORES!$A$2:$A$42,0)),"ID?"))</f>
        <v/>
      </c>
      <c r="G1409" s="21" t="str">
        <f aca="false">IF(E1409="","",IFERROR(INDEX(02_INDICADORES!$C$2:$C$42,MATCH(E1409,02_INDICADORES!$A$2:$A$42,0)),"ID?"))</f>
        <v/>
      </c>
      <c r="H1409" s="22" t="str">
        <f aca="false">IF(E1409="","",IFERROR(INDEX(02_INDICADORES!$D$2:$D$42,MATCH(E1409,02_INDICADORES!$A$2:$A$42,0)),""))</f>
        <v/>
      </c>
      <c r="I1409" s="9"/>
      <c r="J1409" s="16" t="str">
        <f aca="false">IF(OR(I1409="",H1409=""),"",I1409*H1409)</f>
        <v/>
      </c>
      <c r="K1409" s="9"/>
      <c r="L1409" s="9"/>
      <c r="M1409" s="9"/>
    </row>
    <row r="1410" customFormat="false" ht="15" hidden="false" customHeight="false" outlineLevel="0" collapsed="false">
      <c r="A1410" s="9"/>
      <c r="B1410" s="9"/>
      <c r="C1410" s="11"/>
      <c r="D1410" s="9"/>
      <c r="E1410" s="9"/>
      <c r="F1410" s="22" t="str">
        <f aca="false">IF(E1410="","",IFERROR(INDEX(02_INDICADORES!$B$2:$B$42,MATCH(E1410,02_INDICADORES!$A$2:$A$42,0)),"ID?"))</f>
        <v/>
      </c>
      <c r="G1410" s="21" t="str">
        <f aca="false">IF(E1410="","",IFERROR(INDEX(02_INDICADORES!$C$2:$C$42,MATCH(E1410,02_INDICADORES!$A$2:$A$42,0)),"ID?"))</f>
        <v/>
      </c>
      <c r="H1410" s="22" t="str">
        <f aca="false">IF(E1410="","",IFERROR(INDEX(02_INDICADORES!$D$2:$D$42,MATCH(E1410,02_INDICADORES!$A$2:$A$42,0)),""))</f>
        <v/>
      </c>
      <c r="I1410" s="9"/>
      <c r="J1410" s="16" t="str">
        <f aca="false">IF(OR(I1410="",H1410=""),"",I1410*H1410)</f>
        <v/>
      </c>
      <c r="K1410" s="9"/>
      <c r="L1410" s="9"/>
      <c r="M1410" s="9"/>
    </row>
    <row r="1411" customFormat="false" ht="15" hidden="false" customHeight="false" outlineLevel="0" collapsed="false">
      <c r="A1411" s="9"/>
      <c r="B1411" s="9"/>
      <c r="C1411" s="11"/>
      <c r="D1411" s="9"/>
      <c r="E1411" s="9"/>
      <c r="F1411" s="22" t="str">
        <f aca="false">IF(E1411="","",IFERROR(INDEX(02_INDICADORES!$B$2:$B$42,MATCH(E1411,02_INDICADORES!$A$2:$A$42,0)),"ID?"))</f>
        <v/>
      </c>
      <c r="G1411" s="21" t="str">
        <f aca="false">IF(E1411="","",IFERROR(INDEX(02_INDICADORES!$C$2:$C$42,MATCH(E1411,02_INDICADORES!$A$2:$A$42,0)),"ID?"))</f>
        <v/>
      </c>
      <c r="H1411" s="22" t="str">
        <f aca="false">IF(E1411="","",IFERROR(INDEX(02_INDICADORES!$D$2:$D$42,MATCH(E1411,02_INDICADORES!$A$2:$A$42,0)),""))</f>
        <v/>
      </c>
      <c r="I1411" s="9"/>
      <c r="J1411" s="16" t="str">
        <f aca="false">IF(OR(I1411="",H1411=""),"",I1411*H1411)</f>
        <v/>
      </c>
      <c r="K1411" s="9"/>
      <c r="L1411" s="9"/>
      <c r="M1411" s="9"/>
    </row>
    <row r="1412" customFormat="false" ht="15" hidden="false" customHeight="false" outlineLevel="0" collapsed="false">
      <c r="A1412" s="9"/>
      <c r="B1412" s="9"/>
      <c r="C1412" s="11"/>
      <c r="D1412" s="9"/>
      <c r="E1412" s="9"/>
      <c r="F1412" s="22" t="str">
        <f aca="false">IF(E1412="","",IFERROR(INDEX(02_INDICADORES!$B$2:$B$42,MATCH(E1412,02_INDICADORES!$A$2:$A$42,0)),"ID?"))</f>
        <v/>
      </c>
      <c r="G1412" s="21" t="str">
        <f aca="false">IF(E1412="","",IFERROR(INDEX(02_INDICADORES!$C$2:$C$42,MATCH(E1412,02_INDICADORES!$A$2:$A$42,0)),"ID?"))</f>
        <v/>
      </c>
      <c r="H1412" s="22" t="str">
        <f aca="false">IF(E1412="","",IFERROR(INDEX(02_INDICADORES!$D$2:$D$42,MATCH(E1412,02_INDICADORES!$A$2:$A$42,0)),""))</f>
        <v/>
      </c>
      <c r="I1412" s="9"/>
      <c r="J1412" s="16" t="str">
        <f aca="false">IF(OR(I1412="",H1412=""),"",I1412*H1412)</f>
        <v/>
      </c>
      <c r="K1412" s="9"/>
      <c r="L1412" s="9"/>
      <c r="M1412" s="9"/>
    </row>
    <row r="1413" customFormat="false" ht="15" hidden="false" customHeight="false" outlineLevel="0" collapsed="false">
      <c r="A1413" s="9"/>
      <c r="B1413" s="9"/>
      <c r="C1413" s="11"/>
      <c r="D1413" s="9"/>
      <c r="E1413" s="9"/>
      <c r="F1413" s="22" t="str">
        <f aca="false">IF(E1413="","",IFERROR(INDEX(02_INDICADORES!$B$2:$B$42,MATCH(E1413,02_INDICADORES!$A$2:$A$42,0)),"ID?"))</f>
        <v/>
      </c>
      <c r="G1413" s="21" t="str">
        <f aca="false">IF(E1413="","",IFERROR(INDEX(02_INDICADORES!$C$2:$C$42,MATCH(E1413,02_INDICADORES!$A$2:$A$42,0)),"ID?"))</f>
        <v/>
      </c>
      <c r="H1413" s="22" t="str">
        <f aca="false">IF(E1413="","",IFERROR(INDEX(02_INDICADORES!$D$2:$D$42,MATCH(E1413,02_INDICADORES!$A$2:$A$42,0)),""))</f>
        <v/>
      </c>
      <c r="I1413" s="9"/>
      <c r="J1413" s="16" t="str">
        <f aca="false">IF(OR(I1413="",H1413=""),"",I1413*H1413)</f>
        <v/>
      </c>
      <c r="K1413" s="9"/>
      <c r="L1413" s="9"/>
      <c r="M1413" s="9"/>
    </row>
    <row r="1414" customFormat="false" ht="15" hidden="false" customHeight="false" outlineLevel="0" collapsed="false">
      <c r="A1414" s="9"/>
      <c r="B1414" s="9"/>
      <c r="C1414" s="11"/>
      <c r="D1414" s="9"/>
      <c r="E1414" s="9"/>
      <c r="F1414" s="22" t="str">
        <f aca="false">IF(E1414="","",IFERROR(INDEX(02_INDICADORES!$B$2:$B$42,MATCH(E1414,02_INDICADORES!$A$2:$A$42,0)),"ID?"))</f>
        <v/>
      </c>
      <c r="G1414" s="21" t="str">
        <f aca="false">IF(E1414="","",IFERROR(INDEX(02_INDICADORES!$C$2:$C$42,MATCH(E1414,02_INDICADORES!$A$2:$A$42,0)),"ID?"))</f>
        <v/>
      </c>
      <c r="H1414" s="22" t="str">
        <f aca="false">IF(E1414="","",IFERROR(INDEX(02_INDICADORES!$D$2:$D$42,MATCH(E1414,02_INDICADORES!$A$2:$A$42,0)),""))</f>
        <v/>
      </c>
      <c r="I1414" s="9"/>
      <c r="J1414" s="16" t="str">
        <f aca="false">IF(OR(I1414="",H1414=""),"",I1414*H1414)</f>
        <v/>
      </c>
      <c r="K1414" s="9"/>
      <c r="L1414" s="9"/>
      <c r="M1414" s="9"/>
    </row>
    <row r="1415" customFormat="false" ht="15" hidden="false" customHeight="false" outlineLevel="0" collapsed="false">
      <c r="A1415" s="9"/>
      <c r="B1415" s="9"/>
      <c r="C1415" s="11"/>
      <c r="D1415" s="9"/>
      <c r="E1415" s="9"/>
      <c r="F1415" s="22" t="str">
        <f aca="false">IF(E1415="","",IFERROR(INDEX(02_INDICADORES!$B$2:$B$42,MATCH(E1415,02_INDICADORES!$A$2:$A$42,0)),"ID?"))</f>
        <v/>
      </c>
      <c r="G1415" s="21" t="str">
        <f aca="false">IF(E1415="","",IFERROR(INDEX(02_INDICADORES!$C$2:$C$42,MATCH(E1415,02_INDICADORES!$A$2:$A$42,0)),"ID?"))</f>
        <v/>
      </c>
      <c r="H1415" s="22" t="str">
        <f aca="false">IF(E1415="","",IFERROR(INDEX(02_INDICADORES!$D$2:$D$42,MATCH(E1415,02_INDICADORES!$A$2:$A$42,0)),""))</f>
        <v/>
      </c>
      <c r="I1415" s="9"/>
      <c r="J1415" s="16" t="str">
        <f aca="false">IF(OR(I1415="",H1415=""),"",I1415*H1415)</f>
        <v/>
      </c>
      <c r="K1415" s="9"/>
      <c r="L1415" s="9"/>
      <c r="M1415" s="9"/>
    </row>
    <row r="1416" customFormat="false" ht="15" hidden="false" customHeight="false" outlineLevel="0" collapsed="false">
      <c r="A1416" s="9"/>
      <c r="B1416" s="9"/>
      <c r="C1416" s="11"/>
      <c r="D1416" s="9"/>
      <c r="E1416" s="9"/>
      <c r="F1416" s="22" t="str">
        <f aca="false">IF(E1416="","",IFERROR(INDEX(02_INDICADORES!$B$2:$B$42,MATCH(E1416,02_INDICADORES!$A$2:$A$42,0)),"ID?"))</f>
        <v/>
      </c>
      <c r="G1416" s="21" t="str">
        <f aca="false">IF(E1416="","",IFERROR(INDEX(02_INDICADORES!$C$2:$C$42,MATCH(E1416,02_INDICADORES!$A$2:$A$42,0)),"ID?"))</f>
        <v/>
      </c>
      <c r="H1416" s="22" t="str">
        <f aca="false">IF(E1416="","",IFERROR(INDEX(02_INDICADORES!$D$2:$D$42,MATCH(E1416,02_INDICADORES!$A$2:$A$42,0)),""))</f>
        <v/>
      </c>
      <c r="I1416" s="9"/>
      <c r="J1416" s="16" t="str">
        <f aca="false">IF(OR(I1416="",H1416=""),"",I1416*H1416)</f>
        <v/>
      </c>
      <c r="K1416" s="9"/>
      <c r="L1416" s="9"/>
      <c r="M1416" s="9"/>
    </row>
    <row r="1417" customFormat="false" ht="15" hidden="false" customHeight="false" outlineLevel="0" collapsed="false">
      <c r="A1417" s="9"/>
      <c r="B1417" s="9"/>
      <c r="C1417" s="11"/>
      <c r="D1417" s="9"/>
      <c r="E1417" s="9"/>
      <c r="F1417" s="22" t="str">
        <f aca="false">IF(E1417="","",IFERROR(INDEX(02_INDICADORES!$B$2:$B$42,MATCH(E1417,02_INDICADORES!$A$2:$A$42,0)),"ID?"))</f>
        <v/>
      </c>
      <c r="G1417" s="21" t="str">
        <f aca="false">IF(E1417="","",IFERROR(INDEX(02_INDICADORES!$C$2:$C$42,MATCH(E1417,02_INDICADORES!$A$2:$A$42,0)),"ID?"))</f>
        <v/>
      </c>
      <c r="H1417" s="22" t="str">
        <f aca="false">IF(E1417="","",IFERROR(INDEX(02_INDICADORES!$D$2:$D$42,MATCH(E1417,02_INDICADORES!$A$2:$A$42,0)),""))</f>
        <v/>
      </c>
      <c r="I1417" s="9"/>
      <c r="J1417" s="16" t="str">
        <f aca="false">IF(OR(I1417="",H1417=""),"",I1417*H1417)</f>
        <v/>
      </c>
      <c r="K1417" s="9"/>
      <c r="L1417" s="9"/>
      <c r="M1417" s="9"/>
    </row>
    <row r="1418" customFormat="false" ht="15" hidden="false" customHeight="false" outlineLevel="0" collapsed="false">
      <c r="A1418" s="9"/>
      <c r="B1418" s="9"/>
      <c r="C1418" s="11"/>
      <c r="D1418" s="9"/>
      <c r="E1418" s="9"/>
      <c r="F1418" s="22" t="str">
        <f aca="false">IF(E1418="","",IFERROR(INDEX(02_INDICADORES!$B$2:$B$42,MATCH(E1418,02_INDICADORES!$A$2:$A$42,0)),"ID?"))</f>
        <v/>
      </c>
      <c r="G1418" s="21" t="str">
        <f aca="false">IF(E1418="","",IFERROR(INDEX(02_INDICADORES!$C$2:$C$42,MATCH(E1418,02_INDICADORES!$A$2:$A$42,0)),"ID?"))</f>
        <v/>
      </c>
      <c r="H1418" s="22" t="str">
        <f aca="false">IF(E1418="","",IFERROR(INDEX(02_INDICADORES!$D$2:$D$42,MATCH(E1418,02_INDICADORES!$A$2:$A$42,0)),""))</f>
        <v/>
      </c>
      <c r="I1418" s="9"/>
      <c r="J1418" s="16" t="str">
        <f aca="false">IF(OR(I1418="",H1418=""),"",I1418*H1418)</f>
        <v/>
      </c>
      <c r="K1418" s="9"/>
      <c r="L1418" s="9"/>
      <c r="M1418" s="9"/>
    </row>
    <row r="1419" customFormat="false" ht="15" hidden="false" customHeight="false" outlineLevel="0" collapsed="false">
      <c r="A1419" s="9"/>
      <c r="B1419" s="9"/>
      <c r="C1419" s="11"/>
      <c r="D1419" s="9"/>
      <c r="E1419" s="9"/>
      <c r="F1419" s="22" t="str">
        <f aca="false">IF(E1419="","",IFERROR(INDEX(02_INDICADORES!$B$2:$B$42,MATCH(E1419,02_INDICADORES!$A$2:$A$42,0)),"ID?"))</f>
        <v/>
      </c>
      <c r="G1419" s="21" t="str">
        <f aca="false">IF(E1419="","",IFERROR(INDEX(02_INDICADORES!$C$2:$C$42,MATCH(E1419,02_INDICADORES!$A$2:$A$42,0)),"ID?"))</f>
        <v/>
      </c>
      <c r="H1419" s="22" t="str">
        <f aca="false">IF(E1419="","",IFERROR(INDEX(02_INDICADORES!$D$2:$D$42,MATCH(E1419,02_INDICADORES!$A$2:$A$42,0)),""))</f>
        <v/>
      </c>
      <c r="I1419" s="9"/>
      <c r="J1419" s="16" t="str">
        <f aca="false">IF(OR(I1419="",H1419=""),"",I1419*H1419)</f>
        <v/>
      </c>
      <c r="K1419" s="9"/>
      <c r="L1419" s="9"/>
      <c r="M1419" s="9"/>
    </row>
    <row r="1420" customFormat="false" ht="15" hidden="false" customHeight="false" outlineLevel="0" collapsed="false">
      <c r="A1420" s="9"/>
      <c r="B1420" s="9"/>
      <c r="C1420" s="11"/>
      <c r="D1420" s="9"/>
      <c r="E1420" s="9"/>
      <c r="F1420" s="22" t="str">
        <f aca="false">IF(E1420="","",IFERROR(INDEX(02_INDICADORES!$B$2:$B$42,MATCH(E1420,02_INDICADORES!$A$2:$A$42,0)),"ID?"))</f>
        <v/>
      </c>
      <c r="G1420" s="21" t="str">
        <f aca="false">IF(E1420="","",IFERROR(INDEX(02_INDICADORES!$C$2:$C$42,MATCH(E1420,02_INDICADORES!$A$2:$A$42,0)),"ID?"))</f>
        <v/>
      </c>
      <c r="H1420" s="22" t="str">
        <f aca="false">IF(E1420="","",IFERROR(INDEX(02_INDICADORES!$D$2:$D$42,MATCH(E1420,02_INDICADORES!$A$2:$A$42,0)),""))</f>
        <v/>
      </c>
      <c r="I1420" s="9"/>
      <c r="J1420" s="16" t="str">
        <f aca="false">IF(OR(I1420="",H1420=""),"",I1420*H1420)</f>
        <v/>
      </c>
      <c r="K1420" s="9"/>
      <c r="L1420" s="9"/>
      <c r="M1420" s="9"/>
    </row>
    <row r="1421" customFormat="false" ht="15" hidden="false" customHeight="false" outlineLevel="0" collapsed="false">
      <c r="A1421" s="9"/>
      <c r="B1421" s="9"/>
      <c r="C1421" s="11"/>
      <c r="D1421" s="9"/>
      <c r="E1421" s="9"/>
      <c r="F1421" s="22" t="str">
        <f aca="false">IF(E1421="","",IFERROR(INDEX(02_INDICADORES!$B$2:$B$42,MATCH(E1421,02_INDICADORES!$A$2:$A$42,0)),"ID?"))</f>
        <v/>
      </c>
      <c r="G1421" s="21" t="str">
        <f aca="false">IF(E1421="","",IFERROR(INDEX(02_INDICADORES!$C$2:$C$42,MATCH(E1421,02_INDICADORES!$A$2:$A$42,0)),"ID?"))</f>
        <v/>
      </c>
      <c r="H1421" s="22" t="str">
        <f aca="false">IF(E1421="","",IFERROR(INDEX(02_INDICADORES!$D$2:$D$42,MATCH(E1421,02_INDICADORES!$A$2:$A$42,0)),""))</f>
        <v/>
      </c>
      <c r="I1421" s="9"/>
      <c r="J1421" s="16" t="str">
        <f aca="false">IF(OR(I1421="",H1421=""),"",I1421*H1421)</f>
        <v/>
      </c>
      <c r="K1421" s="9"/>
      <c r="L1421" s="9"/>
      <c r="M1421" s="9"/>
    </row>
    <row r="1422" customFormat="false" ht="15" hidden="false" customHeight="false" outlineLevel="0" collapsed="false">
      <c r="A1422" s="9"/>
      <c r="B1422" s="9"/>
      <c r="C1422" s="11"/>
      <c r="D1422" s="9"/>
      <c r="E1422" s="9"/>
      <c r="F1422" s="22" t="str">
        <f aca="false">IF(E1422="","",IFERROR(INDEX(02_INDICADORES!$B$2:$B$42,MATCH(E1422,02_INDICADORES!$A$2:$A$42,0)),"ID?"))</f>
        <v/>
      </c>
      <c r="G1422" s="21" t="str">
        <f aca="false">IF(E1422="","",IFERROR(INDEX(02_INDICADORES!$C$2:$C$42,MATCH(E1422,02_INDICADORES!$A$2:$A$42,0)),"ID?"))</f>
        <v/>
      </c>
      <c r="H1422" s="22" t="str">
        <f aca="false">IF(E1422="","",IFERROR(INDEX(02_INDICADORES!$D$2:$D$42,MATCH(E1422,02_INDICADORES!$A$2:$A$42,0)),""))</f>
        <v/>
      </c>
      <c r="I1422" s="9"/>
      <c r="J1422" s="16" t="str">
        <f aca="false">IF(OR(I1422="",H1422=""),"",I1422*H1422)</f>
        <v/>
      </c>
      <c r="K1422" s="9"/>
      <c r="L1422" s="9"/>
      <c r="M1422" s="9"/>
    </row>
    <row r="1423" customFormat="false" ht="15" hidden="false" customHeight="false" outlineLevel="0" collapsed="false">
      <c r="A1423" s="9"/>
      <c r="B1423" s="9"/>
      <c r="C1423" s="11"/>
      <c r="D1423" s="9"/>
      <c r="E1423" s="9"/>
      <c r="F1423" s="22" t="str">
        <f aca="false">IF(E1423="","",IFERROR(INDEX(02_INDICADORES!$B$2:$B$42,MATCH(E1423,02_INDICADORES!$A$2:$A$42,0)),"ID?"))</f>
        <v/>
      </c>
      <c r="G1423" s="21" t="str">
        <f aca="false">IF(E1423="","",IFERROR(INDEX(02_INDICADORES!$C$2:$C$42,MATCH(E1423,02_INDICADORES!$A$2:$A$42,0)),"ID?"))</f>
        <v/>
      </c>
      <c r="H1423" s="22" t="str">
        <f aca="false">IF(E1423="","",IFERROR(INDEX(02_INDICADORES!$D$2:$D$42,MATCH(E1423,02_INDICADORES!$A$2:$A$42,0)),""))</f>
        <v/>
      </c>
      <c r="I1423" s="9"/>
      <c r="J1423" s="16" t="str">
        <f aca="false">IF(OR(I1423="",H1423=""),"",I1423*H1423)</f>
        <v/>
      </c>
      <c r="K1423" s="9"/>
      <c r="L1423" s="9"/>
      <c r="M1423" s="9"/>
    </row>
    <row r="1424" customFormat="false" ht="15" hidden="false" customHeight="false" outlineLevel="0" collapsed="false">
      <c r="A1424" s="9"/>
      <c r="B1424" s="9"/>
      <c r="C1424" s="11"/>
      <c r="D1424" s="9"/>
      <c r="E1424" s="9"/>
      <c r="F1424" s="22" t="str">
        <f aca="false">IF(E1424="","",IFERROR(INDEX(02_INDICADORES!$B$2:$B$42,MATCH(E1424,02_INDICADORES!$A$2:$A$42,0)),"ID?"))</f>
        <v/>
      </c>
      <c r="G1424" s="21" t="str">
        <f aca="false">IF(E1424="","",IFERROR(INDEX(02_INDICADORES!$C$2:$C$42,MATCH(E1424,02_INDICADORES!$A$2:$A$42,0)),"ID?"))</f>
        <v/>
      </c>
      <c r="H1424" s="22" t="str">
        <f aca="false">IF(E1424="","",IFERROR(INDEX(02_INDICADORES!$D$2:$D$42,MATCH(E1424,02_INDICADORES!$A$2:$A$42,0)),""))</f>
        <v/>
      </c>
      <c r="I1424" s="9"/>
      <c r="J1424" s="16" t="str">
        <f aca="false">IF(OR(I1424="",H1424=""),"",I1424*H1424)</f>
        <v/>
      </c>
      <c r="K1424" s="9"/>
      <c r="L1424" s="9"/>
      <c r="M1424" s="9"/>
    </row>
    <row r="1425" customFormat="false" ht="15" hidden="false" customHeight="false" outlineLevel="0" collapsed="false">
      <c r="A1425" s="9"/>
      <c r="B1425" s="9"/>
      <c r="C1425" s="11"/>
      <c r="D1425" s="9"/>
      <c r="E1425" s="9"/>
      <c r="F1425" s="22" t="str">
        <f aca="false">IF(E1425="","",IFERROR(INDEX(02_INDICADORES!$B$2:$B$42,MATCH(E1425,02_INDICADORES!$A$2:$A$42,0)),"ID?"))</f>
        <v/>
      </c>
      <c r="G1425" s="21" t="str">
        <f aca="false">IF(E1425="","",IFERROR(INDEX(02_INDICADORES!$C$2:$C$42,MATCH(E1425,02_INDICADORES!$A$2:$A$42,0)),"ID?"))</f>
        <v/>
      </c>
      <c r="H1425" s="22" t="str">
        <f aca="false">IF(E1425="","",IFERROR(INDEX(02_INDICADORES!$D$2:$D$42,MATCH(E1425,02_INDICADORES!$A$2:$A$42,0)),""))</f>
        <v/>
      </c>
      <c r="I1425" s="9"/>
      <c r="J1425" s="16" t="str">
        <f aca="false">IF(OR(I1425="",H1425=""),"",I1425*H1425)</f>
        <v/>
      </c>
      <c r="K1425" s="9"/>
      <c r="L1425" s="9"/>
      <c r="M1425" s="9"/>
    </row>
    <row r="1426" customFormat="false" ht="15" hidden="false" customHeight="false" outlineLevel="0" collapsed="false">
      <c r="A1426" s="9"/>
      <c r="B1426" s="9"/>
      <c r="C1426" s="11"/>
      <c r="D1426" s="9"/>
      <c r="E1426" s="9"/>
      <c r="F1426" s="22" t="str">
        <f aca="false">IF(E1426="","",IFERROR(INDEX(02_INDICADORES!$B$2:$B$42,MATCH(E1426,02_INDICADORES!$A$2:$A$42,0)),"ID?"))</f>
        <v/>
      </c>
      <c r="G1426" s="21" t="str">
        <f aca="false">IF(E1426="","",IFERROR(INDEX(02_INDICADORES!$C$2:$C$42,MATCH(E1426,02_INDICADORES!$A$2:$A$42,0)),"ID?"))</f>
        <v/>
      </c>
      <c r="H1426" s="22" t="str">
        <f aca="false">IF(E1426="","",IFERROR(INDEX(02_INDICADORES!$D$2:$D$42,MATCH(E1426,02_INDICADORES!$A$2:$A$42,0)),""))</f>
        <v/>
      </c>
      <c r="I1426" s="9"/>
      <c r="J1426" s="16" t="str">
        <f aca="false">IF(OR(I1426="",H1426=""),"",I1426*H1426)</f>
        <v/>
      </c>
      <c r="K1426" s="9"/>
      <c r="L1426" s="9"/>
      <c r="M1426" s="9"/>
    </row>
    <row r="1427" customFormat="false" ht="15" hidden="false" customHeight="false" outlineLevel="0" collapsed="false">
      <c r="A1427" s="9"/>
      <c r="B1427" s="9"/>
      <c r="C1427" s="11"/>
      <c r="D1427" s="9"/>
      <c r="E1427" s="9"/>
      <c r="F1427" s="22" t="str">
        <f aca="false">IF(E1427="","",IFERROR(INDEX(02_INDICADORES!$B$2:$B$42,MATCH(E1427,02_INDICADORES!$A$2:$A$42,0)),"ID?"))</f>
        <v/>
      </c>
      <c r="G1427" s="21" t="str">
        <f aca="false">IF(E1427="","",IFERROR(INDEX(02_INDICADORES!$C$2:$C$42,MATCH(E1427,02_INDICADORES!$A$2:$A$42,0)),"ID?"))</f>
        <v/>
      </c>
      <c r="H1427" s="22" t="str">
        <f aca="false">IF(E1427="","",IFERROR(INDEX(02_INDICADORES!$D$2:$D$42,MATCH(E1427,02_INDICADORES!$A$2:$A$42,0)),""))</f>
        <v/>
      </c>
      <c r="I1427" s="9"/>
      <c r="J1427" s="16" t="str">
        <f aca="false">IF(OR(I1427="",H1427=""),"",I1427*H1427)</f>
        <v/>
      </c>
      <c r="K1427" s="9"/>
      <c r="L1427" s="9"/>
      <c r="M1427" s="9"/>
    </row>
    <row r="1428" customFormat="false" ht="15" hidden="false" customHeight="false" outlineLevel="0" collapsed="false">
      <c r="A1428" s="9"/>
      <c r="B1428" s="9"/>
      <c r="C1428" s="11"/>
      <c r="D1428" s="9"/>
      <c r="E1428" s="9"/>
      <c r="F1428" s="22" t="str">
        <f aca="false">IF(E1428="","",IFERROR(INDEX(02_INDICADORES!$B$2:$B$42,MATCH(E1428,02_INDICADORES!$A$2:$A$42,0)),"ID?"))</f>
        <v/>
      </c>
      <c r="G1428" s="21" t="str">
        <f aca="false">IF(E1428="","",IFERROR(INDEX(02_INDICADORES!$C$2:$C$42,MATCH(E1428,02_INDICADORES!$A$2:$A$42,0)),"ID?"))</f>
        <v/>
      </c>
      <c r="H1428" s="22" t="str">
        <f aca="false">IF(E1428="","",IFERROR(INDEX(02_INDICADORES!$D$2:$D$42,MATCH(E1428,02_INDICADORES!$A$2:$A$42,0)),""))</f>
        <v/>
      </c>
      <c r="I1428" s="9"/>
      <c r="J1428" s="16" t="str">
        <f aca="false">IF(OR(I1428="",H1428=""),"",I1428*H1428)</f>
        <v/>
      </c>
      <c r="K1428" s="9"/>
      <c r="L1428" s="9"/>
      <c r="M1428" s="9"/>
    </row>
    <row r="1429" customFormat="false" ht="15" hidden="false" customHeight="false" outlineLevel="0" collapsed="false">
      <c r="A1429" s="9"/>
      <c r="B1429" s="9"/>
      <c r="C1429" s="11"/>
      <c r="D1429" s="9"/>
      <c r="E1429" s="9"/>
      <c r="F1429" s="22" t="str">
        <f aca="false">IF(E1429="","",IFERROR(INDEX(02_INDICADORES!$B$2:$B$42,MATCH(E1429,02_INDICADORES!$A$2:$A$42,0)),"ID?"))</f>
        <v/>
      </c>
      <c r="G1429" s="21" t="str">
        <f aca="false">IF(E1429="","",IFERROR(INDEX(02_INDICADORES!$C$2:$C$42,MATCH(E1429,02_INDICADORES!$A$2:$A$42,0)),"ID?"))</f>
        <v/>
      </c>
      <c r="H1429" s="22" t="str">
        <f aca="false">IF(E1429="","",IFERROR(INDEX(02_INDICADORES!$D$2:$D$42,MATCH(E1429,02_INDICADORES!$A$2:$A$42,0)),""))</f>
        <v/>
      </c>
      <c r="I1429" s="9"/>
      <c r="J1429" s="16" t="str">
        <f aca="false">IF(OR(I1429="",H1429=""),"",I1429*H1429)</f>
        <v/>
      </c>
      <c r="K1429" s="9"/>
      <c r="L1429" s="9"/>
      <c r="M1429" s="9"/>
    </row>
    <row r="1430" customFormat="false" ht="15" hidden="false" customHeight="false" outlineLevel="0" collapsed="false">
      <c r="A1430" s="9"/>
      <c r="B1430" s="9"/>
      <c r="C1430" s="11"/>
      <c r="D1430" s="9"/>
      <c r="E1430" s="9"/>
      <c r="F1430" s="22" t="str">
        <f aca="false">IF(E1430="","",IFERROR(INDEX(02_INDICADORES!$B$2:$B$42,MATCH(E1430,02_INDICADORES!$A$2:$A$42,0)),"ID?"))</f>
        <v/>
      </c>
      <c r="G1430" s="21" t="str">
        <f aca="false">IF(E1430="","",IFERROR(INDEX(02_INDICADORES!$C$2:$C$42,MATCH(E1430,02_INDICADORES!$A$2:$A$42,0)),"ID?"))</f>
        <v/>
      </c>
      <c r="H1430" s="22" t="str">
        <f aca="false">IF(E1430="","",IFERROR(INDEX(02_INDICADORES!$D$2:$D$42,MATCH(E1430,02_INDICADORES!$A$2:$A$42,0)),""))</f>
        <v/>
      </c>
      <c r="I1430" s="9"/>
      <c r="J1430" s="16" t="str">
        <f aca="false">IF(OR(I1430="",H1430=""),"",I1430*H1430)</f>
        <v/>
      </c>
      <c r="K1430" s="9"/>
      <c r="L1430" s="9"/>
      <c r="M1430" s="9"/>
    </row>
    <row r="1431" customFormat="false" ht="15" hidden="false" customHeight="false" outlineLevel="0" collapsed="false">
      <c r="A1431" s="9"/>
      <c r="B1431" s="9"/>
      <c r="C1431" s="11"/>
      <c r="D1431" s="9"/>
      <c r="E1431" s="9"/>
      <c r="F1431" s="22" t="str">
        <f aca="false">IF(E1431="","",IFERROR(INDEX(02_INDICADORES!$B$2:$B$42,MATCH(E1431,02_INDICADORES!$A$2:$A$42,0)),"ID?"))</f>
        <v/>
      </c>
      <c r="G1431" s="21" t="str">
        <f aca="false">IF(E1431="","",IFERROR(INDEX(02_INDICADORES!$C$2:$C$42,MATCH(E1431,02_INDICADORES!$A$2:$A$42,0)),"ID?"))</f>
        <v/>
      </c>
      <c r="H1431" s="22" t="str">
        <f aca="false">IF(E1431="","",IFERROR(INDEX(02_INDICADORES!$D$2:$D$42,MATCH(E1431,02_INDICADORES!$A$2:$A$42,0)),""))</f>
        <v/>
      </c>
      <c r="I1431" s="9"/>
      <c r="J1431" s="16" t="str">
        <f aca="false">IF(OR(I1431="",H1431=""),"",I1431*H1431)</f>
        <v/>
      </c>
      <c r="K1431" s="9"/>
      <c r="L1431" s="9"/>
      <c r="M1431" s="9"/>
    </row>
    <row r="1432" customFormat="false" ht="15" hidden="false" customHeight="false" outlineLevel="0" collapsed="false">
      <c r="A1432" s="9"/>
      <c r="B1432" s="9"/>
      <c r="C1432" s="11"/>
      <c r="D1432" s="9"/>
      <c r="E1432" s="9"/>
      <c r="F1432" s="22" t="str">
        <f aca="false">IF(E1432="","",IFERROR(INDEX(02_INDICADORES!$B$2:$B$42,MATCH(E1432,02_INDICADORES!$A$2:$A$42,0)),"ID?"))</f>
        <v/>
      </c>
      <c r="G1432" s="21" t="str">
        <f aca="false">IF(E1432="","",IFERROR(INDEX(02_INDICADORES!$C$2:$C$42,MATCH(E1432,02_INDICADORES!$A$2:$A$42,0)),"ID?"))</f>
        <v/>
      </c>
      <c r="H1432" s="22" t="str">
        <f aca="false">IF(E1432="","",IFERROR(INDEX(02_INDICADORES!$D$2:$D$42,MATCH(E1432,02_INDICADORES!$A$2:$A$42,0)),""))</f>
        <v/>
      </c>
      <c r="I1432" s="9"/>
      <c r="J1432" s="16" t="str">
        <f aca="false">IF(OR(I1432="",H1432=""),"",I1432*H1432)</f>
        <v/>
      </c>
      <c r="K1432" s="9"/>
      <c r="L1432" s="9"/>
      <c r="M1432" s="9"/>
    </row>
    <row r="1433" customFormat="false" ht="15" hidden="false" customHeight="false" outlineLevel="0" collapsed="false">
      <c r="A1433" s="9"/>
      <c r="B1433" s="9"/>
      <c r="C1433" s="11"/>
      <c r="D1433" s="9"/>
      <c r="E1433" s="9"/>
      <c r="F1433" s="22" t="str">
        <f aca="false">IF(E1433="","",IFERROR(INDEX(02_INDICADORES!$B$2:$B$42,MATCH(E1433,02_INDICADORES!$A$2:$A$42,0)),"ID?"))</f>
        <v/>
      </c>
      <c r="G1433" s="21" t="str">
        <f aca="false">IF(E1433="","",IFERROR(INDEX(02_INDICADORES!$C$2:$C$42,MATCH(E1433,02_INDICADORES!$A$2:$A$42,0)),"ID?"))</f>
        <v/>
      </c>
      <c r="H1433" s="22" t="str">
        <f aca="false">IF(E1433="","",IFERROR(INDEX(02_INDICADORES!$D$2:$D$42,MATCH(E1433,02_INDICADORES!$A$2:$A$42,0)),""))</f>
        <v/>
      </c>
      <c r="I1433" s="9"/>
      <c r="J1433" s="16" t="str">
        <f aca="false">IF(OR(I1433="",H1433=""),"",I1433*H1433)</f>
        <v/>
      </c>
      <c r="K1433" s="9"/>
      <c r="L1433" s="9"/>
      <c r="M1433" s="9"/>
    </row>
    <row r="1434" customFormat="false" ht="15" hidden="false" customHeight="false" outlineLevel="0" collapsed="false">
      <c r="A1434" s="9"/>
      <c r="B1434" s="9"/>
      <c r="C1434" s="11"/>
      <c r="D1434" s="9"/>
      <c r="E1434" s="9"/>
      <c r="F1434" s="22" t="str">
        <f aca="false">IF(E1434="","",IFERROR(INDEX(02_INDICADORES!$B$2:$B$42,MATCH(E1434,02_INDICADORES!$A$2:$A$42,0)),"ID?"))</f>
        <v/>
      </c>
      <c r="G1434" s="21" t="str">
        <f aca="false">IF(E1434="","",IFERROR(INDEX(02_INDICADORES!$C$2:$C$42,MATCH(E1434,02_INDICADORES!$A$2:$A$42,0)),"ID?"))</f>
        <v/>
      </c>
      <c r="H1434" s="22" t="str">
        <f aca="false">IF(E1434="","",IFERROR(INDEX(02_INDICADORES!$D$2:$D$42,MATCH(E1434,02_INDICADORES!$A$2:$A$42,0)),""))</f>
        <v/>
      </c>
      <c r="I1434" s="9"/>
      <c r="J1434" s="16" t="str">
        <f aca="false">IF(OR(I1434="",H1434=""),"",I1434*H1434)</f>
        <v/>
      </c>
      <c r="K1434" s="9"/>
      <c r="L1434" s="9"/>
      <c r="M1434" s="9"/>
    </row>
    <row r="1435" customFormat="false" ht="15" hidden="false" customHeight="false" outlineLevel="0" collapsed="false">
      <c r="A1435" s="9"/>
      <c r="B1435" s="9"/>
      <c r="C1435" s="11"/>
      <c r="D1435" s="9"/>
      <c r="E1435" s="9"/>
      <c r="F1435" s="22" t="str">
        <f aca="false">IF(E1435="","",IFERROR(INDEX(02_INDICADORES!$B$2:$B$42,MATCH(E1435,02_INDICADORES!$A$2:$A$42,0)),"ID?"))</f>
        <v/>
      </c>
      <c r="G1435" s="21" t="str">
        <f aca="false">IF(E1435="","",IFERROR(INDEX(02_INDICADORES!$C$2:$C$42,MATCH(E1435,02_INDICADORES!$A$2:$A$42,0)),"ID?"))</f>
        <v/>
      </c>
      <c r="H1435" s="22" t="str">
        <f aca="false">IF(E1435="","",IFERROR(INDEX(02_INDICADORES!$D$2:$D$42,MATCH(E1435,02_INDICADORES!$A$2:$A$42,0)),""))</f>
        <v/>
      </c>
      <c r="I1435" s="9"/>
      <c r="J1435" s="16" t="str">
        <f aca="false">IF(OR(I1435="",H1435=""),"",I1435*H1435)</f>
        <v/>
      </c>
      <c r="K1435" s="9"/>
      <c r="L1435" s="9"/>
      <c r="M1435" s="9"/>
    </row>
    <row r="1436" customFormat="false" ht="15" hidden="false" customHeight="false" outlineLevel="0" collapsed="false">
      <c r="A1436" s="9"/>
      <c r="B1436" s="9"/>
      <c r="C1436" s="11"/>
      <c r="D1436" s="9"/>
      <c r="E1436" s="9"/>
      <c r="F1436" s="22" t="str">
        <f aca="false">IF(E1436="","",IFERROR(INDEX(02_INDICADORES!$B$2:$B$42,MATCH(E1436,02_INDICADORES!$A$2:$A$42,0)),"ID?"))</f>
        <v/>
      </c>
      <c r="G1436" s="21" t="str">
        <f aca="false">IF(E1436="","",IFERROR(INDEX(02_INDICADORES!$C$2:$C$42,MATCH(E1436,02_INDICADORES!$A$2:$A$42,0)),"ID?"))</f>
        <v/>
      </c>
      <c r="H1436" s="22" t="str">
        <f aca="false">IF(E1436="","",IFERROR(INDEX(02_INDICADORES!$D$2:$D$42,MATCH(E1436,02_INDICADORES!$A$2:$A$42,0)),""))</f>
        <v/>
      </c>
      <c r="I1436" s="9"/>
      <c r="J1436" s="16" t="str">
        <f aca="false">IF(OR(I1436="",H1436=""),"",I1436*H1436)</f>
        <v/>
      </c>
      <c r="K1436" s="9"/>
      <c r="L1436" s="9"/>
      <c r="M1436" s="9"/>
    </row>
    <row r="1437" customFormat="false" ht="15" hidden="false" customHeight="false" outlineLevel="0" collapsed="false">
      <c r="A1437" s="9"/>
      <c r="B1437" s="9"/>
      <c r="C1437" s="11"/>
      <c r="D1437" s="9"/>
      <c r="E1437" s="9"/>
      <c r="F1437" s="22" t="str">
        <f aca="false">IF(E1437="","",IFERROR(INDEX(02_INDICADORES!$B$2:$B$42,MATCH(E1437,02_INDICADORES!$A$2:$A$42,0)),"ID?"))</f>
        <v/>
      </c>
      <c r="G1437" s="21" t="str">
        <f aca="false">IF(E1437="","",IFERROR(INDEX(02_INDICADORES!$C$2:$C$42,MATCH(E1437,02_INDICADORES!$A$2:$A$42,0)),"ID?"))</f>
        <v/>
      </c>
      <c r="H1437" s="22" t="str">
        <f aca="false">IF(E1437="","",IFERROR(INDEX(02_INDICADORES!$D$2:$D$42,MATCH(E1437,02_INDICADORES!$A$2:$A$42,0)),""))</f>
        <v/>
      </c>
      <c r="I1437" s="9"/>
      <c r="J1437" s="16" t="str">
        <f aca="false">IF(OR(I1437="",H1437=""),"",I1437*H1437)</f>
        <v/>
      </c>
      <c r="K1437" s="9"/>
      <c r="L1437" s="9"/>
      <c r="M1437" s="9"/>
    </row>
    <row r="1438" customFormat="false" ht="15" hidden="false" customHeight="false" outlineLevel="0" collapsed="false">
      <c r="A1438" s="9"/>
      <c r="B1438" s="9"/>
      <c r="C1438" s="11"/>
      <c r="D1438" s="9"/>
      <c r="E1438" s="9"/>
      <c r="F1438" s="22" t="str">
        <f aca="false">IF(E1438="","",IFERROR(INDEX(02_INDICADORES!$B$2:$B$42,MATCH(E1438,02_INDICADORES!$A$2:$A$42,0)),"ID?"))</f>
        <v/>
      </c>
      <c r="G1438" s="21" t="str">
        <f aca="false">IF(E1438="","",IFERROR(INDEX(02_INDICADORES!$C$2:$C$42,MATCH(E1438,02_INDICADORES!$A$2:$A$42,0)),"ID?"))</f>
        <v/>
      </c>
      <c r="H1438" s="22" t="str">
        <f aca="false">IF(E1438="","",IFERROR(INDEX(02_INDICADORES!$D$2:$D$42,MATCH(E1438,02_INDICADORES!$A$2:$A$42,0)),""))</f>
        <v/>
      </c>
      <c r="I1438" s="9"/>
      <c r="J1438" s="16" t="str">
        <f aca="false">IF(OR(I1438="",H1438=""),"",I1438*H1438)</f>
        <v/>
      </c>
      <c r="K1438" s="9"/>
      <c r="L1438" s="9"/>
      <c r="M1438" s="9"/>
    </row>
    <row r="1439" customFormat="false" ht="15" hidden="false" customHeight="false" outlineLevel="0" collapsed="false">
      <c r="A1439" s="9"/>
      <c r="B1439" s="9"/>
      <c r="C1439" s="11"/>
      <c r="D1439" s="9"/>
      <c r="E1439" s="9"/>
      <c r="F1439" s="22" t="str">
        <f aca="false">IF(E1439="","",IFERROR(INDEX(02_INDICADORES!$B$2:$B$42,MATCH(E1439,02_INDICADORES!$A$2:$A$42,0)),"ID?"))</f>
        <v/>
      </c>
      <c r="G1439" s="21" t="str">
        <f aca="false">IF(E1439="","",IFERROR(INDEX(02_INDICADORES!$C$2:$C$42,MATCH(E1439,02_INDICADORES!$A$2:$A$42,0)),"ID?"))</f>
        <v/>
      </c>
      <c r="H1439" s="22" t="str">
        <f aca="false">IF(E1439="","",IFERROR(INDEX(02_INDICADORES!$D$2:$D$42,MATCH(E1439,02_INDICADORES!$A$2:$A$42,0)),""))</f>
        <v/>
      </c>
      <c r="I1439" s="9"/>
      <c r="J1439" s="16" t="str">
        <f aca="false">IF(OR(I1439="",H1439=""),"",I1439*H1439)</f>
        <v/>
      </c>
      <c r="K1439" s="9"/>
      <c r="L1439" s="9"/>
      <c r="M1439" s="9"/>
    </row>
    <row r="1440" customFormat="false" ht="15" hidden="false" customHeight="false" outlineLevel="0" collapsed="false">
      <c r="A1440" s="9"/>
      <c r="B1440" s="9"/>
      <c r="C1440" s="11"/>
      <c r="D1440" s="9"/>
      <c r="E1440" s="9"/>
      <c r="F1440" s="22" t="str">
        <f aca="false">IF(E1440="","",IFERROR(INDEX(02_INDICADORES!$B$2:$B$42,MATCH(E1440,02_INDICADORES!$A$2:$A$42,0)),"ID?"))</f>
        <v/>
      </c>
      <c r="G1440" s="21" t="str">
        <f aca="false">IF(E1440="","",IFERROR(INDEX(02_INDICADORES!$C$2:$C$42,MATCH(E1440,02_INDICADORES!$A$2:$A$42,0)),"ID?"))</f>
        <v/>
      </c>
      <c r="H1440" s="22" t="str">
        <f aca="false">IF(E1440="","",IFERROR(INDEX(02_INDICADORES!$D$2:$D$42,MATCH(E1440,02_INDICADORES!$A$2:$A$42,0)),""))</f>
        <v/>
      </c>
      <c r="I1440" s="9"/>
      <c r="J1440" s="16" t="str">
        <f aca="false">IF(OR(I1440="",H1440=""),"",I1440*H1440)</f>
        <v/>
      </c>
      <c r="K1440" s="9"/>
      <c r="L1440" s="9"/>
      <c r="M1440" s="9"/>
    </row>
    <row r="1441" customFormat="false" ht="15" hidden="false" customHeight="false" outlineLevel="0" collapsed="false">
      <c r="A1441" s="9"/>
      <c r="B1441" s="9"/>
      <c r="C1441" s="11"/>
      <c r="D1441" s="9"/>
      <c r="E1441" s="9"/>
      <c r="F1441" s="22" t="str">
        <f aca="false">IF(E1441="","",IFERROR(INDEX(02_INDICADORES!$B$2:$B$42,MATCH(E1441,02_INDICADORES!$A$2:$A$42,0)),"ID?"))</f>
        <v/>
      </c>
      <c r="G1441" s="21" t="str">
        <f aca="false">IF(E1441="","",IFERROR(INDEX(02_INDICADORES!$C$2:$C$42,MATCH(E1441,02_INDICADORES!$A$2:$A$42,0)),"ID?"))</f>
        <v/>
      </c>
      <c r="H1441" s="22" t="str">
        <f aca="false">IF(E1441="","",IFERROR(INDEX(02_INDICADORES!$D$2:$D$42,MATCH(E1441,02_INDICADORES!$A$2:$A$42,0)),""))</f>
        <v/>
      </c>
      <c r="I1441" s="9"/>
      <c r="J1441" s="16" t="str">
        <f aca="false">IF(OR(I1441="",H1441=""),"",I1441*H1441)</f>
        <v/>
      </c>
      <c r="K1441" s="9"/>
      <c r="L1441" s="9"/>
      <c r="M1441" s="9"/>
    </row>
    <row r="1442" customFormat="false" ht="15" hidden="false" customHeight="false" outlineLevel="0" collapsed="false">
      <c r="A1442" s="9"/>
      <c r="B1442" s="9"/>
      <c r="C1442" s="11"/>
      <c r="D1442" s="9"/>
      <c r="E1442" s="9"/>
      <c r="F1442" s="22" t="str">
        <f aca="false">IF(E1442="","",IFERROR(INDEX(02_INDICADORES!$B$2:$B$42,MATCH(E1442,02_INDICADORES!$A$2:$A$42,0)),"ID?"))</f>
        <v/>
      </c>
      <c r="G1442" s="21" t="str">
        <f aca="false">IF(E1442="","",IFERROR(INDEX(02_INDICADORES!$C$2:$C$42,MATCH(E1442,02_INDICADORES!$A$2:$A$42,0)),"ID?"))</f>
        <v/>
      </c>
      <c r="H1442" s="22" t="str">
        <f aca="false">IF(E1442="","",IFERROR(INDEX(02_INDICADORES!$D$2:$D$42,MATCH(E1442,02_INDICADORES!$A$2:$A$42,0)),""))</f>
        <v/>
      </c>
      <c r="I1442" s="9"/>
      <c r="J1442" s="16" t="str">
        <f aca="false">IF(OR(I1442="",H1442=""),"",I1442*H1442)</f>
        <v/>
      </c>
      <c r="K1442" s="9"/>
      <c r="L1442" s="9"/>
      <c r="M1442" s="9"/>
    </row>
    <row r="1443" customFormat="false" ht="15" hidden="false" customHeight="false" outlineLevel="0" collapsed="false">
      <c r="A1443" s="9"/>
      <c r="B1443" s="9"/>
      <c r="C1443" s="11"/>
      <c r="D1443" s="9"/>
      <c r="E1443" s="9"/>
      <c r="F1443" s="22" t="str">
        <f aca="false">IF(E1443="","",IFERROR(INDEX(02_INDICADORES!$B$2:$B$42,MATCH(E1443,02_INDICADORES!$A$2:$A$42,0)),"ID?"))</f>
        <v/>
      </c>
      <c r="G1443" s="21" t="str">
        <f aca="false">IF(E1443="","",IFERROR(INDEX(02_INDICADORES!$C$2:$C$42,MATCH(E1443,02_INDICADORES!$A$2:$A$42,0)),"ID?"))</f>
        <v/>
      </c>
      <c r="H1443" s="22" t="str">
        <f aca="false">IF(E1443="","",IFERROR(INDEX(02_INDICADORES!$D$2:$D$42,MATCH(E1443,02_INDICADORES!$A$2:$A$42,0)),""))</f>
        <v/>
      </c>
      <c r="I1443" s="9"/>
      <c r="J1443" s="16" t="str">
        <f aca="false">IF(OR(I1443="",H1443=""),"",I1443*H1443)</f>
        <v/>
      </c>
      <c r="K1443" s="9"/>
      <c r="L1443" s="9"/>
      <c r="M1443" s="9"/>
    </row>
    <row r="1444" customFormat="false" ht="15" hidden="false" customHeight="false" outlineLevel="0" collapsed="false">
      <c r="A1444" s="9"/>
      <c r="B1444" s="9"/>
      <c r="C1444" s="11"/>
      <c r="D1444" s="9"/>
      <c r="E1444" s="9"/>
      <c r="F1444" s="22" t="str">
        <f aca="false">IF(E1444="","",IFERROR(INDEX(02_INDICADORES!$B$2:$B$42,MATCH(E1444,02_INDICADORES!$A$2:$A$42,0)),"ID?"))</f>
        <v/>
      </c>
      <c r="G1444" s="21" t="str">
        <f aca="false">IF(E1444="","",IFERROR(INDEX(02_INDICADORES!$C$2:$C$42,MATCH(E1444,02_INDICADORES!$A$2:$A$42,0)),"ID?"))</f>
        <v/>
      </c>
      <c r="H1444" s="22" t="str">
        <f aca="false">IF(E1444="","",IFERROR(INDEX(02_INDICADORES!$D$2:$D$42,MATCH(E1444,02_INDICADORES!$A$2:$A$42,0)),""))</f>
        <v/>
      </c>
      <c r="I1444" s="9"/>
      <c r="J1444" s="16" t="str">
        <f aca="false">IF(OR(I1444="",H1444=""),"",I1444*H1444)</f>
        <v/>
      </c>
      <c r="K1444" s="9"/>
      <c r="L1444" s="9"/>
      <c r="M1444" s="9"/>
    </row>
    <row r="1445" customFormat="false" ht="15" hidden="false" customHeight="false" outlineLevel="0" collapsed="false">
      <c r="A1445" s="9"/>
      <c r="B1445" s="9"/>
      <c r="C1445" s="11"/>
      <c r="D1445" s="9"/>
      <c r="E1445" s="9"/>
      <c r="F1445" s="22" t="str">
        <f aca="false">IF(E1445="","",IFERROR(INDEX(02_INDICADORES!$B$2:$B$42,MATCH(E1445,02_INDICADORES!$A$2:$A$42,0)),"ID?"))</f>
        <v/>
      </c>
      <c r="G1445" s="21" t="str">
        <f aca="false">IF(E1445="","",IFERROR(INDEX(02_INDICADORES!$C$2:$C$42,MATCH(E1445,02_INDICADORES!$A$2:$A$42,0)),"ID?"))</f>
        <v/>
      </c>
      <c r="H1445" s="22" t="str">
        <f aca="false">IF(E1445="","",IFERROR(INDEX(02_INDICADORES!$D$2:$D$42,MATCH(E1445,02_INDICADORES!$A$2:$A$42,0)),""))</f>
        <v/>
      </c>
      <c r="I1445" s="9"/>
      <c r="J1445" s="16" t="str">
        <f aca="false">IF(OR(I1445="",H1445=""),"",I1445*H1445)</f>
        <v/>
      </c>
      <c r="K1445" s="9"/>
      <c r="L1445" s="9"/>
      <c r="M1445" s="9"/>
    </row>
    <row r="1446" customFormat="false" ht="15" hidden="false" customHeight="false" outlineLevel="0" collapsed="false">
      <c r="A1446" s="9"/>
      <c r="B1446" s="9"/>
      <c r="C1446" s="11"/>
      <c r="D1446" s="9"/>
      <c r="E1446" s="9"/>
      <c r="F1446" s="22" t="str">
        <f aca="false">IF(E1446="","",IFERROR(INDEX(02_INDICADORES!$B$2:$B$42,MATCH(E1446,02_INDICADORES!$A$2:$A$42,0)),"ID?"))</f>
        <v/>
      </c>
      <c r="G1446" s="21" t="str">
        <f aca="false">IF(E1446="","",IFERROR(INDEX(02_INDICADORES!$C$2:$C$42,MATCH(E1446,02_INDICADORES!$A$2:$A$42,0)),"ID?"))</f>
        <v/>
      </c>
      <c r="H1446" s="22" t="str">
        <f aca="false">IF(E1446="","",IFERROR(INDEX(02_INDICADORES!$D$2:$D$42,MATCH(E1446,02_INDICADORES!$A$2:$A$42,0)),""))</f>
        <v/>
      </c>
      <c r="I1446" s="9"/>
      <c r="J1446" s="16" t="str">
        <f aca="false">IF(OR(I1446="",H1446=""),"",I1446*H1446)</f>
        <v/>
      </c>
      <c r="K1446" s="9"/>
      <c r="L1446" s="9"/>
      <c r="M1446" s="9"/>
    </row>
    <row r="1447" customFormat="false" ht="15" hidden="false" customHeight="false" outlineLevel="0" collapsed="false">
      <c r="A1447" s="9"/>
      <c r="B1447" s="9"/>
      <c r="C1447" s="11"/>
      <c r="D1447" s="9"/>
      <c r="E1447" s="9"/>
      <c r="F1447" s="22" t="str">
        <f aca="false">IF(E1447="","",IFERROR(INDEX(02_INDICADORES!$B$2:$B$42,MATCH(E1447,02_INDICADORES!$A$2:$A$42,0)),"ID?"))</f>
        <v/>
      </c>
      <c r="G1447" s="21" t="str">
        <f aca="false">IF(E1447="","",IFERROR(INDEX(02_INDICADORES!$C$2:$C$42,MATCH(E1447,02_INDICADORES!$A$2:$A$42,0)),"ID?"))</f>
        <v/>
      </c>
      <c r="H1447" s="22" t="str">
        <f aca="false">IF(E1447="","",IFERROR(INDEX(02_INDICADORES!$D$2:$D$42,MATCH(E1447,02_INDICADORES!$A$2:$A$42,0)),""))</f>
        <v/>
      </c>
      <c r="I1447" s="9"/>
      <c r="J1447" s="16" t="str">
        <f aca="false">IF(OR(I1447="",H1447=""),"",I1447*H1447)</f>
        <v/>
      </c>
      <c r="K1447" s="9"/>
      <c r="L1447" s="9"/>
      <c r="M1447" s="9"/>
    </row>
    <row r="1448" customFormat="false" ht="15" hidden="false" customHeight="false" outlineLevel="0" collapsed="false">
      <c r="A1448" s="9"/>
      <c r="B1448" s="9"/>
      <c r="C1448" s="11"/>
      <c r="D1448" s="9"/>
      <c r="E1448" s="9"/>
      <c r="F1448" s="22" t="str">
        <f aca="false">IF(E1448="","",IFERROR(INDEX(02_INDICADORES!$B$2:$B$42,MATCH(E1448,02_INDICADORES!$A$2:$A$42,0)),"ID?"))</f>
        <v/>
      </c>
      <c r="G1448" s="21" t="str">
        <f aca="false">IF(E1448="","",IFERROR(INDEX(02_INDICADORES!$C$2:$C$42,MATCH(E1448,02_INDICADORES!$A$2:$A$42,0)),"ID?"))</f>
        <v/>
      </c>
      <c r="H1448" s="22" t="str">
        <f aca="false">IF(E1448="","",IFERROR(INDEX(02_INDICADORES!$D$2:$D$42,MATCH(E1448,02_INDICADORES!$A$2:$A$42,0)),""))</f>
        <v/>
      </c>
      <c r="I1448" s="9"/>
      <c r="J1448" s="16" t="str">
        <f aca="false">IF(OR(I1448="",H1448=""),"",I1448*H1448)</f>
        <v/>
      </c>
      <c r="K1448" s="9"/>
      <c r="L1448" s="9"/>
      <c r="M1448" s="9"/>
    </row>
    <row r="1449" customFormat="false" ht="15" hidden="false" customHeight="false" outlineLevel="0" collapsed="false">
      <c r="A1449" s="9"/>
      <c r="B1449" s="9"/>
      <c r="C1449" s="11"/>
      <c r="D1449" s="9"/>
      <c r="E1449" s="9"/>
      <c r="F1449" s="22" t="str">
        <f aca="false">IF(E1449="","",IFERROR(INDEX(02_INDICADORES!$B$2:$B$42,MATCH(E1449,02_INDICADORES!$A$2:$A$42,0)),"ID?"))</f>
        <v/>
      </c>
      <c r="G1449" s="21" t="str">
        <f aca="false">IF(E1449="","",IFERROR(INDEX(02_INDICADORES!$C$2:$C$42,MATCH(E1449,02_INDICADORES!$A$2:$A$42,0)),"ID?"))</f>
        <v/>
      </c>
      <c r="H1449" s="22" t="str">
        <f aca="false">IF(E1449="","",IFERROR(INDEX(02_INDICADORES!$D$2:$D$42,MATCH(E1449,02_INDICADORES!$A$2:$A$42,0)),""))</f>
        <v/>
      </c>
      <c r="I1449" s="9"/>
      <c r="J1449" s="16" t="str">
        <f aca="false">IF(OR(I1449="",H1449=""),"",I1449*H1449)</f>
        <v/>
      </c>
      <c r="K1449" s="9"/>
      <c r="L1449" s="9"/>
      <c r="M1449" s="9"/>
    </row>
    <row r="1450" customFormat="false" ht="15" hidden="false" customHeight="false" outlineLevel="0" collapsed="false">
      <c r="A1450" s="9"/>
      <c r="B1450" s="9"/>
      <c r="C1450" s="11"/>
      <c r="D1450" s="9"/>
      <c r="E1450" s="9"/>
      <c r="F1450" s="22" t="str">
        <f aca="false">IF(E1450="","",IFERROR(INDEX(02_INDICADORES!$B$2:$B$42,MATCH(E1450,02_INDICADORES!$A$2:$A$42,0)),"ID?"))</f>
        <v/>
      </c>
      <c r="G1450" s="21" t="str">
        <f aca="false">IF(E1450="","",IFERROR(INDEX(02_INDICADORES!$C$2:$C$42,MATCH(E1450,02_INDICADORES!$A$2:$A$42,0)),"ID?"))</f>
        <v/>
      </c>
      <c r="H1450" s="22" t="str">
        <f aca="false">IF(E1450="","",IFERROR(INDEX(02_INDICADORES!$D$2:$D$42,MATCH(E1450,02_INDICADORES!$A$2:$A$42,0)),""))</f>
        <v/>
      </c>
      <c r="I1450" s="9"/>
      <c r="J1450" s="16" t="str">
        <f aca="false">IF(OR(I1450="",H1450=""),"",I1450*H1450)</f>
        <v/>
      </c>
      <c r="K1450" s="9"/>
      <c r="L1450" s="9"/>
      <c r="M1450" s="9"/>
    </row>
    <row r="1451" customFormat="false" ht="15" hidden="false" customHeight="false" outlineLevel="0" collapsed="false">
      <c r="A1451" s="9"/>
      <c r="B1451" s="9"/>
      <c r="C1451" s="11"/>
      <c r="D1451" s="9"/>
      <c r="E1451" s="9"/>
      <c r="F1451" s="22" t="str">
        <f aca="false">IF(E1451="","",IFERROR(INDEX(02_INDICADORES!$B$2:$B$42,MATCH(E1451,02_INDICADORES!$A$2:$A$42,0)),"ID?"))</f>
        <v/>
      </c>
      <c r="G1451" s="21" t="str">
        <f aca="false">IF(E1451="","",IFERROR(INDEX(02_INDICADORES!$C$2:$C$42,MATCH(E1451,02_INDICADORES!$A$2:$A$42,0)),"ID?"))</f>
        <v/>
      </c>
      <c r="H1451" s="22" t="str">
        <f aca="false">IF(E1451="","",IFERROR(INDEX(02_INDICADORES!$D$2:$D$42,MATCH(E1451,02_INDICADORES!$A$2:$A$42,0)),""))</f>
        <v/>
      </c>
      <c r="I1451" s="9"/>
      <c r="J1451" s="16" t="str">
        <f aca="false">IF(OR(I1451="",H1451=""),"",I1451*H1451)</f>
        <v/>
      </c>
      <c r="K1451" s="9"/>
      <c r="L1451" s="9"/>
      <c r="M1451" s="9"/>
    </row>
    <row r="1452" customFormat="false" ht="15" hidden="false" customHeight="false" outlineLevel="0" collapsed="false">
      <c r="A1452" s="9"/>
      <c r="B1452" s="9"/>
      <c r="C1452" s="11"/>
      <c r="D1452" s="9"/>
      <c r="E1452" s="9"/>
      <c r="F1452" s="22" t="str">
        <f aca="false">IF(E1452="","",IFERROR(INDEX(02_INDICADORES!$B$2:$B$42,MATCH(E1452,02_INDICADORES!$A$2:$A$42,0)),"ID?"))</f>
        <v/>
      </c>
      <c r="G1452" s="21" t="str">
        <f aca="false">IF(E1452="","",IFERROR(INDEX(02_INDICADORES!$C$2:$C$42,MATCH(E1452,02_INDICADORES!$A$2:$A$42,0)),"ID?"))</f>
        <v/>
      </c>
      <c r="H1452" s="22" t="str">
        <f aca="false">IF(E1452="","",IFERROR(INDEX(02_INDICADORES!$D$2:$D$42,MATCH(E1452,02_INDICADORES!$A$2:$A$42,0)),""))</f>
        <v/>
      </c>
      <c r="I1452" s="9"/>
      <c r="J1452" s="16" t="str">
        <f aca="false">IF(OR(I1452="",H1452=""),"",I1452*H1452)</f>
        <v/>
      </c>
      <c r="K1452" s="9"/>
      <c r="L1452" s="9"/>
      <c r="M1452" s="9"/>
    </row>
    <row r="1453" customFormat="false" ht="15" hidden="false" customHeight="false" outlineLevel="0" collapsed="false">
      <c r="A1453" s="9"/>
      <c r="B1453" s="9"/>
      <c r="C1453" s="11"/>
      <c r="D1453" s="9"/>
      <c r="E1453" s="9"/>
      <c r="F1453" s="22" t="str">
        <f aca="false">IF(E1453="","",IFERROR(INDEX(02_INDICADORES!$B$2:$B$42,MATCH(E1453,02_INDICADORES!$A$2:$A$42,0)),"ID?"))</f>
        <v/>
      </c>
      <c r="G1453" s="21" t="str">
        <f aca="false">IF(E1453="","",IFERROR(INDEX(02_INDICADORES!$C$2:$C$42,MATCH(E1453,02_INDICADORES!$A$2:$A$42,0)),"ID?"))</f>
        <v/>
      </c>
      <c r="H1453" s="22" t="str">
        <f aca="false">IF(E1453="","",IFERROR(INDEX(02_INDICADORES!$D$2:$D$42,MATCH(E1453,02_INDICADORES!$A$2:$A$42,0)),""))</f>
        <v/>
      </c>
      <c r="I1453" s="9"/>
      <c r="J1453" s="16" t="str">
        <f aca="false">IF(OR(I1453="",H1453=""),"",I1453*H1453)</f>
        <v/>
      </c>
      <c r="K1453" s="9"/>
      <c r="L1453" s="9"/>
      <c r="M1453" s="9"/>
    </row>
    <row r="1454" customFormat="false" ht="15" hidden="false" customHeight="false" outlineLevel="0" collapsed="false">
      <c r="A1454" s="9"/>
      <c r="B1454" s="9"/>
      <c r="C1454" s="11"/>
      <c r="D1454" s="9"/>
      <c r="E1454" s="9"/>
      <c r="F1454" s="22" t="str">
        <f aca="false">IF(E1454="","",IFERROR(INDEX(02_INDICADORES!$B$2:$B$42,MATCH(E1454,02_INDICADORES!$A$2:$A$42,0)),"ID?"))</f>
        <v/>
      </c>
      <c r="G1454" s="21" t="str">
        <f aca="false">IF(E1454="","",IFERROR(INDEX(02_INDICADORES!$C$2:$C$42,MATCH(E1454,02_INDICADORES!$A$2:$A$42,0)),"ID?"))</f>
        <v/>
      </c>
      <c r="H1454" s="22" t="str">
        <f aca="false">IF(E1454="","",IFERROR(INDEX(02_INDICADORES!$D$2:$D$42,MATCH(E1454,02_INDICADORES!$A$2:$A$42,0)),""))</f>
        <v/>
      </c>
      <c r="I1454" s="9"/>
      <c r="J1454" s="16" t="str">
        <f aca="false">IF(OR(I1454="",H1454=""),"",I1454*H1454)</f>
        <v/>
      </c>
      <c r="K1454" s="9"/>
      <c r="L1454" s="9"/>
      <c r="M1454" s="9"/>
    </row>
    <row r="1455" customFormat="false" ht="15" hidden="false" customHeight="false" outlineLevel="0" collapsed="false">
      <c r="A1455" s="9"/>
      <c r="B1455" s="9"/>
      <c r="C1455" s="11"/>
      <c r="D1455" s="9"/>
      <c r="E1455" s="9"/>
      <c r="F1455" s="22" t="str">
        <f aca="false">IF(E1455="","",IFERROR(INDEX(02_INDICADORES!$B$2:$B$42,MATCH(E1455,02_INDICADORES!$A$2:$A$42,0)),"ID?"))</f>
        <v/>
      </c>
      <c r="G1455" s="21" t="str">
        <f aca="false">IF(E1455="","",IFERROR(INDEX(02_INDICADORES!$C$2:$C$42,MATCH(E1455,02_INDICADORES!$A$2:$A$42,0)),"ID?"))</f>
        <v/>
      </c>
      <c r="H1455" s="22" t="str">
        <f aca="false">IF(E1455="","",IFERROR(INDEX(02_INDICADORES!$D$2:$D$42,MATCH(E1455,02_INDICADORES!$A$2:$A$42,0)),""))</f>
        <v/>
      </c>
      <c r="I1455" s="9"/>
      <c r="J1455" s="16" t="str">
        <f aca="false">IF(OR(I1455="",H1455=""),"",I1455*H1455)</f>
        <v/>
      </c>
      <c r="K1455" s="9"/>
      <c r="L1455" s="9"/>
      <c r="M1455" s="9"/>
    </row>
    <row r="1456" customFormat="false" ht="15" hidden="false" customHeight="false" outlineLevel="0" collapsed="false">
      <c r="A1456" s="9"/>
      <c r="B1456" s="9"/>
      <c r="C1456" s="11"/>
      <c r="D1456" s="9"/>
      <c r="E1456" s="9"/>
      <c r="F1456" s="22" t="str">
        <f aca="false">IF(E1456="","",IFERROR(INDEX(02_INDICADORES!$B$2:$B$42,MATCH(E1456,02_INDICADORES!$A$2:$A$42,0)),"ID?"))</f>
        <v/>
      </c>
      <c r="G1456" s="21" t="str">
        <f aca="false">IF(E1456="","",IFERROR(INDEX(02_INDICADORES!$C$2:$C$42,MATCH(E1456,02_INDICADORES!$A$2:$A$42,0)),"ID?"))</f>
        <v/>
      </c>
      <c r="H1456" s="22" t="str">
        <f aca="false">IF(E1456="","",IFERROR(INDEX(02_INDICADORES!$D$2:$D$42,MATCH(E1456,02_INDICADORES!$A$2:$A$42,0)),""))</f>
        <v/>
      </c>
      <c r="I1456" s="9"/>
      <c r="J1456" s="16" t="str">
        <f aca="false">IF(OR(I1456="",H1456=""),"",I1456*H1456)</f>
        <v/>
      </c>
      <c r="K1456" s="9"/>
      <c r="L1456" s="9"/>
      <c r="M1456" s="9"/>
    </row>
    <row r="1457" customFormat="false" ht="15" hidden="false" customHeight="false" outlineLevel="0" collapsed="false">
      <c r="A1457" s="9"/>
      <c r="B1457" s="9"/>
      <c r="C1457" s="11"/>
      <c r="D1457" s="9"/>
      <c r="E1457" s="9"/>
      <c r="F1457" s="22" t="str">
        <f aca="false">IF(E1457="","",IFERROR(INDEX(02_INDICADORES!$B$2:$B$42,MATCH(E1457,02_INDICADORES!$A$2:$A$42,0)),"ID?"))</f>
        <v/>
      </c>
      <c r="G1457" s="21" t="str">
        <f aca="false">IF(E1457="","",IFERROR(INDEX(02_INDICADORES!$C$2:$C$42,MATCH(E1457,02_INDICADORES!$A$2:$A$42,0)),"ID?"))</f>
        <v/>
      </c>
      <c r="H1457" s="22" t="str">
        <f aca="false">IF(E1457="","",IFERROR(INDEX(02_INDICADORES!$D$2:$D$42,MATCH(E1457,02_INDICADORES!$A$2:$A$42,0)),""))</f>
        <v/>
      </c>
      <c r="I1457" s="9"/>
      <c r="J1457" s="16" t="str">
        <f aca="false">IF(OR(I1457="",H1457=""),"",I1457*H1457)</f>
        <v/>
      </c>
      <c r="K1457" s="9"/>
      <c r="L1457" s="9"/>
      <c r="M1457" s="9"/>
    </row>
    <row r="1458" customFormat="false" ht="15" hidden="false" customHeight="false" outlineLevel="0" collapsed="false">
      <c r="A1458" s="9"/>
      <c r="B1458" s="9"/>
      <c r="C1458" s="11"/>
      <c r="D1458" s="9"/>
      <c r="E1458" s="9"/>
      <c r="F1458" s="22" t="str">
        <f aca="false">IF(E1458="","",IFERROR(INDEX(02_INDICADORES!$B$2:$B$42,MATCH(E1458,02_INDICADORES!$A$2:$A$42,0)),"ID?"))</f>
        <v/>
      </c>
      <c r="G1458" s="21" t="str">
        <f aca="false">IF(E1458="","",IFERROR(INDEX(02_INDICADORES!$C$2:$C$42,MATCH(E1458,02_INDICADORES!$A$2:$A$42,0)),"ID?"))</f>
        <v/>
      </c>
      <c r="H1458" s="22" t="str">
        <f aca="false">IF(E1458="","",IFERROR(INDEX(02_INDICADORES!$D$2:$D$42,MATCH(E1458,02_INDICADORES!$A$2:$A$42,0)),""))</f>
        <v/>
      </c>
      <c r="I1458" s="9"/>
      <c r="J1458" s="16" t="str">
        <f aca="false">IF(OR(I1458="",H1458=""),"",I1458*H1458)</f>
        <v/>
      </c>
      <c r="K1458" s="9"/>
      <c r="L1458" s="9"/>
      <c r="M1458" s="9"/>
    </row>
    <row r="1459" customFormat="false" ht="15" hidden="false" customHeight="false" outlineLevel="0" collapsed="false">
      <c r="A1459" s="9"/>
      <c r="B1459" s="9"/>
      <c r="C1459" s="11"/>
      <c r="D1459" s="9"/>
      <c r="E1459" s="9"/>
      <c r="F1459" s="22" t="str">
        <f aca="false">IF(E1459="","",IFERROR(INDEX(02_INDICADORES!$B$2:$B$42,MATCH(E1459,02_INDICADORES!$A$2:$A$42,0)),"ID?"))</f>
        <v/>
      </c>
      <c r="G1459" s="21" t="str">
        <f aca="false">IF(E1459="","",IFERROR(INDEX(02_INDICADORES!$C$2:$C$42,MATCH(E1459,02_INDICADORES!$A$2:$A$42,0)),"ID?"))</f>
        <v/>
      </c>
      <c r="H1459" s="22" t="str">
        <f aca="false">IF(E1459="","",IFERROR(INDEX(02_INDICADORES!$D$2:$D$42,MATCH(E1459,02_INDICADORES!$A$2:$A$42,0)),""))</f>
        <v/>
      </c>
      <c r="I1459" s="9"/>
      <c r="J1459" s="16" t="str">
        <f aca="false">IF(OR(I1459="",H1459=""),"",I1459*H1459)</f>
        <v/>
      </c>
      <c r="K1459" s="9"/>
      <c r="L1459" s="9"/>
      <c r="M1459" s="9"/>
    </row>
    <row r="1460" customFormat="false" ht="15" hidden="false" customHeight="false" outlineLevel="0" collapsed="false">
      <c r="A1460" s="9"/>
      <c r="B1460" s="9"/>
      <c r="C1460" s="11"/>
      <c r="D1460" s="9"/>
      <c r="E1460" s="9"/>
      <c r="F1460" s="22" t="str">
        <f aca="false">IF(E1460="","",IFERROR(INDEX(02_INDICADORES!$B$2:$B$42,MATCH(E1460,02_INDICADORES!$A$2:$A$42,0)),"ID?"))</f>
        <v/>
      </c>
      <c r="G1460" s="21" t="str">
        <f aca="false">IF(E1460="","",IFERROR(INDEX(02_INDICADORES!$C$2:$C$42,MATCH(E1460,02_INDICADORES!$A$2:$A$42,0)),"ID?"))</f>
        <v/>
      </c>
      <c r="H1460" s="22" t="str">
        <f aca="false">IF(E1460="","",IFERROR(INDEX(02_INDICADORES!$D$2:$D$42,MATCH(E1460,02_INDICADORES!$A$2:$A$42,0)),""))</f>
        <v/>
      </c>
      <c r="I1460" s="9"/>
      <c r="J1460" s="16" t="str">
        <f aca="false">IF(OR(I1460="",H1460=""),"",I1460*H1460)</f>
        <v/>
      </c>
      <c r="K1460" s="9"/>
      <c r="L1460" s="9"/>
      <c r="M1460" s="9"/>
    </row>
    <row r="1461" customFormat="false" ht="15" hidden="false" customHeight="false" outlineLevel="0" collapsed="false">
      <c r="A1461" s="9"/>
      <c r="B1461" s="9"/>
      <c r="C1461" s="11"/>
      <c r="D1461" s="9"/>
      <c r="E1461" s="9"/>
      <c r="F1461" s="22" t="str">
        <f aca="false">IF(E1461="","",IFERROR(INDEX(02_INDICADORES!$B$2:$B$42,MATCH(E1461,02_INDICADORES!$A$2:$A$42,0)),"ID?"))</f>
        <v/>
      </c>
      <c r="G1461" s="21" t="str">
        <f aca="false">IF(E1461="","",IFERROR(INDEX(02_INDICADORES!$C$2:$C$42,MATCH(E1461,02_INDICADORES!$A$2:$A$42,0)),"ID?"))</f>
        <v/>
      </c>
      <c r="H1461" s="22" t="str">
        <f aca="false">IF(E1461="","",IFERROR(INDEX(02_INDICADORES!$D$2:$D$42,MATCH(E1461,02_INDICADORES!$A$2:$A$42,0)),""))</f>
        <v/>
      </c>
      <c r="I1461" s="9"/>
      <c r="J1461" s="16" t="str">
        <f aca="false">IF(OR(I1461="",H1461=""),"",I1461*H1461)</f>
        <v/>
      </c>
      <c r="K1461" s="9"/>
      <c r="L1461" s="9"/>
      <c r="M1461" s="9"/>
    </row>
    <row r="1462" customFormat="false" ht="15" hidden="false" customHeight="false" outlineLevel="0" collapsed="false">
      <c r="A1462" s="9"/>
      <c r="B1462" s="9"/>
      <c r="C1462" s="11"/>
      <c r="D1462" s="9"/>
      <c r="E1462" s="9"/>
      <c r="F1462" s="22" t="str">
        <f aca="false">IF(E1462="","",IFERROR(INDEX(02_INDICADORES!$B$2:$B$42,MATCH(E1462,02_INDICADORES!$A$2:$A$42,0)),"ID?"))</f>
        <v/>
      </c>
      <c r="G1462" s="21" t="str">
        <f aca="false">IF(E1462="","",IFERROR(INDEX(02_INDICADORES!$C$2:$C$42,MATCH(E1462,02_INDICADORES!$A$2:$A$42,0)),"ID?"))</f>
        <v/>
      </c>
      <c r="H1462" s="22" t="str">
        <f aca="false">IF(E1462="","",IFERROR(INDEX(02_INDICADORES!$D$2:$D$42,MATCH(E1462,02_INDICADORES!$A$2:$A$42,0)),""))</f>
        <v/>
      </c>
      <c r="I1462" s="9"/>
      <c r="J1462" s="16" t="str">
        <f aca="false">IF(OR(I1462="",H1462=""),"",I1462*H1462)</f>
        <v/>
      </c>
      <c r="K1462" s="9"/>
      <c r="L1462" s="9"/>
      <c r="M1462" s="9"/>
    </row>
    <row r="1463" customFormat="false" ht="15" hidden="false" customHeight="false" outlineLevel="0" collapsed="false">
      <c r="A1463" s="9"/>
      <c r="B1463" s="9"/>
      <c r="C1463" s="11"/>
      <c r="D1463" s="9"/>
      <c r="E1463" s="9"/>
      <c r="F1463" s="22" t="str">
        <f aca="false">IF(E1463="","",IFERROR(INDEX(02_INDICADORES!$B$2:$B$42,MATCH(E1463,02_INDICADORES!$A$2:$A$42,0)),"ID?"))</f>
        <v/>
      </c>
      <c r="G1463" s="21" t="str">
        <f aca="false">IF(E1463="","",IFERROR(INDEX(02_INDICADORES!$C$2:$C$42,MATCH(E1463,02_INDICADORES!$A$2:$A$42,0)),"ID?"))</f>
        <v/>
      </c>
      <c r="H1463" s="22" t="str">
        <f aca="false">IF(E1463="","",IFERROR(INDEX(02_INDICADORES!$D$2:$D$42,MATCH(E1463,02_INDICADORES!$A$2:$A$42,0)),""))</f>
        <v/>
      </c>
      <c r="I1463" s="9"/>
      <c r="J1463" s="16" t="str">
        <f aca="false">IF(OR(I1463="",H1463=""),"",I1463*H1463)</f>
        <v/>
      </c>
      <c r="K1463" s="9"/>
      <c r="L1463" s="9"/>
      <c r="M1463" s="9"/>
    </row>
    <row r="1464" customFormat="false" ht="15" hidden="false" customHeight="false" outlineLevel="0" collapsed="false">
      <c r="A1464" s="9"/>
      <c r="B1464" s="9"/>
      <c r="C1464" s="11"/>
      <c r="D1464" s="9"/>
      <c r="E1464" s="9"/>
      <c r="F1464" s="22" t="str">
        <f aca="false">IF(E1464="","",IFERROR(INDEX(02_INDICADORES!$B$2:$B$42,MATCH(E1464,02_INDICADORES!$A$2:$A$42,0)),"ID?"))</f>
        <v/>
      </c>
      <c r="G1464" s="21" t="str">
        <f aca="false">IF(E1464="","",IFERROR(INDEX(02_INDICADORES!$C$2:$C$42,MATCH(E1464,02_INDICADORES!$A$2:$A$42,0)),"ID?"))</f>
        <v/>
      </c>
      <c r="H1464" s="22" t="str">
        <f aca="false">IF(E1464="","",IFERROR(INDEX(02_INDICADORES!$D$2:$D$42,MATCH(E1464,02_INDICADORES!$A$2:$A$42,0)),""))</f>
        <v/>
      </c>
      <c r="I1464" s="9"/>
      <c r="J1464" s="16" t="str">
        <f aca="false">IF(OR(I1464="",H1464=""),"",I1464*H1464)</f>
        <v/>
      </c>
      <c r="K1464" s="9"/>
      <c r="L1464" s="9"/>
      <c r="M1464" s="9"/>
    </row>
    <row r="1465" customFormat="false" ht="15" hidden="false" customHeight="false" outlineLevel="0" collapsed="false">
      <c r="A1465" s="9"/>
      <c r="B1465" s="9"/>
      <c r="C1465" s="11"/>
      <c r="D1465" s="9"/>
      <c r="E1465" s="9"/>
      <c r="F1465" s="22" t="str">
        <f aca="false">IF(E1465="","",IFERROR(INDEX(02_INDICADORES!$B$2:$B$42,MATCH(E1465,02_INDICADORES!$A$2:$A$42,0)),"ID?"))</f>
        <v/>
      </c>
      <c r="G1465" s="21" t="str">
        <f aca="false">IF(E1465="","",IFERROR(INDEX(02_INDICADORES!$C$2:$C$42,MATCH(E1465,02_INDICADORES!$A$2:$A$42,0)),"ID?"))</f>
        <v/>
      </c>
      <c r="H1465" s="22" t="str">
        <f aca="false">IF(E1465="","",IFERROR(INDEX(02_INDICADORES!$D$2:$D$42,MATCH(E1465,02_INDICADORES!$A$2:$A$42,0)),""))</f>
        <v/>
      </c>
      <c r="I1465" s="9"/>
      <c r="J1465" s="16" t="str">
        <f aca="false">IF(OR(I1465="",H1465=""),"",I1465*H1465)</f>
        <v/>
      </c>
      <c r="K1465" s="9"/>
      <c r="L1465" s="9"/>
      <c r="M1465" s="9"/>
    </row>
    <row r="1466" customFormat="false" ht="15" hidden="false" customHeight="false" outlineLevel="0" collapsed="false">
      <c r="A1466" s="9"/>
      <c r="B1466" s="9"/>
      <c r="C1466" s="11"/>
      <c r="D1466" s="9"/>
      <c r="E1466" s="9"/>
      <c r="F1466" s="22" t="str">
        <f aca="false">IF(E1466="","",IFERROR(INDEX(02_INDICADORES!$B$2:$B$42,MATCH(E1466,02_INDICADORES!$A$2:$A$42,0)),"ID?"))</f>
        <v/>
      </c>
      <c r="G1466" s="21" t="str">
        <f aca="false">IF(E1466="","",IFERROR(INDEX(02_INDICADORES!$C$2:$C$42,MATCH(E1466,02_INDICADORES!$A$2:$A$42,0)),"ID?"))</f>
        <v/>
      </c>
      <c r="H1466" s="22" t="str">
        <f aca="false">IF(E1466="","",IFERROR(INDEX(02_INDICADORES!$D$2:$D$42,MATCH(E1466,02_INDICADORES!$A$2:$A$42,0)),""))</f>
        <v/>
      </c>
      <c r="I1466" s="9"/>
      <c r="J1466" s="16" t="str">
        <f aca="false">IF(OR(I1466="",H1466=""),"",I1466*H1466)</f>
        <v/>
      </c>
      <c r="K1466" s="9"/>
      <c r="L1466" s="9"/>
      <c r="M1466" s="9"/>
    </row>
    <row r="1467" customFormat="false" ht="15" hidden="false" customHeight="false" outlineLevel="0" collapsed="false">
      <c r="A1467" s="9"/>
      <c r="B1467" s="9"/>
      <c r="C1467" s="11"/>
      <c r="D1467" s="9"/>
      <c r="E1467" s="9"/>
      <c r="F1467" s="22" t="str">
        <f aca="false">IF(E1467="","",IFERROR(INDEX(02_INDICADORES!$B$2:$B$42,MATCH(E1467,02_INDICADORES!$A$2:$A$42,0)),"ID?"))</f>
        <v/>
      </c>
      <c r="G1467" s="21" t="str">
        <f aca="false">IF(E1467="","",IFERROR(INDEX(02_INDICADORES!$C$2:$C$42,MATCH(E1467,02_INDICADORES!$A$2:$A$42,0)),"ID?"))</f>
        <v/>
      </c>
      <c r="H1467" s="22" t="str">
        <f aca="false">IF(E1467="","",IFERROR(INDEX(02_INDICADORES!$D$2:$D$42,MATCH(E1467,02_INDICADORES!$A$2:$A$42,0)),""))</f>
        <v/>
      </c>
      <c r="I1467" s="9"/>
      <c r="J1467" s="16" t="str">
        <f aca="false">IF(OR(I1467="",H1467=""),"",I1467*H1467)</f>
        <v/>
      </c>
      <c r="K1467" s="9"/>
      <c r="L1467" s="9"/>
      <c r="M1467" s="9"/>
    </row>
    <row r="1468" customFormat="false" ht="15" hidden="false" customHeight="false" outlineLevel="0" collapsed="false">
      <c r="A1468" s="9"/>
      <c r="B1468" s="9"/>
      <c r="C1468" s="11"/>
      <c r="D1468" s="9"/>
      <c r="E1468" s="9"/>
      <c r="F1468" s="22" t="str">
        <f aca="false">IF(E1468="","",IFERROR(INDEX(02_INDICADORES!$B$2:$B$42,MATCH(E1468,02_INDICADORES!$A$2:$A$42,0)),"ID?"))</f>
        <v/>
      </c>
      <c r="G1468" s="21" t="str">
        <f aca="false">IF(E1468="","",IFERROR(INDEX(02_INDICADORES!$C$2:$C$42,MATCH(E1468,02_INDICADORES!$A$2:$A$42,0)),"ID?"))</f>
        <v/>
      </c>
      <c r="H1468" s="22" t="str">
        <f aca="false">IF(E1468="","",IFERROR(INDEX(02_INDICADORES!$D$2:$D$42,MATCH(E1468,02_INDICADORES!$A$2:$A$42,0)),""))</f>
        <v/>
      </c>
      <c r="I1468" s="9"/>
      <c r="J1468" s="16" t="str">
        <f aca="false">IF(OR(I1468="",H1468=""),"",I1468*H1468)</f>
        <v/>
      </c>
      <c r="K1468" s="9"/>
      <c r="L1468" s="9"/>
      <c r="M1468" s="9"/>
    </row>
    <row r="1469" customFormat="false" ht="15" hidden="false" customHeight="false" outlineLevel="0" collapsed="false">
      <c r="A1469" s="9"/>
      <c r="B1469" s="9"/>
      <c r="C1469" s="11"/>
      <c r="D1469" s="9"/>
      <c r="E1469" s="9"/>
      <c r="F1469" s="22" t="str">
        <f aca="false">IF(E1469="","",IFERROR(INDEX(02_INDICADORES!$B$2:$B$42,MATCH(E1469,02_INDICADORES!$A$2:$A$42,0)),"ID?"))</f>
        <v/>
      </c>
      <c r="G1469" s="21" t="str">
        <f aca="false">IF(E1469="","",IFERROR(INDEX(02_INDICADORES!$C$2:$C$42,MATCH(E1469,02_INDICADORES!$A$2:$A$42,0)),"ID?"))</f>
        <v/>
      </c>
      <c r="H1469" s="22" t="str">
        <f aca="false">IF(E1469="","",IFERROR(INDEX(02_INDICADORES!$D$2:$D$42,MATCH(E1469,02_INDICADORES!$A$2:$A$42,0)),""))</f>
        <v/>
      </c>
      <c r="I1469" s="9"/>
      <c r="J1469" s="16" t="str">
        <f aca="false">IF(OR(I1469="",H1469=""),"",I1469*H1469)</f>
        <v/>
      </c>
      <c r="K1469" s="9"/>
      <c r="L1469" s="9"/>
      <c r="M1469" s="9"/>
    </row>
    <row r="1470" customFormat="false" ht="15" hidden="false" customHeight="false" outlineLevel="0" collapsed="false">
      <c r="A1470" s="9"/>
      <c r="B1470" s="9"/>
      <c r="C1470" s="11"/>
      <c r="D1470" s="9"/>
      <c r="E1470" s="9"/>
      <c r="F1470" s="22" t="str">
        <f aca="false">IF(E1470="","",IFERROR(INDEX(02_INDICADORES!$B$2:$B$42,MATCH(E1470,02_INDICADORES!$A$2:$A$42,0)),"ID?"))</f>
        <v/>
      </c>
      <c r="G1470" s="21" t="str">
        <f aca="false">IF(E1470="","",IFERROR(INDEX(02_INDICADORES!$C$2:$C$42,MATCH(E1470,02_INDICADORES!$A$2:$A$42,0)),"ID?"))</f>
        <v/>
      </c>
      <c r="H1470" s="22" t="str">
        <f aca="false">IF(E1470="","",IFERROR(INDEX(02_INDICADORES!$D$2:$D$42,MATCH(E1470,02_INDICADORES!$A$2:$A$42,0)),""))</f>
        <v/>
      </c>
      <c r="I1470" s="9"/>
      <c r="J1470" s="16" t="str">
        <f aca="false">IF(OR(I1470="",H1470=""),"",I1470*H1470)</f>
        <v/>
      </c>
      <c r="K1470" s="9"/>
      <c r="L1470" s="9"/>
      <c r="M1470" s="9"/>
    </row>
    <row r="1471" customFormat="false" ht="15" hidden="false" customHeight="false" outlineLevel="0" collapsed="false">
      <c r="A1471" s="9"/>
      <c r="B1471" s="9"/>
      <c r="C1471" s="11"/>
      <c r="D1471" s="9"/>
      <c r="E1471" s="9"/>
      <c r="F1471" s="22" t="str">
        <f aca="false">IF(E1471="","",IFERROR(INDEX(02_INDICADORES!$B$2:$B$42,MATCH(E1471,02_INDICADORES!$A$2:$A$42,0)),"ID?"))</f>
        <v/>
      </c>
      <c r="G1471" s="21" t="str">
        <f aca="false">IF(E1471="","",IFERROR(INDEX(02_INDICADORES!$C$2:$C$42,MATCH(E1471,02_INDICADORES!$A$2:$A$42,0)),"ID?"))</f>
        <v/>
      </c>
      <c r="H1471" s="22" t="str">
        <f aca="false">IF(E1471="","",IFERROR(INDEX(02_INDICADORES!$D$2:$D$42,MATCH(E1471,02_INDICADORES!$A$2:$A$42,0)),""))</f>
        <v/>
      </c>
      <c r="I1471" s="9"/>
      <c r="J1471" s="16" t="str">
        <f aca="false">IF(OR(I1471="",H1471=""),"",I1471*H1471)</f>
        <v/>
      </c>
      <c r="K1471" s="9"/>
      <c r="L1471" s="9"/>
      <c r="M1471" s="9"/>
    </row>
    <row r="1472" customFormat="false" ht="15" hidden="false" customHeight="false" outlineLevel="0" collapsed="false">
      <c r="A1472" s="9"/>
      <c r="B1472" s="9"/>
      <c r="C1472" s="11"/>
      <c r="D1472" s="9"/>
      <c r="E1472" s="9"/>
      <c r="F1472" s="22" t="str">
        <f aca="false">IF(E1472="","",IFERROR(INDEX(02_INDICADORES!$B$2:$B$42,MATCH(E1472,02_INDICADORES!$A$2:$A$42,0)),"ID?"))</f>
        <v/>
      </c>
      <c r="G1472" s="21" t="str">
        <f aca="false">IF(E1472="","",IFERROR(INDEX(02_INDICADORES!$C$2:$C$42,MATCH(E1472,02_INDICADORES!$A$2:$A$42,0)),"ID?"))</f>
        <v/>
      </c>
      <c r="H1472" s="22" t="str">
        <f aca="false">IF(E1472="","",IFERROR(INDEX(02_INDICADORES!$D$2:$D$42,MATCH(E1472,02_INDICADORES!$A$2:$A$42,0)),""))</f>
        <v/>
      </c>
      <c r="I1472" s="9"/>
      <c r="J1472" s="16" t="str">
        <f aca="false">IF(OR(I1472="",H1472=""),"",I1472*H1472)</f>
        <v/>
      </c>
      <c r="K1472" s="9"/>
      <c r="L1472" s="9"/>
      <c r="M1472" s="9"/>
    </row>
    <row r="1473" customFormat="false" ht="15" hidden="false" customHeight="false" outlineLevel="0" collapsed="false">
      <c r="A1473" s="9"/>
      <c r="B1473" s="9"/>
      <c r="C1473" s="11"/>
      <c r="D1473" s="9"/>
      <c r="E1473" s="9"/>
      <c r="F1473" s="22" t="str">
        <f aca="false">IF(E1473="","",IFERROR(INDEX(02_INDICADORES!$B$2:$B$42,MATCH(E1473,02_INDICADORES!$A$2:$A$42,0)),"ID?"))</f>
        <v/>
      </c>
      <c r="G1473" s="21" t="str">
        <f aca="false">IF(E1473="","",IFERROR(INDEX(02_INDICADORES!$C$2:$C$42,MATCH(E1473,02_INDICADORES!$A$2:$A$42,0)),"ID?"))</f>
        <v/>
      </c>
      <c r="H1473" s="22" t="str">
        <f aca="false">IF(E1473="","",IFERROR(INDEX(02_INDICADORES!$D$2:$D$42,MATCH(E1473,02_INDICADORES!$A$2:$A$42,0)),""))</f>
        <v/>
      </c>
      <c r="I1473" s="9"/>
      <c r="J1473" s="16" t="str">
        <f aca="false">IF(OR(I1473="",H1473=""),"",I1473*H1473)</f>
        <v/>
      </c>
      <c r="K1473" s="9"/>
      <c r="L1473" s="9"/>
      <c r="M1473" s="9"/>
    </row>
    <row r="1474" customFormat="false" ht="15" hidden="false" customHeight="false" outlineLevel="0" collapsed="false">
      <c r="A1474" s="9"/>
      <c r="B1474" s="9"/>
      <c r="C1474" s="11"/>
      <c r="D1474" s="9"/>
      <c r="E1474" s="9"/>
      <c r="F1474" s="22" t="str">
        <f aca="false">IF(E1474="","",IFERROR(INDEX(02_INDICADORES!$B$2:$B$42,MATCH(E1474,02_INDICADORES!$A$2:$A$42,0)),"ID?"))</f>
        <v/>
      </c>
      <c r="G1474" s="21" t="str">
        <f aca="false">IF(E1474="","",IFERROR(INDEX(02_INDICADORES!$C$2:$C$42,MATCH(E1474,02_INDICADORES!$A$2:$A$42,0)),"ID?"))</f>
        <v/>
      </c>
      <c r="H1474" s="22" t="str">
        <f aca="false">IF(E1474="","",IFERROR(INDEX(02_INDICADORES!$D$2:$D$42,MATCH(E1474,02_INDICADORES!$A$2:$A$42,0)),""))</f>
        <v/>
      </c>
      <c r="I1474" s="9"/>
      <c r="J1474" s="16" t="str">
        <f aca="false">IF(OR(I1474="",H1474=""),"",I1474*H1474)</f>
        <v/>
      </c>
      <c r="K1474" s="9"/>
      <c r="L1474" s="9"/>
      <c r="M1474" s="9"/>
    </row>
    <row r="1475" customFormat="false" ht="15" hidden="false" customHeight="false" outlineLevel="0" collapsed="false">
      <c r="A1475" s="9"/>
      <c r="B1475" s="9"/>
      <c r="C1475" s="11"/>
      <c r="D1475" s="9"/>
      <c r="E1475" s="9"/>
      <c r="F1475" s="22" t="str">
        <f aca="false">IF(E1475="","",IFERROR(INDEX(02_INDICADORES!$B$2:$B$42,MATCH(E1475,02_INDICADORES!$A$2:$A$42,0)),"ID?"))</f>
        <v/>
      </c>
      <c r="G1475" s="21" t="str">
        <f aca="false">IF(E1475="","",IFERROR(INDEX(02_INDICADORES!$C$2:$C$42,MATCH(E1475,02_INDICADORES!$A$2:$A$42,0)),"ID?"))</f>
        <v/>
      </c>
      <c r="H1475" s="22" t="str">
        <f aca="false">IF(E1475="","",IFERROR(INDEX(02_INDICADORES!$D$2:$D$42,MATCH(E1475,02_INDICADORES!$A$2:$A$42,0)),""))</f>
        <v/>
      </c>
      <c r="I1475" s="9"/>
      <c r="J1475" s="16" t="str">
        <f aca="false">IF(OR(I1475="",H1475=""),"",I1475*H1475)</f>
        <v/>
      </c>
      <c r="K1475" s="9"/>
      <c r="L1475" s="9"/>
      <c r="M1475" s="9"/>
    </row>
    <row r="1476" customFormat="false" ht="15" hidden="false" customHeight="false" outlineLevel="0" collapsed="false">
      <c r="A1476" s="9"/>
      <c r="B1476" s="9"/>
      <c r="C1476" s="11"/>
      <c r="D1476" s="9"/>
      <c r="E1476" s="9"/>
      <c r="F1476" s="22" t="str">
        <f aca="false">IF(E1476="","",IFERROR(INDEX(02_INDICADORES!$B$2:$B$42,MATCH(E1476,02_INDICADORES!$A$2:$A$42,0)),"ID?"))</f>
        <v/>
      </c>
      <c r="G1476" s="21" t="str">
        <f aca="false">IF(E1476="","",IFERROR(INDEX(02_INDICADORES!$C$2:$C$42,MATCH(E1476,02_INDICADORES!$A$2:$A$42,0)),"ID?"))</f>
        <v/>
      </c>
      <c r="H1476" s="22" t="str">
        <f aca="false">IF(E1476="","",IFERROR(INDEX(02_INDICADORES!$D$2:$D$42,MATCH(E1476,02_INDICADORES!$A$2:$A$42,0)),""))</f>
        <v/>
      </c>
      <c r="I1476" s="9"/>
      <c r="J1476" s="16" t="str">
        <f aca="false">IF(OR(I1476="",H1476=""),"",I1476*H1476)</f>
        <v/>
      </c>
      <c r="K1476" s="9"/>
      <c r="L1476" s="9"/>
      <c r="M1476" s="9"/>
    </row>
    <row r="1477" customFormat="false" ht="15" hidden="false" customHeight="false" outlineLevel="0" collapsed="false">
      <c r="A1477" s="9"/>
      <c r="B1477" s="9"/>
      <c r="C1477" s="11"/>
      <c r="D1477" s="9"/>
      <c r="E1477" s="9"/>
      <c r="F1477" s="22" t="str">
        <f aca="false">IF(E1477="","",IFERROR(INDEX(02_INDICADORES!$B$2:$B$42,MATCH(E1477,02_INDICADORES!$A$2:$A$42,0)),"ID?"))</f>
        <v/>
      </c>
      <c r="G1477" s="21" t="str">
        <f aca="false">IF(E1477="","",IFERROR(INDEX(02_INDICADORES!$C$2:$C$42,MATCH(E1477,02_INDICADORES!$A$2:$A$42,0)),"ID?"))</f>
        <v/>
      </c>
      <c r="H1477" s="22" t="str">
        <f aca="false">IF(E1477="","",IFERROR(INDEX(02_INDICADORES!$D$2:$D$42,MATCH(E1477,02_INDICADORES!$A$2:$A$42,0)),""))</f>
        <v/>
      </c>
      <c r="I1477" s="9"/>
      <c r="J1477" s="16" t="str">
        <f aca="false">IF(OR(I1477="",H1477=""),"",I1477*H1477)</f>
        <v/>
      </c>
      <c r="K1477" s="9"/>
      <c r="L1477" s="9"/>
      <c r="M1477" s="9"/>
    </row>
    <row r="1478" customFormat="false" ht="15" hidden="false" customHeight="false" outlineLevel="0" collapsed="false">
      <c r="A1478" s="9"/>
      <c r="B1478" s="9"/>
      <c r="C1478" s="11"/>
      <c r="D1478" s="9"/>
      <c r="E1478" s="9"/>
      <c r="F1478" s="22" t="str">
        <f aca="false">IF(E1478="","",IFERROR(INDEX(02_INDICADORES!$B$2:$B$42,MATCH(E1478,02_INDICADORES!$A$2:$A$42,0)),"ID?"))</f>
        <v/>
      </c>
      <c r="G1478" s="21" t="str">
        <f aca="false">IF(E1478="","",IFERROR(INDEX(02_INDICADORES!$C$2:$C$42,MATCH(E1478,02_INDICADORES!$A$2:$A$42,0)),"ID?"))</f>
        <v/>
      </c>
      <c r="H1478" s="22" t="str">
        <f aca="false">IF(E1478="","",IFERROR(INDEX(02_INDICADORES!$D$2:$D$42,MATCH(E1478,02_INDICADORES!$A$2:$A$42,0)),""))</f>
        <v/>
      </c>
      <c r="I1478" s="9"/>
      <c r="J1478" s="16" t="str">
        <f aca="false">IF(OR(I1478="",H1478=""),"",I1478*H1478)</f>
        <v/>
      </c>
      <c r="K1478" s="9"/>
      <c r="L1478" s="9"/>
      <c r="M1478" s="9"/>
    </row>
    <row r="1479" customFormat="false" ht="15" hidden="false" customHeight="false" outlineLevel="0" collapsed="false">
      <c r="A1479" s="9"/>
      <c r="B1479" s="9"/>
      <c r="C1479" s="11"/>
      <c r="D1479" s="9"/>
      <c r="E1479" s="9"/>
      <c r="F1479" s="22" t="str">
        <f aca="false">IF(E1479="","",IFERROR(INDEX(02_INDICADORES!$B$2:$B$42,MATCH(E1479,02_INDICADORES!$A$2:$A$42,0)),"ID?"))</f>
        <v/>
      </c>
      <c r="G1479" s="21" t="str">
        <f aca="false">IF(E1479="","",IFERROR(INDEX(02_INDICADORES!$C$2:$C$42,MATCH(E1479,02_INDICADORES!$A$2:$A$42,0)),"ID?"))</f>
        <v/>
      </c>
      <c r="H1479" s="22" t="str">
        <f aca="false">IF(E1479="","",IFERROR(INDEX(02_INDICADORES!$D$2:$D$42,MATCH(E1479,02_INDICADORES!$A$2:$A$42,0)),""))</f>
        <v/>
      </c>
      <c r="I1479" s="9"/>
      <c r="J1479" s="16" t="str">
        <f aca="false">IF(OR(I1479="",H1479=""),"",I1479*H1479)</f>
        <v/>
      </c>
      <c r="K1479" s="9"/>
      <c r="L1479" s="9"/>
      <c r="M1479" s="9"/>
    </row>
    <row r="1480" customFormat="false" ht="15" hidden="false" customHeight="false" outlineLevel="0" collapsed="false">
      <c r="A1480" s="9"/>
      <c r="B1480" s="9"/>
      <c r="C1480" s="11"/>
      <c r="D1480" s="9"/>
      <c r="E1480" s="9"/>
      <c r="F1480" s="22" t="str">
        <f aca="false">IF(E1480="","",IFERROR(INDEX(02_INDICADORES!$B$2:$B$42,MATCH(E1480,02_INDICADORES!$A$2:$A$42,0)),"ID?"))</f>
        <v/>
      </c>
      <c r="G1480" s="21" t="str">
        <f aca="false">IF(E1480="","",IFERROR(INDEX(02_INDICADORES!$C$2:$C$42,MATCH(E1480,02_INDICADORES!$A$2:$A$42,0)),"ID?"))</f>
        <v/>
      </c>
      <c r="H1480" s="22" t="str">
        <f aca="false">IF(E1480="","",IFERROR(INDEX(02_INDICADORES!$D$2:$D$42,MATCH(E1480,02_INDICADORES!$A$2:$A$42,0)),""))</f>
        <v/>
      </c>
      <c r="I1480" s="9"/>
      <c r="J1480" s="16" t="str">
        <f aca="false">IF(OR(I1480="",H1480=""),"",I1480*H1480)</f>
        <v/>
      </c>
      <c r="K1480" s="9"/>
      <c r="L1480" s="9"/>
      <c r="M1480" s="9"/>
    </row>
    <row r="1481" customFormat="false" ht="15" hidden="false" customHeight="false" outlineLevel="0" collapsed="false">
      <c r="A1481" s="9"/>
      <c r="B1481" s="9"/>
      <c r="C1481" s="11"/>
      <c r="D1481" s="9"/>
      <c r="E1481" s="9"/>
      <c r="F1481" s="22" t="str">
        <f aca="false">IF(E1481="","",IFERROR(INDEX(02_INDICADORES!$B$2:$B$42,MATCH(E1481,02_INDICADORES!$A$2:$A$42,0)),"ID?"))</f>
        <v/>
      </c>
      <c r="G1481" s="21" t="str">
        <f aca="false">IF(E1481="","",IFERROR(INDEX(02_INDICADORES!$C$2:$C$42,MATCH(E1481,02_INDICADORES!$A$2:$A$42,0)),"ID?"))</f>
        <v/>
      </c>
      <c r="H1481" s="22" t="str">
        <f aca="false">IF(E1481="","",IFERROR(INDEX(02_INDICADORES!$D$2:$D$42,MATCH(E1481,02_INDICADORES!$A$2:$A$42,0)),""))</f>
        <v/>
      </c>
      <c r="I1481" s="9"/>
      <c r="J1481" s="16" t="str">
        <f aca="false">IF(OR(I1481="",H1481=""),"",I1481*H1481)</f>
        <v/>
      </c>
      <c r="K1481" s="9"/>
      <c r="L1481" s="9"/>
      <c r="M1481" s="9"/>
    </row>
    <row r="1482" customFormat="false" ht="15" hidden="false" customHeight="false" outlineLevel="0" collapsed="false">
      <c r="A1482" s="9"/>
      <c r="B1482" s="9"/>
      <c r="C1482" s="11"/>
      <c r="D1482" s="9"/>
      <c r="E1482" s="9"/>
      <c r="F1482" s="22" t="str">
        <f aca="false">IF(E1482="","",IFERROR(INDEX(02_INDICADORES!$B$2:$B$42,MATCH(E1482,02_INDICADORES!$A$2:$A$42,0)),"ID?"))</f>
        <v/>
      </c>
      <c r="G1482" s="21" t="str">
        <f aca="false">IF(E1482="","",IFERROR(INDEX(02_INDICADORES!$C$2:$C$42,MATCH(E1482,02_INDICADORES!$A$2:$A$42,0)),"ID?"))</f>
        <v/>
      </c>
      <c r="H1482" s="22" t="str">
        <f aca="false">IF(E1482="","",IFERROR(INDEX(02_INDICADORES!$D$2:$D$42,MATCH(E1482,02_INDICADORES!$A$2:$A$42,0)),""))</f>
        <v/>
      </c>
      <c r="I1482" s="9"/>
      <c r="J1482" s="16" t="str">
        <f aca="false">IF(OR(I1482="",H1482=""),"",I1482*H1482)</f>
        <v/>
      </c>
      <c r="K1482" s="9"/>
      <c r="L1482" s="9"/>
      <c r="M1482" s="9"/>
    </row>
    <row r="1483" customFormat="false" ht="15" hidden="false" customHeight="false" outlineLevel="0" collapsed="false">
      <c r="A1483" s="9"/>
      <c r="B1483" s="9"/>
      <c r="C1483" s="11"/>
      <c r="D1483" s="9"/>
      <c r="E1483" s="9"/>
      <c r="F1483" s="22" t="str">
        <f aca="false">IF(E1483="","",IFERROR(INDEX(02_INDICADORES!$B$2:$B$42,MATCH(E1483,02_INDICADORES!$A$2:$A$42,0)),"ID?"))</f>
        <v/>
      </c>
      <c r="G1483" s="21" t="str">
        <f aca="false">IF(E1483="","",IFERROR(INDEX(02_INDICADORES!$C$2:$C$42,MATCH(E1483,02_INDICADORES!$A$2:$A$42,0)),"ID?"))</f>
        <v/>
      </c>
      <c r="H1483" s="22" t="str">
        <f aca="false">IF(E1483="","",IFERROR(INDEX(02_INDICADORES!$D$2:$D$42,MATCH(E1483,02_INDICADORES!$A$2:$A$42,0)),""))</f>
        <v/>
      </c>
      <c r="I1483" s="9"/>
      <c r="J1483" s="16" t="str">
        <f aca="false">IF(OR(I1483="",H1483=""),"",I1483*H1483)</f>
        <v/>
      </c>
      <c r="K1483" s="9"/>
      <c r="L1483" s="9"/>
      <c r="M1483" s="9"/>
    </row>
    <row r="1484" customFormat="false" ht="15" hidden="false" customHeight="false" outlineLevel="0" collapsed="false">
      <c r="A1484" s="9"/>
      <c r="B1484" s="9"/>
      <c r="C1484" s="11"/>
      <c r="D1484" s="9"/>
      <c r="E1484" s="9"/>
      <c r="F1484" s="22" t="str">
        <f aca="false">IF(E1484="","",IFERROR(INDEX(02_INDICADORES!$B$2:$B$42,MATCH(E1484,02_INDICADORES!$A$2:$A$42,0)),"ID?"))</f>
        <v/>
      </c>
      <c r="G1484" s="21" t="str">
        <f aca="false">IF(E1484="","",IFERROR(INDEX(02_INDICADORES!$C$2:$C$42,MATCH(E1484,02_INDICADORES!$A$2:$A$42,0)),"ID?"))</f>
        <v/>
      </c>
      <c r="H1484" s="22" t="str">
        <f aca="false">IF(E1484="","",IFERROR(INDEX(02_INDICADORES!$D$2:$D$42,MATCH(E1484,02_INDICADORES!$A$2:$A$42,0)),""))</f>
        <v/>
      </c>
      <c r="I1484" s="9"/>
      <c r="J1484" s="16" t="str">
        <f aca="false">IF(OR(I1484="",H1484=""),"",I1484*H1484)</f>
        <v/>
      </c>
      <c r="K1484" s="9"/>
      <c r="L1484" s="9"/>
      <c r="M1484" s="9"/>
    </row>
    <row r="1485" customFormat="false" ht="15" hidden="false" customHeight="false" outlineLevel="0" collapsed="false">
      <c r="A1485" s="9"/>
      <c r="B1485" s="9"/>
      <c r="C1485" s="11"/>
      <c r="D1485" s="9"/>
      <c r="E1485" s="9"/>
      <c r="F1485" s="22" t="str">
        <f aca="false">IF(E1485="","",IFERROR(INDEX(02_INDICADORES!$B$2:$B$42,MATCH(E1485,02_INDICADORES!$A$2:$A$42,0)),"ID?"))</f>
        <v/>
      </c>
      <c r="G1485" s="21" t="str">
        <f aca="false">IF(E1485="","",IFERROR(INDEX(02_INDICADORES!$C$2:$C$42,MATCH(E1485,02_INDICADORES!$A$2:$A$42,0)),"ID?"))</f>
        <v/>
      </c>
      <c r="H1485" s="22" t="str">
        <f aca="false">IF(E1485="","",IFERROR(INDEX(02_INDICADORES!$D$2:$D$42,MATCH(E1485,02_INDICADORES!$A$2:$A$42,0)),""))</f>
        <v/>
      </c>
      <c r="I1485" s="9"/>
      <c r="J1485" s="16" t="str">
        <f aca="false">IF(OR(I1485="",H1485=""),"",I1485*H1485)</f>
        <v/>
      </c>
      <c r="K1485" s="9"/>
      <c r="L1485" s="9"/>
      <c r="M1485" s="9"/>
    </row>
    <row r="1486" customFormat="false" ht="15" hidden="false" customHeight="false" outlineLevel="0" collapsed="false">
      <c r="A1486" s="9"/>
      <c r="B1486" s="9"/>
      <c r="C1486" s="11"/>
      <c r="D1486" s="9"/>
      <c r="E1486" s="9"/>
      <c r="F1486" s="22" t="str">
        <f aca="false">IF(E1486="","",IFERROR(INDEX(02_INDICADORES!$B$2:$B$42,MATCH(E1486,02_INDICADORES!$A$2:$A$42,0)),"ID?"))</f>
        <v/>
      </c>
      <c r="G1486" s="21" t="str">
        <f aca="false">IF(E1486="","",IFERROR(INDEX(02_INDICADORES!$C$2:$C$42,MATCH(E1486,02_INDICADORES!$A$2:$A$42,0)),"ID?"))</f>
        <v/>
      </c>
      <c r="H1486" s="22" t="str">
        <f aca="false">IF(E1486="","",IFERROR(INDEX(02_INDICADORES!$D$2:$D$42,MATCH(E1486,02_INDICADORES!$A$2:$A$42,0)),""))</f>
        <v/>
      </c>
      <c r="I1486" s="9"/>
      <c r="J1486" s="16" t="str">
        <f aca="false">IF(OR(I1486="",H1486=""),"",I1486*H1486)</f>
        <v/>
      </c>
      <c r="K1486" s="9"/>
      <c r="L1486" s="9"/>
      <c r="M1486" s="9"/>
    </row>
    <row r="1487" customFormat="false" ht="15" hidden="false" customHeight="false" outlineLevel="0" collapsed="false">
      <c r="A1487" s="9"/>
      <c r="B1487" s="9"/>
      <c r="C1487" s="11"/>
      <c r="D1487" s="9"/>
      <c r="E1487" s="9"/>
      <c r="F1487" s="22" t="str">
        <f aca="false">IF(E1487="","",IFERROR(INDEX(02_INDICADORES!$B$2:$B$42,MATCH(E1487,02_INDICADORES!$A$2:$A$42,0)),"ID?"))</f>
        <v/>
      </c>
      <c r="G1487" s="21" t="str">
        <f aca="false">IF(E1487="","",IFERROR(INDEX(02_INDICADORES!$C$2:$C$42,MATCH(E1487,02_INDICADORES!$A$2:$A$42,0)),"ID?"))</f>
        <v/>
      </c>
      <c r="H1487" s="22" t="str">
        <f aca="false">IF(E1487="","",IFERROR(INDEX(02_INDICADORES!$D$2:$D$42,MATCH(E1487,02_INDICADORES!$A$2:$A$42,0)),""))</f>
        <v/>
      </c>
      <c r="I1487" s="9"/>
      <c r="J1487" s="16" t="str">
        <f aca="false">IF(OR(I1487="",H1487=""),"",I1487*H1487)</f>
        <v/>
      </c>
      <c r="K1487" s="9"/>
      <c r="L1487" s="9"/>
      <c r="M1487" s="9"/>
    </row>
    <row r="1488" customFormat="false" ht="15" hidden="false" customHeight="false" outlineLevel="0" collapsed="false">
      <c r="A1488" s="9"/>
      <c r="B1488" s="9"/>
      <c r="C1488" s="11"/>
      <c r="D1488" s="9"/>
      <c r="E1488" s="9"/>
      <c r="F1488" s="22" t="str">
        <f aca="false">IF(E1488="","",IFERROR(INDEX(02_INDICADORES!$B$2:$B$42,MATCH(E1488,02_INDICADORES!$A$2:$A$42,0)),"ID?"))</f>
        <v/>
      </c>
      <c r="G1488" s="21" t="str">
        <f aca="false">IF(E1488="","",IFERROR(INDEX(02_INDICADORES!$C$2:$C$42,MATCH(E1488,02_INDICADORES!$A$2:$A$42,0)),"ID?"))</f>
        <v/>
      </c>
      <c r="H1488" s="22" t="str">
        <f aca="false">IF(E1488="","",IFERROR(INDEX(02_INDICADORES!$D$2:$D$42,MATCH(E1488,02_INDICADORES!$A$2:$A$42,0)),""))</f>
        <v/>
      </c>
      <c r="I1488" s="9"/>
      <c r="J1488" s="16" t="str">
        <f aca="false">IF(OR(I1488="",H1488=""),"",I1488*H1488)</f>
        <v/>
      </c>
      <c r="K1488" s="9"/>
      <c r="L1488" s="9"/>
      <c r="M1488" s="9"/>
    </row>
    <row r="1489" customFormat="false" ht="15" hidden="false" customHeight="false" outlineLevel="0" collapsed="false">
      <c r="A1489" s="9"/>
      <c r="B1489" s="9"/>
      <c r="C1489" s="11"/>
      <c r="D1489" s="9"/>
      <c r="E1489" s="9"/>
      <c r="F1489" s="22" t="str">
        <f aca="false">IF(E1489="","",IFERROR(INDEX(02_INDICADORES!$B$2:$B$42,MATCH(E1489,02_INDICADORES!$A$2:$A$42,0)),"ID?"))</f>
        <v/>
      </c>
      <c r="G1489" s="21" t="str">
        <f aca="false">IF(E1489="","",IFERROR(INDEX(02_INDICADORES!$C$2:$C$42,MATCH(E1489,02_INDICADORES!$A$2:$A$42,0)),"ID?"))</f>
        <v/>
      </c>
      <c r="H1489" s="22" t="str">
        <f aca="false">IF(E1489="","",IFERROR(INDEX(02_INDICADORES!$D$2:$D$42,MATCH(E1489,02_INDICADORES!$A$2:$A$42,0)),""))</f>
        <v/>
      </c>
      <c r="I1489" s="9"/>
      <c r="J1489" s="16" t="str">
        <f aca="false">IF(OR(I1489="",H1489=""),"",I1489*H1489)</f>
        <v/>
      </c>
      <c r="K1489" s="9"/>
      <c r="L1489" s="9"/>
      <c r="M1489" s="9"/>
    </row>
    <row r="1490" customFormat="false" ht="15" hidden="false" customHeight="false" outlineLevel="0" collapsed="false">
      <c r="A1490" s="9"/>
      <c r="B1490" s="9"/>
      <c r="C1490" s="11"/>
      <c r="D1490" s="9"/>
      <c r="E1490" s="9"/>
      <c r="F1490" s="22" t="str">
        <f aca="false">IF(E1490="","",IFERROR(INDEX(02_INDICADORES!$B$2:$B$42,MATCH(E1490,02_INDICADORES!$A$2:$A$42,0)),"ID?"))</f>
        <v/>
      </c>
      <c r="G1490" s="21" t="str">
        <f aca="false">IF(E1490="","",IFERROR(INDEX(02_INDICADORES!$C$2:$C$42,MATCH(E1490,02_INDICADORES!$A$2:$A$42,0)),"ID?"))</f>
        <v/>
      </c>
      <c r="H1490" s="22" t="str">
        <f aca="false">IF(E1490="","",IFERROR(INDEX(02_INDICADORES!$D$2:$D$42,MATCH(E1490,02_INDICADORES!$A$2:$A$42,0)),""))</f>
        <v/>
      </c>
      <c r="I1490" s="9"/>
      <c r="J1490" s="16" t="str">
        <f aca="false">IF(OR(I1490="",H1490=""),"",I1490*H1490)</f>
        <v/>
      </c>
      <c r="K1490" s="9"/>
      <c r="L1490" s="9"/>
      <c r="M1490" s="9"/>
    </row>
    <row r="1491" customFormat="false" ht="15" hidden="false" customHeight="false" outlineLevel="0" collapsed="false">
      <c r="A1491" s="9"/>
      <c r="B1491" s="9"/>
      <c r="C1491" s="11"/>
      <c r="D1491" s="9"/>
      <c r="E1491" s="9"/>
      <c r="F1491" s="22" t="str">
        <f aca="false">IF(E1491="","",IFERROR(INDEX(02_INDICADORES!$B$2:$B$42,MATCH(E1491,02_INDICADORES!$A$2:$A$42,0)),"ID?"))</f>
        <v/>
      </c>
      <c r="G1491" s="21" t="str">
        <f aca="false">IF(E1491="","",IFERROR(INDEX(02_INDICADORES!$C$2:$C$42,MATCH(E1491,02_INDICADORES!$A$2:$A$42,0)),"ID?"))</f>
        <v/>
      </c>
      <c r="H1491" s="22" t="str">
        <f aca="false">IF(E1491="","",IFERROR(INDEX(02_INDICADORES!$D$2:$D$42,MATCH(E1491,02_INDICADORES!$A$2:$A$42,0)),""))</f>
        <v/>
      </c>
      <c r="I1491" s="9"/>
      <c r="J1491" s="16" t="str">
        <f aca="false">IF(OR(I1491="",H1491=""),"",I1491*H1491)</f>
        <v/>
      </c>
      <c r="K1491" s="9"/>
      <c r="L1491" s="9"/>
      <c r="M1491" s="9"/>
    </row>
    <row r="1492" customFormat="false" ht="15" hidden="false" customHeight="false" outlineLevel="0" collapsed="false">
      <c r="A1492" s="9"/>
      <c r="B1492" s="9"/>
      <c r="C1492" s="11"/>
      <c r="D1492" s="9"/>
      <c r="E1492" s="9"/>
      <c r="F1492" s="22" t="str">
        <f aca="false">IF(E1492="","",IFERROR(INDEX(02_INDICADORES!$B$2:$B$42,MATCH(E1492,02_INDICADORES!$A$2:$A$42,0)),"ID?"))</f>
        <v/>
      </c>
      <c r="G1492" s="21" t="str">
        <f aca="false">IF(E1492="","",IFERROR(INDEX(02_INDICADORES!$C$2:$C$42,MATCH(E1492,02_INDICADORES!$A$2:$A$42,0)),"ID?"))</f>
        <v/>
      </c>
      <c r="H1492" s="22" t="str">
        <f aca="false">IF(E1492="","",IFERROR(INDEX(02_INDICADORES!$D$2:$D$42,MATCH(E1492,02_INDICADORES!$A$2:$A$42,0)),""))</f>
        <v/>
      </c>
      <c r="I1492" s="9"/>
      <c r="J1492" s="16" t="str">
        <f aca="false">IF(OR(I1492="",H1492=""),"",I1492*H1492)</f>
        <v/>
      </c>
      <c r="K1492" s="9"/>
      <c r="L1492" s="9"/>
      <c r="M1492" s="9"/>
    </row>
    <row r="1493" customFormat="false" ht="15" hidden="false" customHeight="false" outlineLevel="0" collapsed="false">
      <c r="A1493" s="9"/>
      <c r="B1493" s="9"/>
      <c r="C1493" s="11"/>
      <c r="D1493" s="9"/>
      <c r="E1493" s="9"/>
      <c r="F1493" s="22" t="str">
        <f aca="false">IF(E1493="","",IFERROR(INDEX(02_INDICADORES!$B$2:$B$42,MATCH(E1493,02_INDICADORES!$A$2:$A$42,0)),"ID?"))</f>
        <v/>
      </c>
      <c r="G1493" s="21" t="str">
        <f aca="false">IF(E1493="","",IFERROR(INDEX(02_INDICADORES!$C$2:$C$42,MATCH(E1493,02_INDICADORES!$A$2:$A$42,0)),"ID?"))</f>
        <v/>
      </c>
      <c r="H1493" s="22" t="str">
        <f aca="false">IF(E1493="","",IFERROR(INDEX(02_INDICADORES!$D$2:$D$42,MATCH(E1493,02_INDICADORES!$A$2:$A$42,0)),""))</f>
        <v/>
      </c>
      <c r="I1493" s="9"/>
      <c r="J1493" s="16" t="str">
        <f aca="false">IF(OR(I1493="",H1493=""),"",I1493*H1493)</f>
        <v/>
      </c>
      <c r="K1493" s="9"/>
      <c r="L1493" s="9"/>
      <c r="M1493" s="9"/>
    </row>
    <row r="1494" customFormat="false" ht="15" hidden="false" customHeight="false" outlineLevel="0" collapsed="false">
      <c r="A1494" s="9"/>
      <c r="B1494" s="9"/>
      <c r="C1494" s="11"/>
      <c r="D1494" s="9"/>
      <c r="E1494" s="9"/>
      <c r="F1494" s="22" t="str">
        <f aca="false">IF(E1494="","",IFERROR(INDEX(02_INDICADORES!$B$2:$B$42,MATCH(E1494,02_INDICADORES!$A$2:$A$42,0)),"ID?"))</f>
        <v/>
      </c>
      <c r="G1494" s="21" t="str">
        <f aca="false">IF(E1494="","",IFERROR(INDEX(02_INDICADORES!$C$2:$C$42,MATCH(E1494,02_INDICADORES!$A$2:$A$42,0)),"ID?"))</f>
        <v/>
      </c>
      <c r="H1494" s="22" t="str">
        <f aca="false">IF(E1494="","",IFERROR(INDEX(02_INDICADORES!$D$2:$D$42,MATCH(E1494,02_INDICADORES!$A$2:$A$42,0)),""))</f>
        <v/>
      </c>
      <c r="I1494" s="9"/>
      <c r="J1494" s="16" t="str">
        <f aca="false">IF(OR(I1494="",H1494=""),"",I1494*H1494)</f>
        <v/>
      </c>
      <c r="K1494" s="9"/>
      <c r="L1494" s="9"/>
      <c r="M1494" s="9"/>
    </row>
    <row r="1495" customFormat="false" ht="15" hidden="false" customHeight="false" outlineLevel="0" collapsed="false">
      <c r="A1495" s="9"/>
      <c r="B1495" s="9"/>
      <c r="C1495" s="11"/>
      <c r="D1495" s="9"/>
      <c r="E1495" s="9"/>
      <c r="F1495" s="22" t="str">
        <f aca="false">IF(E1495="","",IFERROR(INDEX(02_INDICADORES!$B$2:$B$42,MATCH(E1495,02_INDICADORES!$A$2:$A$42,0)),"ID?"))</f>
        <v/>
      </c>
      <c r="G1495" s="21" t="str">
        <f aca="false">IF(E1495="","",IFERROR(INDEX(02_INDICADORES!$C$2:$C$42,MATCH(E1495,02_INDICADORES!$A$2:$A$42,0)),"ID?"))</f>
        <v/>
      </c>
      <c r="H1495" s="22" t="str">
        <f aca="false">IF(E1495="","",IFERROR(INDEX(02_INDICADORES!$D$2:$D$42,MATCH(E1495,02_INDICADORES!$A$2:$A$42,0)),""))</f>
        <v/>
      </c>
      <c r="I1495" s="9"/>
      <c r="J1495" s="16" t="str">
        <f aca="false">IF(OR(I1495="",H1495=""),"",I1495*H1495)</f>
        <v/>
      </c>
      <c r="K1495" s="9"/>
      <c r="L1495" s="9"/>
      <c r="M1495" s="9"/>
    </row>
    <row r="1496" customFormat="false" ht="15" hidden="false" customHeight="false" outlineLevel="0" collapsed="false">
      <c r="A1496" s="9"/>
      <c r="B1496" s="9"/>
      <c r="C1496" s="11"/>
      <c r="D1496" s="9"/>
      <c r="E1496" s="9"/>
      <c r="F1496" s="22" t="str">
        <f aca="false">IF(E1496="","",IFERROR(INDEX(02_INDICADORES!$B$2:$B$42,MATCH(E1496,02_INDICADORES!$A$2:$A$42,0)),"ID?"))</f>
        <v/>
      </c>
      <c r="G1496" s="21" t="str">
        <f aca="false">IF(E1496="","",IFERROR(INDEX(02_INDICADORES!$C$2:$C$42,MATCH(E1496,02_INDICADORES!$A$2:$A$42,0)),"ID?"))</f>
        <v/>
      </c>
      <c r="H1496" s="22" t="str">
        <f aca="false">IF(E1496="","",IFERROR(INDEX(02_INDICADORES!$D$2:$D$42,MATCH(E1496,02_INDICADORES!$A$2:$A$42,0)),""))</f>
        <v/>
      </c>
      <c r="I1496" s="9"/>
      <c r="J1496" s="16" t="str">
        <f aca="false">IF(OR(I1496="",H1496=""),"",I1496*H1496)</f>
        <v/>
      </c>
      <c r="K1496" s="9"/>
      <c r="L1496" s="9"/>
      <c r="M1496" s="9"/>
    </row>
    <row r="1497" customFormat="false" ht="15" hidden="false" customHeight="false" outlineLevel="0" collapsed="false">
      <c r="A1497" s="9"/>
      <c r="B1497" s="9"/>
      <c r="C1497" s="11"/>
      <c r="D1497" s="9"/>
      <c r="E1497" s="9"/>
      <c r="F1497" s="22" t="str">
        <f aca="false">IF(E1497="","",IFERROR(INDEX(02_INDICADORES!$B$2:$B$42,MATCH(E1497,02_INDICADORES!$A$2:$A$42,0)),"ID?"))</f>
        <v/>
      </c>
      <c r="G1497" s="21" t="str">
        <f aca="false">IF(E1497="","",IFERROR(INDEX(02_INDICADORES!$C$2:$C$42,MATCH(E1497,02_INDICADORES!$A$2:$A$42,0)),"ID?"))</f>
        <v/>
      </c>
      <c r="H1497" s="22" t="str">
        <f aca="false">IF(E1497="","",IFERROR(INDEX(02_INDICADORES!$D$2:$D$42,MATCH(E1497,02_INDICADORES!$A$2:$A$42,0)),""))</f>
        <v/>
      </c>
      <c r="I1497" s="9"/>
      <c r="J1497" s="16" t="str">
        <f aca="false">IF(OR(I1497="",H1497=""),"",I1497*H1497)</f>
        <v/>
      </c>
      <c r="K1497" s="9"/>
      <c r="L1497" s="9"/>
      <c r="M1497" s="9"/>
    </row>
    <row r="1498" customFormat="false" ht="15" hidden="false" customHeight="false" outlineLevel="0" collapsed="false">
      <c r="A1498" s="9"/>
      <c r="B1498" s="9"/>
      <c r="C1498" s="11"/>
      <c r="D1498" s="9"/>
      <c r="E1498" s="9"/>
      <c r="F1498" s="22" t="str">
        <f aca="false">IF(E1498="","",IFERROR(INDEX(02_INDICADORES!$B$2:$B$42,MATCH(E1498,02_INDICADORES!$A$2:$A$42,0)),"ID?"))</f>
        <v/>
      </c>
      <c r="G1498" s="21" t="str">
        <f aca="false">IF(E1498="","",IFERROR(INDEX(02_INDICADORES!$C$2:$C$42,MATCH(E1498,02_INDICADORES!$A$2:$A$42,0)),"ID?"))</f>
        <v/>
      </c>
      <c r="H1498" s="22" t="str">
        <f aca="false">IF(E1498="","",IFERROR(INDEX(02_INDICADORES!$D$2:$D$42,MATCH(E1498,02_INDICADORES!$A$2:$A$42,0)),""))</f>
        <v/>
      </c>
      <c r="I1498" s="9"/>
      <c r="J1498" s="16" t="str">
        <f aca="false">IF(OR(I1498="",H1498=""),"",I1498*H1498)</f>
        <v/>
      </c>
      <c r="K1498" s="9"/>
      <c r="L1498" s="9"/>
      <c r="M1498" s="9"/>
    </row>
    <row r="1499" customFormat="false" ht="15" hidden="false" customHeight="false" outlineLevel="0" collapsed="false">
      <c r="A1499" s="9"/>
      <c r="B1499" s="9"/>
      <c r="C1499" s="11"/>
      <c r="D1499" s="9"/>
      <c r="E1499" s="9"/>
      <c r="F1499" s="22" t="str">
        <f aca="false">IF(E1499="","",IFERROR(INDEX(02_INDICADORES!$B$2:$B$42,MATCH(E1499,02_INDICADORES!$A$2:$A$42,0)),"ID?"))</f>
        <v/>
      </c>
      <c r="G1499" s="21" t="str">
        <f aca="false">IF(E1499="","",IFERROR(INDEX(02_INDICADORES!$C$2:$C$42,MATCH(E1499,02_INDICADORES!$A$2:$A$42,0)),"ID?"))</f>
        <v/>
      </c>
      <c r="H1499" s="22" t="str">
        <f aca="false">IF(E1499="","",IFERROR(INDEX(02_INDICADORES!$D$2:$D$42,MATCH(E1499,02_INDICADORES!$A$2:$A$42,0)),""))</f>
        <v/>
      </c>
      <c r="I1499" s="9"/>
      <c r="J1499" s="16" t="str">
        <f aca="false">IF(OR(I1499="",H1499=""),"",I1499*H1499)</f>
        <v/>
      </c>
      <c r="K1499" s="9"/>
      <c r="L1499" s="9"/>
      <c r="M1499" s="9"/>
    </row>
    <row r="1500" customFormat="false" ht="15" hidden="false" customHeight="false" outlineLevel="0" collapsed="false">
      <c r="A1500" s="9"/>
      <c r="B1500" s="9"/>
      <c r="C1500" s="11"/>
      <c r="D1500" s="9"/>
      <c r="E1500" s="9"/>
      <c r="F1500" s="22" t="str">
        <f aca="false">IF(E1500="","",IFERROR(INDEX(02_INDICADORES!$B$2:$B$42,MATCH(E1500,02_INDICADORES!$A$2:$A$42,0)),"ID?"))</f>
        <v/>
      </c>
      <c r="G1500" s="21" t="str">
        <f aca="false">IF(E1500="","",IFERROR(INDEX(02_INDICADORES!$C$2:$C$42,MATCH(E1500,02_INDICADORES!$A$2:$A$42,0)),"ID?"))</f>
        <v/>
      </c>
      <c r="H1500" s="22" t="str">
        <f aca="false">IF(E1500="","",IFERROR(INDEX(02_INDICADORES!$D$2:$D$42,MATCH(E1500,02_INDICADORES!$A$2:$A$42,0)),""))</f>
        <v/>
      </c>
      <c r="I1500" s="9"/>
      <c r="J1500" s="16" t="str">
        <f aca="false">IF(OR(I1500="",H1500=""),"",I1500*H1500)</f>
        <v/>
      </c>
      <c r="K1500" s="9"/>
      <c r="L1500" s="9"/>
      <c r="M1500" s="9"/>
    </row>
    <row r="1501" customFormat="false" ht="15" hidden="false" customHeight="false" outlineLevel="0" collapsed="false">
      <c r="A1501" s="9"/>
      <c r="B1501" s="9"/>
      <c r="C1501" s="11"/>
      <c r="D1501" s="9"/>
      <c r="E1501" s="9"/>
      <c r="F1501" s="22" t="str">
        <f aca="false">IF(E1501="","",IFERROR(INDEX(02_INDICADORES!$B$2:$B$42,MATCH(E1501,02_INDICADORES!$A$2:$A$42,0)),"ID?"))</f>
        <v/>
      </c>
      <c r="G1501" s="21" t="str">
        <f aca="false">IF(E1501="","",IFERROR(INDEX(02_INDICADORES!$C$2:$C$42,MATCH(E1501,02_INDICADORES!$A$2:$A$42,0)),"ID?"))</f>
        <v/>
      </c>
      <c r="H1501" s="22" t="str">
        <f aca="false">IF(E1501="","",IFERROR(INDEX(02_INDICADORES!$D$2:$D$42,MATCH(E1501,02_INDICADORES!$A$2:$A$42,0)),""))</f>
        <v/>
      </c>
      <c r="I1501" s="9"/>
      <c r="J1501" s="16" t="str">
        <f aca="false">IF(OR(I1501="",H1501=""),"",I1501*H1501)</f>
        <v/>
      </c>
      <c r="K1501" s="9"/>
      <c r="L1501" s="9"/>
      <c r="M1501" s="9"/>
    </row>
    <row r="1502" customFormat="false" ht="15" hidden="false" customHeight="false" outlineLevel="0" collapsed="false">
      <c r="A1502" s="9"/>
      <c r="B1502" s="9"/>
      <c r="C1502" s="11"/>
      <c r="D1502" s="9"/>
      <c r="E1502" s="9"/>
      <c r="F1502" s="22" t="str">
        <f aca="false">IF(E1502="","",IFERROR(INDEX(02_INDICADORES!$B$2:$B$42,MATCH(E1502,02_INDICADORES!$A$2:$A$42,0)),"ID?"))</f>
        <v/>
      </c>
      <c r="G1502" s="21" t="str">
        <f aca="false">IF(E1502="","",IFERROR(INDEX(02_INDICADORES!$C$2:$C$42,MATCH(E1502,02_INDICADORES!$A$2:$A$42,0)),"ID?"))</f>
        <v/>
      </c>
      <c r="H1502" s="22" t="str">
        <f aca="false">IF(E1502="","",IFERROR(INDEX(02_INDICADORES!$D$2:$D$42,MATCH(E1502,02_INDICADORES!$A$2:$A$42,0)),""))</f>
        <v/>
      </c>
      <c r="I1502" s="9"/>
      <c r="J1502" s="16" t="str">
        <f aca="false">IF(OR(I1502="",H1502=""),"",I1502*H1502)</f>
        <v/>
      </c>
      <c r="K1502" s="9"/>
      <c r="L1502" s="9"/>
      <c r="M1502" s="9"/>
    </row>
    <row r="1503" customFormat="false" ht="15" hidden="false" customHeight="false" outlineLevel="0" collapsed="false">
      <c r="A1503" s="9"/>
      <c r="B1503" s="9"/>
      <c r="C1503" s="11"/>
      <c r="D1503" s="9"/>
      <c r="E1503" s="9"/>
      <c r="F1503" s="22" t="str">
        <f aca="false">IF(E1503="","",IFERROR(INDEX(02_INDICADORES!$B$2:$B$42,MATCH(E1503,02_INDICADORES!$A$2:$A$42,0)),"ID?"))</f>
        <v/>
      </c>
      <c r="G1503" s="21" t="str">
        <f aca="false">IF(E1503="","",IFERROR(INDEX(02_INDICADORES!$C$2:$C$42,MATCH(E1503,02_INDICADORES!$A$2:$A$42,0)),"ID?"))</f>
        <v/>
      </c>
      <c r="H1503" s="22" t="str">
        <f aca="false">IF(E1503="","",IFERROR(INDEX(02_INDICADORES!$D$2:$D$42,MATCH(E1503,02_INDICADORES!$A$2:$A$42,0)),""))</f>
        <v/>
      </c>
      <c r="I1503" s="9"/>
      <c r="J1503" s="16" t="str">
        <f aca="false">IF(OR(I1503="",H1503=""),"",I1503*H1503)</f>
        <v/>
      </c>
      <c r="K1503" s="9"/>
      <c r="L1503" s="9"/>
      <c r="M1503" s="9"/>
    </row>
    <row r="1504" customFormat="false" ht="15" hidden="false" customHeight="false" outlineLevel="0" collapsed="false">
      <c r="A1504" s="9"/>
      <c r="B1504" s="9"/>
      <c r="C1504" s="11"/>
      <c r="D1504" s="9"/>
      <c r="E1504" s="9"/>
      <c r="F1504" s="22" t="str">
        <f aca="false">IF(E1504="","",IFERROR(INDEX(02_INDICADORES!$B$2:$B$42,MATCH(E1504,02_INDICADORES!$A$2:$A$42,0)),"ID?"))</f>
        <v/>
      </c>
      <c r="G1504" s="21" t="str">
        <f aca="false">IF(E1504="","",IFERROR(INDEX(02_INDICADORES!$C$2:$C$42,MATCH(E1504,02_INDICADORES!$A$2:$A$42,0)),"ID?"))</f>
        <v/>
      </c>
      <c r="H1504" s="22" t="str">
        <f aca="false">IF(E1504="","",IFERROR(INDEX(02_INDICADORES!$D$2:$D$42,MATCH(E1504,02_INDICADORES!$A$2:$A$42,0)),""))</f>
        <v/>
      </c>
      <c r="I1504" s="9"/>
      <c r="J1504" s="16" t="str">
        <f aca="false">IF(OR(I1504="",H1504=""),"",I1504*H1504)</f>
        <v/>
      </c>
      <c r="K1504" s="9"/>
      <c r="L1504" s="9"/>
      <c r="M1504" s="9"/>
    </row>
    <row r="1505" customFormat="false" ht="15" hidden="false" customHeight="false" outlineLevel="0" collapsed="false">
      <c r="A1505" s="9"/>
      <c r="B1505" s="9"/>
      <c r="C1505" s="11"/>
      <c r="D1505" s="9"/>
      <c r="E1505" s="9"/>
      <c r="F1505" s="22" t="str">
        <f aca="false">IF(E1505="","",IFERROR(INDEX(02_INDICADORES!$B$2:$B$42,MATCH(E1505,02_INDICADORES!$A$2:$A$42,0)),"ID?"))</f>
        <v/>
      </c>
      <c r="G1505" s="21" t="str">
        <f aca="false">IF(E1505="","",IFERROR(INDEX(02_INDICADORES!$C$2:$C$42,MATCH(E1505,02_INDICADORES!$A$2:$A$42,0)),"ID?"))</f>
        <v/>
      </c>
      <c r="H1505" s="22" t="str">
        <f aca="false">IF(E1505="","",IFERROR(INDEX(02_INDICADORES!$D$2:$D$42,MATCH(E1505,02_INDICADORES!$A$2:$A$42,0)),""))</f>
        <v/>
      </c>
      <c r="I1505" s="9"/>
      <c r="J1505" s="16" t="str">
        <f aca="false">IF(OR(I1505="",H1505=""),"",I1505*H1505)</f>
        <v/>
      </c>
      <c r="K1505" s="9"/>
      <c r="L1505" s="9"/>
      <c r="M1505" s="9"/>
    </row>
    <row r="1506" customFormat="false" ht="15" hidden="false" customHeight="false" outlineLevel="0" collapsed="false">
      <c r="A1506" s="9"/>
      <c r="B1506" s="9"/>
      <c r="C1506" s="11"/>
      <c r="D1506" s="9"/>
      <c r="E1506" s="9"/>
      <c r="F1506" s="22" t="str">
        <f aca="false">IF(E1506="","",IFERROR(INDEX(02_INDICADORES!$B$2:$B$42,MATCH(E1506,02_INDICADORES!$A$2:$A$42,0)),"ID?"))</f>
        <v/>
      </c>
      <c r="G1506" s="21" t="str">
        <f aca="false">IF(E1506="","",IFERROR(INDEX(02_INDICADORES!$C$2:$C$42,MATCH(E1506,02_INDICADORES!$A$2:$A$42,0)),"ID?"))</f>
        <v/>
      </c>
      <c r="H1506" s="22" t="str">
        <f aca="false">IF(E1506="","",IFERROR(INDEX(02_INDICADORES!$D$2:$D$42,MATCH(E1506,02_INDICADORES!$A$2:$A$42,0)),""))</f>
        <v/>
      </c>
      <c r="I1506" s="9"/>
      <c r="J1506" s="16" t="str">
        <f aca="false">IF(OR(I1506="",H1506=""),"",I1506*H1506)</f>
        <v/>
      </c>
      <c r="K1506" s="9"/>
      <c r="L1506" s="9"/>
      <c r="M1506" s="9"/>
    </row>
    <row r="1507" customFormat="false" ht="15" hidden="false" customHeight="false" outlineLevel="0" collapsed="false">
      <c r="A1507" s="9"/>
      <c r="B1507" s="9"/>
      <c r="C1507" s="11"/>
      <c r="D1507" s="9"/>
      <c r="E1507" s="9"/>
      <c r="F1507" s="22" t="str">
        <f aca="false">IF(E1507="","",IFERROR(INDEX(02_INDICADORES!$B$2:$B$42,MATCH(E1507,02_INDICADORES!$A$2:$A$42,0)),"ID?"))</f>
        <v/>
      </c>
      <c r="G1507" s="21" t="str">
        <f aca="false">IF(E1507="","",IFERROR(INDEX(02_INDICADORES!$C$2:$C$42,MATCH(E1507,02_INDICADORES!$A$2:$A$42,0)),"ID?"))</f>
        <v/>
      </c>
      <c r="H1507" s="22" t="str">
        <f aca="false">IF(E1507="","",IFERROR(INDEX(02_INDICADORES!$D$2:$D$42,MATCH(E1507,02_INDICADORES!$A$2:$A$42,0)),""))</f>
        <v/>
      </c>
      <c r="I1507" s="9"/>
      <c r="J1507" s="16" t="str">
        <f aca="false">IF(OR(I1507="",H1507=""),"",I1507*H1507)</f>
        <v/>
      </c>
      <c r="K1507" s="9"/>
      <c r="L1507" s="9"/>
      <c r="M1507" s="9"/>
    </row>
    <row r="1508" customFormat="false" ht="15" hidden="false" customHeight="false" outlineLevel="0" collapsed="false">
      <c r="A1508" s="9"/>
      <c r="B1508" s="9"/>
      <c r="C1508" s="11"/>
      <c r="D1508" s="9"/>
      <c r="E1508" s="9"/>
      <c r="F1508" s="22" t="str">
        <f aca="false">IF(E1508="","",IFERROR(INDEX(02_INDICADORES!$B$2:$B$42,MATCH(E1508,02_INDICADORES!$A$2:$A$42,0)),"ID?"))</f>
        <v/>
      </c>
      <c r="G1508" s="21" t="str">
        <f aca="false">IF(E1508="","",IFERROR(INDEX(02_INDICADORES!$C$2:$C$42,MATCH(E1508,02_INDICADORES!$A$2:$A$42,0)),"ID?"))</f>
        <v/>
      </c>
      <c r="H1508" s="22" t="str">
        <f aca="false">IF(E1508="","",IFERROR(INDEX(02_INDICADORES!$D$2:$D$42,MATCH(E1508,02_INDICADORES!$A$2:$A$42,0)),""))</f>
        <v/>
      </c>
      <c r="I1508" s="9"/>
      <c r="J1508" s="16" t="str">
        <f aca="false">IF(OR(I1508="",H1508=""),"",I1508*H1508)</f>
        <v/>
      </c>
      <c r="K1508" s="9"/>
      <c r="L1508" s="9"/>
      <c r="M1508" s="9"/>
    </row>
    <row r="1509" customFormat="false" ht="15" hidden="false" customHeight="false" outlineLevel="0" collapsed="false">
      <c r="A1509" s="9"/>
      <c r="B1509" s="9"/>
      <c r="C1509" s="11"/>
      <c r="D1509" s="9"/>
      <c r="E1509" s="9"/>
      <c r="F1509" s="22" t="str">
        <f aca="false">IF(E1509="","",IFERROR(INDEX(02_INDICADORES!$B$2:$B$42,MATCH(E1509,02_INDICADORES!$A$2:$A$42,0)),"ID?"))</f>
        <v/>
      </c>
      <c r="G1509" s="21" t="str">
        <f aca="false">IF(E1509="","",IFERROR(INDEX(02_INDICADORES!$C$2:$C$42,MATCH(E1509,02_INDICADORES!$A$2:$A$42,0)),"ID?"))</f>
        <v/>
      </c>
      <c r="H1509" s="22" t="str">
        <f aca="false">IF(E1509="","",IFERROR(INDEX(02_INDICADORES!$D$2:$D$42,MATCH(E1509,02_INDICADORES!$A$2:$A$42,0)),""))</f>
        <v/>
      </c>
      <c r="I1509" s="9"/>
      <c r="J1509" s="16" t="str">
        <f aca="false">IF(OR(I1509="",H1509=""),"",I1509*H1509)</f>
        <v/>
      </c>
      <c r="K1509" s="9"/>
      <c r="L1509" s="9"/>
      <c r="M1509" s="9"/>
    </row>
    <row r="1510" customFormat="false" ht="15" hidden="false" customHeight="false" outlineLevel="0" collapsed="false">
      <c r="A1510" s="9"/>
      <c r="B1510" s="9"/>
      <c r="C1510" s="11"/>
      <c r="D1510" s="9"/>
      <c r="E1510" s="9"/>
      <c r="F1510" s="22" t="str">
        <f aca="false">IF(E1510="","",IFERROR(INDEX(02_INDICADORES!$B$2:$B$42,MATCH(E1510,02_INDICADORES!$A$2:$A$42,0)),"ID?"))</f>
        <v/>
      </c>
      <c r="G1510" s="21" t="str">
        <f aca="false">IF(E1510="","",IFERROR(INDEX(02_INDICADORES!$C$2:$C$42,MATCH(E1510,02_INDICADORES!$A$2:$A$42,0)),"ID?"))</f>
        <v/>
      </c>
      <c r="H1510" s="22" t="str">
        <f aca="false">IF(E1510="","",IFERROR(INDEX(02_INDICADORES!$D$2:$D$42,MATCH(E1510,02_INDICADORES!$A$2:$A$42,0)),""))</f>
        <v/>
      </c>
      <c r="I1510" s="9"/>
      <c r="J1510" s="16" t="str">
        <f aca="false">IF(OR(I1510="",H1510=""),"",I1510*H1510)</f>
        <v/>
      </c>
      <c r="K1510" s="9"/>
      <c r="L1510" s="9"/>
      <c r="M1510" s="9"/>
    </row>
    <row r="1511" customFormat="false" ht="15" hidden="false" customHeight="false" outlineLevel="0" collapsed="false">
      <c r="A1511" s="9"/>
      <c r="B1511" s="9"/>
      <c r="C1511" s="11"/>
      <c r="D1511" s="9"/>
      <c r="E1511" s="9"/>
      <c r="F1511" s="22" t="str">
        <f aca="false">IF(E1511="","",IFERROR(INDEX(02_INDICADORES!$B$2:$B$42,MATCH(E1511,02_INDICADORES!$A$2:$A$42,0)),"ID?"))</f>
        <v/>
      </c>
      <c r="G1511" s="21" t="str">
        <f aca="false">IF(E1511="","",IFERROR(INDEX(02_INDICADORES!$C$2:$C$42,MATCH(E1511,02_INDICADORES!$A$2:$A$42,0)),"ID?"))</f>
        <v/>
      </c>
      <c r="H1511" s="22" t="str">
        <f aca="false">IF(E1511="","",IFERROR(INDEX(02_INDICADORES!$D$2:$D$42,MATCH(E1511,02_INDICADORES!$A$2:$A$42,0)),""))</f>
        <v/>
      </c>
      <c r="I1511" s="9"/>
      <c r="J1511" s="16" t="str">
        <f aca="false">IF(OR(I1511="",H1511=""),"",I1511*H1511)</f>
        <v/>
      </c>
      <c r="K1511" s="9"/>
      <c r="L1511" s="9"/>
      <c r="M1511" s="9"/>
    </row>
    <row r="1512" customFormat="false" ht="15" hidden="false" customHeight="false" outlineLevel="0" collapsed="false">
      <c r="A1512" s="9"/>
      <c r="B1512" s="9"/>
      <c r="C1512" s="11"/>
      <c r="D1512" s="9"/>
      <c r="E1512" s="9"/>
      <c r="F1512" s="22" t="str">
        <f aca="false">IF(E1512="","",IFERROR(INDEX(02_INDICADORES!$B$2:$B$42,MATCH(E1512,02_INDICADORES!$A$2:$A$42,0)),"ID?"))</f>
        <v/>
      </c>
      <c r="G1512" s="21" t="str">
        <f aca="false">IF(E1512="","",IFERROR(INDEX(02_INDICADORES!$C$2:$C$42,MATCH(E1512,02_INDICADORES!$A$2:$A$42,0)),"ID?"))</f>
        <v/>
      </c>
      <c r="H1512" s="22" t="str">
        <f aca="false">IF(E1512="","",IFERROR(INDEX(02_INDICADORES!$D$2:$D$42,MATCH(E1512,02_INDICADORES!$A$2:$A$42,0)),""))</f>
        <v/>
      </c>
      <c r="I1512" s="9"/>
      <c r="J1512" s="16" t="str">
        <f aca="false">IF(OR(I1512="",H1512=""),"",I1512*H1512)</f>
        <v/>
      </c>
      <c r="K1512" s="9"/>
      <c r="L1512" s="9"/>
      <c r="M1512" s="9"/>
    </row>
    <row r="1513" customFormat="false" ht="15" hidden="false" customHeight="false" outlineLevel="0" collapsed="false">
      <c r="A1513" s="9"/>
      <c r="B1513" s="9"/>
      <c r="C1513" s="11"/>
      <c r="D1513" s="9"/>
      <c r="E1513" s="9"/>
      <c r="F1513" s="22" t="str">
        <f aca="false">IF(E1513="","",IFERROR(INDEX(02_INDICADORES!$B$2:$B$42,MATCH(E1513,02_INDICADORES!$A$2:$A$42,0)),"ID?"))</f>
        <v/>
      </c>
      <c r="G1513" s="21" t="str">
        <f aca="false">IF(E1513="","",IFERROR(INDEX(02_INDICADORES!$C$2:$C$42,MATCH(E1513,02_INDICADORES!$A$2:$A$42,0)),"ID?"))</f>
        <v/>
      </c>
      <c r="H1513" s="22" t="str">
        <f aca="false">IF(E1513="","",IFERROR(INDEX(02_INDICADORES!$D$2:$D$42,MATCH(E1513,02_INDICADORES!$A$2:$A$42,0)),""))</f>
        <v/>
      </c>
      <c r="I1513" s="9"/>
      <c r="J1513" s="16" t="str">
        <f aca="false">IF(OR(I1513="",H1513=""),"",I1513*H1513)</f>
        <v/>
      </c>
      <c r="K1513" s="9"/>
      <c r="L1513" s="9"/>
      <c r="M1513" s="9"/>
    </row>
    <row r="1514" customFormat="false" ht="15" hidden="false" customHeight="false" outlineLevel="0" collapsed="false">
      <c r="A1514" s="9"/>
      <c r="B1514" s="9"/>
      <c r="C1514" s="11"/>
      <c r="D1514" s="9"/>
      <c r="E1514" s="9"/>
      <c r="F1514" s="22" t="str">
        <f aca="false">IF(E1514="","",IFERROR(INDEX(02_INDICADORES!$B$2:$B$42,MATCH(E1514,02_INDICADORES!$A$2:$A$42,0)),"ID?"))</f>
        <v/>
      </c>
      <c r="G1514" s="21" t="str">
        <f aca="false">IF(E1514="","",IFERROR(INDEX(02_INDICADORES!$C$2:$C$42,MATCH(E1514,02_INDICADORES!$A$2:$A$42,0)),"ID?"))</f>
        <v/>
      </c>
      <c r="H1514" s="22" t="str">
        <f aca="false">IF(E1514="","",IFERROR(INDEX(02_INDICADORES!$D$2:$D$42,MATCH(E1514,02_INDICADORES!$A$2:$A$42,0)),""))</f>
        <v/>
      </c>
      <c r="I1514" s="9"/>
      <c r="J1514" s="16" t="str">
        <f aca="false">IF(OR(I1514="",H1514=""),"",I1514*H1514)</f>
        <v/>
      </c>
      <c r="K1514" s="9"/>
      <c r="L1514" s="9"/>
      <c r="M1514" s="9"/>
    </row>
    <row r="1515" customFormat="false" ht="15" hidden="false" customHeight="false" outlineLevel="0" collapsed="false">
      <c r="A1515" s="9"/>
      <c r="B1515" s="9"/>
      <c r="C1515" s="11"/>
      <c r="D1515" s="9"/>
      <c r="E1515" s="9"/>
      <c r="F1515" s="22" t="str">
        <f aca="false">IF(E1515="","",IFERROR(INDEX(02_INDICADORES!$B$2:$B$42,MATCH(E1515,02_INDICADORES!$A$2:$A$42,0)),"ID?"))</f>
        <v/>
      </c>
      <c r="G1515" s="21" t="str">
        <f aca="false">IF(E1515="","",IFERROR(INDEX(02_INDICADORES!$C$2:$C$42,MATCH(E1515,02_INDICADORES!$A$2:$A$42,0)),"ID?"))</f>
        <v/>
      </c>
      <c r="H1515" s="22" t="str">
        <f aca="false">IF(E1515="","",IFERROR(INDEX(02_INDICADORES!$D$2:$D$42,MATCH(E1515,02_INDICADORES!$A$2:$A$42,0)),""))</f>
        <v/>
      </c>
      <c r="I1515" s="9"/>
      <c r="J1515" s="16" t="str">
        <f aca="false">IF(OR(I1515="",H1515=""),"",I1515*H1515)</f>
        <v/>
      </c>
      <c r="K1515" s="9"/>
      <c r="L1515" s="9"/>
      <c r="M1515" s="9"/>
    </row>
    <row r="1516" customFormat="false" ht="15" hidden="false" customHeight="false" outlineLevel="0" collapsed="false">
      <c r="A1516" s="9"/>
      <c r="B1516" s="9"/>
      <c r="C1516" s="11"/>
      <c r="D1516" s="9"/>
      <c r="E1516" s="9"/>
      <c r="F1516" s="22" t="str">
        <f aca="false">IF(E1516="","",IFERROR(INDEX(02_INDICADORES!$B$2:$B$42,MATCH(E1516,02_INDICADORES!$A$2:$A$42,0)),"ID?"))</f>
        <v/>
      </c>
      <c r="G1516" s="21" t="str">
        <f aca="false">IF(E1516="","",IFERROR(INDEX(02_INDICADORES!$C$2:$C$42,MATCH(E1516,02_INDICADORES!$A$2:$A$42,0)),"ID?"))</f>
        <v/>
      </c>
      <c r="H1516" s="22" t="str">
        <f aca="false">IF(E1516="","",IFERROR(INDEX(02_INDICADORES!$D$2:$D$42,MATCH(E1516,02_INDICADORES!$A$2:$A$42,0)),""))</f>
        <v/>
      </c>
      <c r="I1516" s="9"/>
      <c r="J1516" s="16" t="str">
        <f aca="false">IF(OR(I1516="",H1516=""),"",I1516*H1516)</f>
        <v/>
      </c>
      <c r="K1516" s="9"/>
      <c r="L1516" s="9"/>
      <c r="M1516" s="9"/>
    </row>
    <row r="1517" customFormat="false" ht="15" hidden="false" customHeight="false" outlineLevel="0" collapsed="false">
      <c r="A1517" s="9"/>
      <c r="B1517" s="9"/>
      <c r="C1517" s="11"/>
      <c r="D1517" s="9"/>
      <c r="E1517" s="9"/>
      <c r="F1517" s="22" t="str">
        <f aca="false">IF(E1517="","",IFERROR(INDEX(02_INDICADORES!$B$2:$B$42,MATCH(E1517,02_INDICADORES!$A$2:$A$42,0)),"ID?"))</f>
        <v/>
      </c>
      <c r="G1517" s="21" t="str">
        <f aca="false">IF(E1517="","",IFERROR(INDEX(02_INDICADORES!$C$2:$C$42,MATCH(E1517,02_INDICADORES!$A$2:$A$42,0)),"ID?"))</f>
        <v/>
      </c>
      <c r="H1517" s="22" t="str">
        <f aca="false">IF(E1517="","",IFERROR(INDEX(02_INDICADORES!$D$2:$D$42,MATCH(E1517,02_INDICADORES!$A$2:$A$42,0)),""))</f>
        <v/>
      </c>
      <c r="I1517" s="9"/>
      <c r="J1517" s="16" t="str">
        <f aca="false">IF(OR(I1517="",H1517=""),"",I1517*H1517)</f>
        <v/>
      </c>
      <c r="K1517" s="9"/>
      <c r="L1517" s="9"/>
      <c r="M1517" s="9"/>
    </row>
    <row r="1518" customFormat="false" ht="15" hidden="false" customHeight="false" outlineLevel="0" collapsed="false">
      <c r="A1518" s="9"/>
      <c r="B1518" s="9"/>
      <c r="C1518" s="11"/>
      <c r="D1518" s="9"/>
      <c r="E1518" s="9"/>
      <c r="F1518" s="22" t="str">
        <f aca="false">IF(E1518="","",IFERROR(INDEX(02_INDICADORES!$B$2:$B$42,MATCH(E1518,02_INDICADORES!$A$2:$A$42,0)),"ID?"))</f>
        <v/>
      </c>
      <c r="G1518" s="21" t="str">
        <f aca="false">IF(E1518="","",IFERROR(INDEX(02_INDICADORES!$C$2:$C$42,MATCH(E1518,02_INDICADORES!$A$2:$A$42,0)),"ID?"))</f>
        <v/>
      </c>
      <c r="H1518" s="22" t="str">
        <f aca="false">IF(E1518="","",IFERROR(INDEX(02_INDICADORES!$D$2:$D$42,MATCH(E1518,02_INDICADORES!$A$2:$A$42,0)),""))</f>
        <v/>
      </c>
      <c r="I1518" s="9"/>
      <c r="J1518" s="16" t="str">
        <f aca="false">IF(OR(I1518="",H1518=""),"",I1518*H1518)</f>
        <v/>
      </c>
      <c r="K1518" s="9"/>
      <c r="L1518" s="9"/>
      <c r="M1518" s="9"/>
    </row>
    <row r="1519" customFormat="false" ht="15" hidden="false" customHeight="false" outlineLevel="0" collapsed="false">
      <c r="A1519" s="9"/>
      <c r="B1519" s="9"/>
      <c r="C1519" s="11"/>
      <c r="D1519" s="9"/>
      <c r="E1519" s="9"/>
      <c r="F1519" s="22" t="str">
        <f aca="false">IF(E1519="","",IFERROR(INDEX(02_INDICADORES!$B$2:$B$42,MATCH(E1519,02_INDICADORES!$A$2:$A$42,0)),"ID?"))</f>
        <v/>
      </c>
      <c r="G1519" s="21" t="str">
        <f aca="false">IF(E1519="","",IFERROR(INDEX(02_INDICADORES!$C$2:$C$42,MATCH(E1519,02_INDICADORES!$A$2:$A$42,0)),"ID?"))</f>
        <v/>
      </c>
      <c r="H1519" s="22" t="str">
        <f aca="false">IF(E1519="","",IFERROR(INDEX(02_INDICADORES!$D$2:$D$42,MATCH(E1519,02_INDICADORES!$A$2:$A$42,0)),""))</f>
        <v/>
      </c>
      <c r="I1519" s="9"/>
      <c r="J1519" s="16" t="str">
        <f aca="false">IF(OR(I1519="",H1519=""),"",I1519*H1519)</f>
        <v/>
      </c>
      <c r="K1519" s="9"/>
      <c r="L1519" s="9"/>
      <c r="M1519" s="9"/>
    </row>
    <row r="1520" customFormat="false" ht="15" hidden="false" customHeight="false" outlineLevel="0" collapsed="false">
      <c r="A1520" s="9"/>
      <c r="B1520" s="9"/>
      <c r="C1520" s="11"/>
      <c r="D1520" s="9"/>
      <c r="E1520" s="9"/>
      <c r="F1520" s="22" t="str">
        <f aca="false">IF(E1520="","",IFERROR(INDEX(02_INDICADORES!$B$2:$B$42,MATCH(E1520,02_INDICADORES!$A$2:$A$42,0)),"ID?"))</f>
        <v/>
      </c>
      <c r="G1520" s="21" t="str">
        <f aca="false">IF(E1520="","",IFERROR(INDEX(02_INDICADORES!$C$2:$C$42,MATCH(E1520,02_INDICADORES!$A$2:$A$42,0)),"ID?"))</f>
        <v/>
      </c>
      <c r="H1520" s="22" t="str">
        <f aca="false">IF(E1520="","",IFERROR(INDEX(02_INDICADORES!$D$2:$D$42,MATCH(E1520,02_INDICADORES!$A$2:$A$42,0)),""))</f>
        <v/>
      </c>
      <c r="I1520" s="9"/>
      <c r="J1520" s="16" t="str">
        <f aca="false">IF(OR(I1520="",H1520=""),"",I1520*H1520)</f>
        <v/>
      </c>
      <c r="K1520" s="9"/>
      <c r="L1520" s="9"/>
      <c r="M1520" s="9"/>
    </row>
    <row r="1521" customFormat="false" ht="15" hidden="false" customHeight="false" outlineLevel="0" collapsed="false">
      <c r="A1521" s="9"/>
      <c r="B1521" s="9"/>
      <c r="C1521" s="11"/>
      <c r="D1521" s="9"/>
      <c r="E1521" s="9"/>
      <c r="F1521" s="22" t="str">
        <f aca="false">IF(E1521="","",IFERROR(INDEX(02_INDICADORES!$B$2:$B$42,MATCH(E1521,02_INDICADORES!$A$2:$A$42,0)),"ID?"))</f>
        <v/>
      </c>
      <c r="G1521" s="21" t="str">
        <f aca="false">IF(E1521="","",IFERROR(INDEX(02_INDICADORES!$C$2:$C$42,MATCH(E1521,02_INDICADORES!$A$2:$A$42,0)),"ID?"))</f>
        <v/>
      </c>
      <c r="H1521" s="22" t="str">
        <f aca="false">IF(E1521="","",IFERROR(INDEX(02_INDICADORES!$D$2:$D$42,MATCH(E1521,02_INDICADORES!$A$2:$A$42,0)),""))</f>
        <v/>
      </c>
      <c r="I1521" s="9"/>
      <c r="J1521" s="16" t="str">
        <f aca="false">IF(OR(I1521="",H1521=""),"",I1521*H1521)</f>
        <v/>
      </c>
      <c r="K1521" s="9"/>
      <c r="L1521" s="9"/>
      <c r="M1521" s="9"/>
    </row>
    <row r="1522" customFormat="false" ht="15" hidden="false" customHeight="false" outlineLevel="0" collapsed="false">
      <c r="A1522" s="9"/>
      <c r="B1522" s="9"/>
      <c r="C1522" s="11"/>
      <c r="D1522" s="9"/>
      <c r="E1522" s="9"/>
      <c r="F1522" s="22" t="str">
        <f aca="false">IF(E1522="","",IFERROR(INDEX(02_INDICADORES!$B$2:$B$42,MATCH(E1522,02_INDICADORES!$A$2:$A$42,0)),"ID?"))</f>
        <v/>
      </c>
      <c r="G1522" s="21" t="str">
        <f aca="false">IF(E1522="","",IFERROR(INDEX(02_INDICADORES!$C$2:$C$42,MATCH(E1522,02_INDICADORES!$A$2:$A$42,0)),"ID?"))</f>
        <v/>
      </c>
      <c r="H1522" s="22" t="str">
        <f aca="false">IF(E1522="","",IFERROR(INDEX(02_INDICADORES!$D$2:$D$42,MATCH(E1522,02_INDICADORES!$A$2:$A$42,0)),""))</f>
        <v/>
      </c>
      <c r="I1522" s="9"/>
      <c r="J1522" s="16" t="str">
        <f aca="false">IF(OR(I1522="",H1522=""),"",I1522*H1522)</f>
        <v/>
      </c>
      <c r="K1522" s="9"/>
      <c r="L1522" s="9"/>
      <c r="M1522" s="9"/>
    </row>
    <row r="1523" customFormat="false" ht="15" hidden="false" customHeight="false" outlineLevel="0" collapsed="false">
      <c r="A1523" s="9"/>
      <c r="B1523" s="9"/>
      <c r="C1523" s="11"/>
      <c r="D1523" s="9"/>
      <c r="E1523" s="9"/>
      <c r="F1523" s="22" t="str">
        <f aca="false">IF(E1523="","",IFERROR(INDEX(02_INDICADORES!$B$2:$B$42,MATCH(E1523,02_INDICADORES!$A$2:$A$42,0)),"ID?"))</f>
        <v/>
      </c>
      <c r="G1523" s="21" t="str">
        <f aca="false">IF(E1523="","",IFERROR(INDEX(02_INDICADORES!$C$2:$C$42,MATCH(E1523,02_INDICADORES!$A$2:$A$42,0)),"ID?"))</f>
        <v/>
      </c>
      <c r="H1523" s="22" t="str">
        <f aca="false">IF(E1523="","",IFERROR(INDEX(02_INDICADORES!$D$2:$D$42,MATCH(E1523,02_INDICADORES!$A$2:$A$42,0)),""))</f>
        <v/>
      </c>
      <c r="I1523" s="9"/>
      <c r="J1523" s="16" t="str">
        <f aca="false">IF(OR(I1523="",H1523=""),"",I1523*H1523)</f>
        <v/>
      </c>
      <c r="K1523" s="9"/>
      <c r="L1523" s="9"/>
      <c r="M1523" s="9"/>
    </row>
    <row r="1524" customFormat="false" ht="15" hidden="false" customHeight="false" outlineLevel="0" collapsed="false">
      <c r="A1524" s="9"/>
      <c r="B1524" s="9"/>
      <c r="C1524" s="11"/>
      <c r="D1524" s="9"/>
      <c r="E1524" s="9"/>
      <c r="F1524" s="22" t="str">
        <f aca="false">IF(E1524="","",IFERROR(INDEX(02_INDICADORES!$B$2:$B$42,MATCH(E1524,02_INDICADORES!$A$2:$A$42,0)),"ID?"))</f>
        <v/>
      </c>
      <c r="G1524" s="21" t="str">
        <f aca="false">IF(E1524="","",IFERROR(INDEX(02_INDICADORES!$C$2:$C$42,MATCH(E1524,02_INDICADORES!$A$2:$A$42,0)),"ID?"))</f>
        <v/>
      </c>
      <c r="H1524" s="22" t="str">
        <f aca="false">IF(E1524="","",IFERROR(INDEX(02_INDICADORES!$D$2:$D$42,MATCH(E1524,02_INDICADORES!$A$2:$A$42,0)),""))</f>
        <v/>
      </c>
      <c r="I1524" s="9"/>
      <c r="J1524" s="16" t="str">
        <f aca="false">IF(OR(I1524="",H1524=""),"",I1524*H1524)</f>
        <v/>
      </c>
      <c r="K1524" s="9"/>
      <c r="L1524" s="9"/>
      <c r="M1524" s="9"/>
    </row>
    <row r="1525" customFormat="false" ht="15" hidden="false" customHeight="false" outlineLevel="0" collapsed="false">
      <c r="A1525" s="9"/>
      <c r="B1525" s="9"/>
      <c r="C1525" s="11"/>
      <c r="D1525" s="9"/>
      <c r="E1525" s="9"/>
      <c r="F1525" s="22" t="str">
        <f aca="false">IF(E1525="","",IFERROR(INDEX(02_INDICADORES!$B$2:$B$42,MATCH(E1525,02_INDICADORES!$A$2:$A$42,0)),"ID?"))</f>
        <v/>
      </c>
      <c r="G1525" s="21" t="str">
        <f aca="false">IF(E1525="","",IFERROR(INDEX(02_INDICADORES!$C$2:$C$42,MATCH(E1525,02_INDICADORES!$A$2:$A$42,0)),"ID?"))</f>
        <v/>
      </c>
      <c r="H1525" s="22" t="str">
        <f aca="false">IF(E1525="","",IFERROR(INDEX(02_INDICADORES!$D$2:$D$42,MATCH(E1525,02_INDICADORES!$A$2:$A$42,0)),""))</f>
        <v/>
      </c>
      <c r="I1525" s="9"/>
      <c r="J1525" s="16" t="str">
        <f aca="false">IF(OR(I1525="",H1525=""),"",I1525*H1525)</f>
        <v/>
      </c>
      <c r="K1525" s="9"/>
      <c r="L1525" s="9"/>
      <c r="M1525" s="9"/>
    </row>
    <row r="1526" customFormat="false" ht="15" hidden="false" customHeight="false" outlineLevel="0" collapsed="false">
      <c r="A1526" s="9"/>
      <c r="B1526" s="9"/>
      <c r="C1526" s="11"/>
      <c r="D1526" s="9"/>
      <c r="E1526" s="9"/>
      <c r="F1526" s="22" t="str">
        <f aca="false">IF(E1526="","",IFERROR(INDEX(02_INDICADORES!$B$2:$B$42,MATCH(E1526,02_INDICADORES!$A$2:$A$42,0)),"ID?"))</f>
        <v/>
      </c>
      <c r="G1526" s="21" t="str">
        <f aca="false">IF(E1526="","",IFERROR(INDEX(02_INDICADORES!$C$2:$C$42,MATCH(E1526,02_INDICADORES!$A$2:$A$42,0)),"ID?"))</f>
        <v/>
      </c>
      <c r="H1526" s="22" t="str">
        <f aca="false">IF(E1526="","",IFERROR(INDEX(02_INDICADORES!$D$2:$D$42,MATCH(E1526,02_INDICADORES!$A$2:$A$42,0)),""))</f>
        <v/>
      </c>
      <c r="I1526" s="9"/>
      <c r="J1526" s="16" t="str">
        <f aca="false">IF(OR(I1526="",H1526=""),"",I1526*H1526)</f>
        <v/>
      </c>
      <c r="K1526" s="9"/>
      <c r="L1526" s="9"/>
      <c r="M1526" s="9"/>
    </row>
    <row r="1527" customFormat="false" ht="15" hidden="false" customHeight="false" outlineLevel="0" collapsed="false">
      <c r="A1527" s="9"/>
      <c r="B1527" s="9"/>
      <c r="C1527" s="11"/>
      <c r="D1527" s="9"/>
      <c r="E1527" s="9"/>
      <c r="F1527" s="22" t="str">
        <f aca="false">IF(E1527="","",IFERROR(INDEX(02_INDICADORES!$B$2:$B$42,MATCH(E1527,02_INDICADORES!$A$2:$A$42,0)),"ID?"))</f>
        <v/>
      </c>
      <c r="G1527" s="21" t="str">
        <f aca="false">IF(E1527="","",IFERROR(INDEX(02_INDICADORES!$C$2:$C$42,MATCH(E1527,02_INDICADORES!$A$2:$A$42,0)),"ID?"))</f>
        <v/>
      </c>
      <c r="H1527" s="22" t="str">
        <f aca="false">IF(E1527="","",IFERROR(INDEX(02_INDICADORES!$D$2:$D$42,MATCH(E1527,02_INDICADORES!$A$2:$A$42,0)),""))</f>
        <v/>
      </c>
      <c r="I1527" s="9"/>
      <c r="J1527" s="16" t="str">
        <f aca="false">IF(OR(I1527="",H1527=""),"",I1527*H1527)</f>
        <v/>
      </c>
      <c r="K1527" s="9"/>
      <c r="L1527" s="9"/>
      <c r="M1527" s="9"/>
    </row>
    <row r="1528" customFormat="false" ht="15" hidden="false" customHeight="false" outlineLevel="0" collapsed="false">
      <c r="A1528" s="9"/>
      <c r="B1528" s="9"/>
      <c r="C1528" s="11"/>
      <c r="D1528" s="9"/>
      <c r="E1528" s="9"/>
      <c r="F1528" s="22" t="str">
        <f aca="false">IF(E1528="","",IFERROR(INDEX(02_INDICADORES!$B$2:$B$42,MATCH(E1528,02_INDICADORES!$A$2:$A$42,0)),"ID?"))</f>
        <v/>
      </c>
      <c r="G1528" s="21" t="str">
        <f aca="false">IF(E1528="","",IFERROR(INDEX(02_INDICADORES!$C$2:$C$42,MATCH(E1528,02_INDICADORES!$A$2:$A$42,0)),"ID?"))</f>
        <v/>
      </c>
      <c r="H1528" s="22" t="str">
        <f aca="false">IF(E1528="","",IFERROR(INDEX(02_INDICADORES!$D$2:$D$42,MATCH(E1528,02_INDICADORES!$A$2:$A$42,0)),""))</f>
        <v/>
      </c>
      <c r="I1528" s="9"/>
      <c r="J1528" s="16" t="str">
        <f aca="false">IF(OR(I1528="",H1528=""),"",I1528*H1528)</f>
        <v/>
      </c>
      <c r="K1528" s="9"/>
      <c r="L1528" s="9"/>
      <c r="M1528" s="9"/>
    </row>
    <row r="1529" customFormat="false" ht="15" hidden="false" customHeight="false" outlineLevel="0" collapsed="false">
      <c r="A1529" s="9"/>
      <c r="B1529" s="9"/>
      <c r="C1529" s="11"/>
      <c r="D1529" s="9"/>
      <c r="E1529" s="9"/>
      <c r="F1529" s="22" t="str">
        <f aca="false">IF(E1529="","",IFERROR(INDEX(02_INDICADORES!$B$2:$B$42,MATCH(E1529,02_INDICADORES!$A$2:$A$42,0)),"ID?"))</f>
        <v/>
      </c>
      <c r="G1529" s="21" t="str">
        <f aca="false">IF(E1529="","",IFERROR(INDEX(02_INDICADORES!$C$2:$C$42,MATCH(E1529,02_INDICADORES!$A$2:$A$42,0)),"ID?"))</f>
        <v/>
      </c>
      <c r="H1529" s="22" t="str">
        <f aca="false">IF(E1529="","",IFERROR(INDEX(02_INDICADORES!$D$2:$D$42,MATCH(E1529,02_INDICADORES!$A$2:$A$42,0)),""))</f>
        <v/>
      </c>
      <c r="I1529" s="9"/>
      <c r="J1529" s="16" t="str">
        <f aca="false">IF(OR(I1529="",H1529=""),"",I1529*H1529)</f>
        <v/>
      </c>
      <c r="K1529" s="9"/>
      <c r="L1529" s="9"/>
      <c r="M1529" s="9"/>
    </row>
    <row r="1530" customFormat="false" ht="15" hidden="false" customHeight="false" outlineLevel="0" collapsed="false">
      <c r="A1530" s="9"/>
      <c r="B1530" s="9"/>
      <c r="C1530" s="11"/>
      <c r="D1530" s="9"/>
      <c r="E1530" s="9"/>
      <c r="F1530" s="22" t="str">
        <f aca="false">IF(E1530="","",IFERROR(INDEX(02_INDICADORES!$B$2:$B$42,MATCH(E1530,02_INDICADORES!$A$2:$A$42,0)),"ID?"))</f>
        <v/>
      </c>
      <c r="G1530" s="21" t="str">
        <f aca="false">IF(E1530="","",IFERROR(INDEX(02_INDICADORES!$C$2:$C$42,MATCH(E1530,02_INDICADORES!$A$2:$A$42,0)),"ID?"))</f>
        <v/>
      </c>
      <c r="H1530" s="22" t="str">
        <f aca="false">IF(E1530="","",IFERROR(INDEX(02_INDICADORES!$D$2:$D$42,MATCH(E1530,02_INDICADORES!$A$2:$A$42,0)),""))</f>
        <v/>
      </c>
      <c r="I1530" s="9"/>
      <c r="J1530" s="16" t="str">
        <f aca="false">IF(OR(I1530="",H1530=""),"",I1530*H1530)</f>
        <v/>
      </c>
      <c r="K1530" s="9"/>
      <c r="L1530" s="9"/>
      <c r="M1530" s="9"/>
    </row>
    <row r="1531" customFormat="false" ht="15" hidden="false" customHeight="false" outlineLevel="0" collapsed="false">
      <c r="A1531" s="9"/>
      <c r="B1531" s="9"/>
      <c r="C1531" s="11"/>
      <c r="D1531" s="9"/>
      <c r="E1531" s="9"/>
      <c r="F1531" s="22" t="str">
        <f aca="false">IF(E1531="","",IFERROR(INDEX(02_INDICADORES!$B$2:$B$42,MATCH(E1531,02_INDICADORES!$A$2:$A$42,0)),"ID?"))</f>
        <v/>
      </c>
      <c r="G1531" s="21" t="str">
        <f aca="false">IF(E1531="","",IFERROR(INDEX(02_INDICADORES!$C$2:$C$42,MATCH(E1531,02_INDICADORES!$A$2:$A$42,0)),"ID?"))</f>
        <v/>
      </c>
      <c r="H1531" s="22" t="str">
        <f aca="false">IF(E1531="","",IFERROR(INDEX(02_INDICADORES!$D$2:$D$42,MATCH(E1531,02_INDICADORES!$A$2:$A$42,0)),""))</f>
        <v/>
      </c>
      <c r="I1531" s="9"/>
      <c r="J1531" s="16" t="str">
        <f aca="false">IF(OR(I1531="",H1531=""),"",I1531*H1531)</f>
        <v/>
      </c>
      <c r="K1531" s="9"/>
      <c r="L1531" s="9"/>
      <c r="M1531" s="9"/>
    </row>
    <row r="1532" customFormat="false" ht="15" hidden="false" customHeight="false" outlineLevel="0" collapsed="false">
      <c r="A1532" s="9"/>
      <c r="B1532" s="9"/>
      <c r="C1532" s="11"/>
      <c r="D1532" s="9"/>
      <c r="E1532" s="9"/>
      <c r="F1532" s="22" t="str">
        <f aca="false">IF(E1532="","",IFERROR(INDEX(02_INDICADORES!$B$2:$B$42,MATCH(E1532,02_INDICADORES!$A$2:$A$42,0)),"ID?"))</f>
        <v/>
      </c>
      <c r="G1532" s="21" t="str">
        <f aca="false">IF(E1532="","",IFERROR(INDEX(02_INDICADORES!$C$2:$C$42,MATCH(E1532,02_INDICADORES!$A$2:$A$42,0)),"ID?"))</f>
        <v/>
      </c>
      <c r="H1532" s="22" t="str">
        <f aca="false">IF(E1532="","",IFERROR(INDEX(02_INDICADORES!$D$2:$D$42,MATCH(E1532,02_INDICADORES!$A$2:$A$42,0)),""))</f>
        <v/>
      </c>
      <c r="I1532" s="9"/>
      <c r="J1532" s="16" t="str">
        <f aca="false">IF(OR(I1532="",H1532=""),"",I1532*H1532)</f>
        <v/>
      </c>
      <c r="K1532" s="9"/>
      <c r="L1532" s="9"/>
      <c r="M1532" s="9"/>
    </row>
    <row r="1533" customFormat="false" ht="15" hidden="false" customHeight="false" outlineLevel="0" collapsed="false">
      <c r="A1533" s="9"/>
      <c r="B1533" s="9"/>
      <c r="C1533" s="11"/>
      <c r="D1533" s="9"/>
      <c r="E1533" s="9"/>
      <c r="F1533" s="22" t="str">
        <f aca="false">IF(E1533="","",IFERROR(INDEX(02_INDICADORES!$B$2:$B$42,MATCH(E1533,02_INDICADORES!$A$2:$A$42,0)),"ID?"))</f>
        <v/>
      </c>
      <c r="G1533" s="21" t="str">
        <f aca="false">IF(E1533="","",IFERROR(INDEX(02_INDICADORES!$C$2:$C$42,MATCH(E1533,02_INDICADORES!$A$2:$A$42,0)),"ID?"))</f>
        <v/>
      </c>
      <c r="H1533" s="22" t="str">
        <f aca="false">IF(E1533="","",IFERROR(INDEX(02_INDICADORES!$D$2:$D$42,MATCH(E1533,02_INDICADORES!$A$2:$A$42,0)),""))</f>
        <v/>
      </c>
      <c r="I1533" s="9"/>
      <c r="J1533" s="16" t="str">
        <f aca="false">IF(OR(I1533="",H1533=""),"",I1533*H1533)</f>
        <v/>
      </c>
      <c r="K1533" s="9"/>
      <c r="L1533" s="9"/>
      <c r="M1533" s="9"/>
    </row>
    <row r="1534" customFormat="false" ht="15" hidden="false" customHeight="false" outlineLevel="0" collapsed="false">
      <c r="A1534" s="9"/>
      <c r="B1534" s="9"/>
      <c r="C1534" s="11"/>
      <c r="D1534" s="9"/>
      <c r="E1534" s="9"/>
      <c r="F1534" s="22" t="str">
        <f aca="false">IF(E1534="","",IFERROR(INDEX(02_INDICADORES!$B$2:$B$42,MATCH(E1534,02_INDICADORES!$A$2:$A$42,0)),"ID?"))</f>
        <v/>
      </c>
      <c r="G1534" s="21" t="str">
        <f aca="false">IF(E1534="","",IFERROR(INDEX(02_INDICADORES!$C$2:$C$42,MATCH(E1534,02_INDICADORES!$A$2:$A$42,0)),"ID?"))</f>
        <v/>
      </c>
      <c r="H1534" s="22" t="str">
        <f aca="false">IF(E1534="","",IFERROR(INDEX(02_INDICADORES!$D$2:$D$42,MATCH(E1534,02_INDICADORES!$A$2:$A$42,0)),""))</f>
        <v/>
      </c>
      <c r="I1534" s="9"/>
      <c r="J1534" s="16" t="str">
        <f aca="false">IF(OR(I1534="",H1534=""),"",I1534*H1534)</f>
        <v/>
      </c>
      <c r="K1534" s="9"/>
      <c r="L1534" s="9"/>
      <c r="M1534" s="9"/>
    </row>
    <row r="1535" customFormat="false" ht="15" hidden="false" customHeight="false" outlineLevel="0" collapsed="false">
      <c r="A1535" s="9"/>
      <c r="B1535" s="9"/>
      <c r="C1535" s="11"/>
      <c r="D1535" s="9"/>
      <c r="E1535" s="9"/>
      <c r="F1535" s="22" t="str">
        <f aca="false">IF(E1535="","",IFERROR(INDEX(02_INDICADORES!$B$2:$B$42,MATCH(E1535,02_INDICADORES!$A$2:$A$42,0)),"ID?"))</f>
        <v/>
      </c>
      <c r="G1535" s="21" t="str">
        <f aca="false">IF(E1535="","",IFERROR(INDEX(02_INDICADORES!$C$2:$C$42,MATCH(E1535,02_INDICADORES!$A$2:$A$42,0)),"ID?"))</f>
        <v/>
      </c>
      <c r="H1535" s="22" t="str">
        <f aca="false">IF(E1535="","",IFERROR(INDEX(02_INDICADORES!$D$2:$D$42,MATCH(E1535,02_INDICADORES!$A$2:$A$42,0)),""))</f>
        <v/>
      </c>
      <c r="I1535" s="9"/>
      <c r="J1535" s="16" t="str">
        <f aca="false">IF(OR(I1535="",H1535=""),"",I1535*H1535)</f>
        <v/>
      </c>
      <c r="K1535" s="9"/>
      <c r="L1535" s="9"/>
      <c r="M1535" s="9"/>
    </row>
    <row r="1536" customFormat="false" ht="15" hidden="false" customHeight="false" outlineLevel="0" collapsed="false">
      <c r="A1536" s="9"/>
      <c r="B1536" s="9"/>
      <c r="C1536" s="11"/>
      <c r="D1536" s="9"/>
      <c r="E1536" s="9"/>
      <c r="F1536" s="22" t="str">
        <f aca="false">IF(E1536="","",IFERROR(INDEX(02_INDICADORES!$B$2:$B$42,MATCH(E1536,02_INDICADORES!$A$2:$A$42,0)),"ID?"))</f>
        <v/>
      </c>
      <c r="G1536" s="21" t="str">
        <f aca="false">IF(E1536="","",IFERROR(INDEX(02_INDICADORES!$C$2:$C$42,MATCH(E1536,02_INDICADORES!$A$2:$A$42,0)),"ID?"))</f>
        <v/>
      </c>
      <c r="H1536" s="22" t="str">
        <f aca="false">IF(E1536="","",IFERROR(INDEX(02_INDICADORES!$D$2:$D$42,MATCH(E1536,02_INDICADORES!$A$2:$A$42,0)),""))</f>
        <v/>
      </c>
      <c r="I1536" s="9"/>
      <c r="J1536" s="16" t="str">
        <f aca="false">IF(OR(I1536="",H1536=""),"",I1536*H1536)</f>
        <v/>
      </c>
      <c r="K1536" s="9"/>
      <c r="L1536" s="9"/>
      <c r="M1536" s="9"/>
    </row>
    <row r="1537" customFormat="false" ht="15" hidden="false" customHeight="false" outlineLevel="0" collapsed="false">
      <c r="A1537" s="9"/>
      <c r="B1537" s="9"/>
      <c r="C1537" s="11"/>
      <c r="D1537" s="9"/>
      <c r="E1537" s="9"/>
      <c r="F1537" s="22" t="str">
        <f aca="false">IF(E1537="","",IFERROR(INDEX(02_INDICADORES!$B$2:$B$42,MATCH(E1537,02_INDICADORES!$A$2:$A$42,0)),"ID?"))</f>
        <v/>
      </c>
      <c r="G1537" s="21" t="str">
        <f aca="false">IF(E1537="","",IFERROR(INDEX(02_INDICADORES!$C$2:$C$42,MATCH(E1537,02_INDICADORES!$A$2:$A$42,0)),"ID?"))</f>
        <v/>
      </c>
      <c r="H1537" s="22" t="str">
        <f aca="false">IF(E1537="","",IFERROR(INDEX(02_INDICADORES!$D$2:$D$42,MATCH(E1537,02_INDICADORES!$A$2:$A$42,0)),""))</f>
        <v/>
      </c>
      <c r="I1537" s="9"/>
      <c r="J1537" s="16" t="str">
        <f aca="false">IF(OR(I1537="",H1537=""),"",I1537*H1537)</f>
        <v/>
      </c>
      <c r="K1537" s="9"/>
      <c r="L1537" s="9"/>
      <c r="M1537" s="9"/>
    </row>
    <row r="1538" customFormat="false" ht="15" hidden="false" customHeight="false" outlineLevel="0" collapsed="false">
      <c r="A1538" s="9"/>
      <c r="B1538" s="9"/>
      <c r="C1538" s="11"/>
      <c r="D1538" s="9"/>
      <c r="E1538" s="9"/>
      <c r="F1538" s="22" t="str">
        <f aca="false">IF(E1538="","",IFERROR(INDEX(02_INDICADORES!$B$2:$B$42,MATCH(E1538,02_INDICADORES!$A$2:$A$42,0)),"ID?"))</f>
        <v/>
      </c>
      <c r="G1538" s="21" t="str">
        <f aca="false">IF(E1538="","",IFERROR(INDEX(02_INDICADORES!$C$2:$C$42,MATCH(E1538,02_INDICADORES!$A$2:$A$42,0)),"ID?"))</f>
        <v/>
      </c>
      <c r="H1538" s="22" t="str">
        <f aca="false">IF(E1538="","",IFERROR(INDEX(02_INDICADORES!$D$2:$D$42,MATCH(E1538,02_INDICADORES!$A$2:$A$42,0)),""))</f>
        <v/>
      </c>
      <c r="I1538" s="9"/>
      <c r="J1538" s="16" t="str">
        <f aca="false">IF(OR(I1538="",H1538=""),"",I1538*H1538)</f>
        <v/>
      </c>
      <c r="K1538" s="9"/>
      <c r="L1538" s="9"/>
      <c r="M1538" s="9"/>
    </row>
    <row r="1539" customFormat="false" ht="15" hidden="false" customHeight="false" outlineLevel="0" collapsed="false">
      <c r="A1539" s="9"/>
      <c r="B1539" s="9"/>
      <c r="C1539" s="11"/>
      <c r="D1539" s="9"/>
      <c r="E1539" s="9"/>
      <c r="F1539" s="22" t="str">
        <f aca="false">IF(E1539="","",IFERROR(INDEX(02_INDICADORES!$B$2:$B$42,MATCH(E1539,02_INDICADORES!$A$2:$A$42,0)),"ID?"))</f>
        <v/>
      </c>
      <c r="G1539" s="21" t="str">
        <f aca="false">IF(E1539="","",IFERROR(INDEX(02_INDICADORES!$C$2:$C$42,MATCH(E1539,02_INDICADORES!$A$2:$A$42,0)),"ID?"))</f>
        <v/>
      </c>
      <c r="H1539" s="22" t="str">
        <f aca="false">IF(E1539="","",IFERROR(INDEX(02_INDICADORES!$D$2:$D$42,MATCH(E1539,02_INDICADORES!$A$2:$A$42,0)),""))</f>
        <v/>
      </c>
      <c r="I1539" s="9"/>
      <c r="J1539" s="16" t="str">
        <f aca="false">IF(OR(I1539="",H1539=""),"",I1539*H1539)</f>
        <v/>
      </c>
      <c r="K1539" s="9"/>
      <c r="L1539" s="9"/>
      <c r="M1539" s="9"/>
    </row>
    <row r="1540" customFormat="false" ht="15" hidden="false" customHeight="false" outlineLevel="0" collapsed="false">
      <c r="A1540" s="9"/>
      <c r="B1540" s="9"/>
      <c r="C1540" s="11"/>
      <c r="D1540" s="9"/>
      <c r="E1540" s="9"/>
      <c r="F1540" s="22" t="str">
        <f aca="false">IF(E1540="","",IFERROR(INDEX(02_INDICADORES!$B$2:$B$42,MATCH(E1540,02_INDICADORES!$A$2:$A$42,0)),"ID?"))</f>
        <v/>
      </c>
      <c r="G1540" s="21" t="str">
        <f aca="false">IF(E1540="","",IFERROR(INDEX(02_INDICADORES!$C$2:$C$42,MATCH(E1540,02_INDICADORES!$A$2:$A$42,0)),"ID?"))</f>
        <v/>
      </c>
      <c r="H1540" s="22" t="str">
        <f aca="false">IF(E1540="","",IFERROR(INDEX(02_INDICADORES!$D$2:$D$42,MATCH(E1540,02_INDICADORES!$A$2:$A$42,0)),""))</f>
        <v/>
      </c>
      <c r="I1540" s="9"/>
      <c r="J1540" s="16" t="str">
        <f aca="false">IF(OR(I1540="",H1540=""),"",I1540*H1540)</f>
        <v/>
      </c>
      <c r="K1540" s="9"/>
      <c r="L1540" s="9"/>
      <c r="M1540" s="9"/>
    </row>
    <row r="1541" customFormat="false" ht="15" hidden="false" customHeight="false" outlineLevel="0" collapsed="false">
      <c r="A1541" s="9"/>
      <c r="B1541" s="9"/>
      <c r="C1541" s="11"/>
      <c r="D1541" s="9"/>
      <c r="E1541" s="9"/>
      <c r="F1541" s="22" t="str">
        <f aca="false">IF(E1541="","",IFERROR(INDEX(02_INDICADORES!$B$2:$B$42,MATCH(E1541,02_INDICADORES!$A$2:$A$42,0)),"ID?"))</f>
        <v/>
      </c>
      <c r="G1541" s="21" t="str">
        <f aca="false">IF(E1541="","",IFERROR(INDEX(02_INDICADORES!$C$2:$C$42,MATCH(E1541,02_INDICADORES!$A$2:$A$42,0)),"ID?"))</f>
        <v/>
      </c>
      <c r="H1541" s="22" t="str">
        <f aca="false">IF(E1541="","",IFERROR(INDEX(02_INDICADORES!$D$2:$D$42,MATCH(E1541,02_INDICADORES!$A$2:$A$42,0)),""))</f>
        <v/>
      </c>
      <c r="I1541" s="9"/>
      <c r="J1541" s="16" t="str">
        <f aca="false">IF(OR(I1541="",H1541=""),"",I1541*H1541)</f>
        <v/>
      </c>
      <c r="K1541" s="9"/>
      <c r="L1541" s="9"/>
      <c r="M1541" s="9"/>
    </row>
    <row r="1542" customFormat="false" ht="15" hidden="false" customHeight="false" outlineLevel="0" collapsed="false">
      <c r="A1542" s="9"/>
      <c r="B1542" s="9"/>
      <c r="C1542" s="11"/>
      <c r="D1542" s="9"/>
      <c r="E1542" s="9"/>
      <c r="F1542" s="22" t="str">
        <f aca="false">IF(E1542="","",IFERROR(INDEX(02_INDICADORES!$B$2:$B$42,MATCH(E1542,02_INDICADORES!$A$2:$A$42,0)),"ID?"))</f>
        <v/>
      </c>
      <c r="G1542" s="21" t="str">
        <f aca="false">IF(E1542="","",IFERROR(INDEX(02_INDICADORES!$C$2:$C$42,MATCH(E1542,02_INDICADORES!$A$2:$A$42,0)),"ID?"))</f>
        <v/>
      </c>
      <c r="H1542" s="22" t="str">
        <f aca="false">IF(E1542="","",IFERROR(INDEX(02_INDICADORES!$D$2:$D$42,MATCH(E1542,02_INDICADORES!$A$2:$A$42,0)),""))</f>
        <v/>
      </c>
      <c r="I1542" s="9"/>
      <c r="J1542" s="16" t="str">
        <f aca="false">IF(OR(I1542="",H1542=""),"",I1542*H1542)</f>
        <v/>
      </c>
      <c r="K1542" s="9"/>
      <c r="L1542" s="9"/>
      <c r="M1542" s="9"/>
    </row>
    <row r="1543" customFormat="false" ht="15" hidden="false" customHeight="false" outlineLevel="0" collapsed="false">
      <c r="A1543" s="9"/>
      <c r="B1543" s="9"/>
      <c r="C1543" s="11"/>
      <c r="D1543" s="9"/>
      <c r="E1543" s="9"/>
      <c r="F1543" s="22" t="str">
        <f aca="false">IF(E1543="","",IFERROR(INDEX(02_INDICADORES!$B$2:$B$42,MATCH(E1543,02_INDICADORES!$A$2:$A$42,0)),"ID?"))</f>
        <v/>
      </c>
      <c r="G1543" s="21" t="str">
        <f aca="false">IF(E1543="","",IFERROR(INDEX(02_INDICADORES!$C$2:$C$42,MATCH(E1543,02_INDICADORES!$A$2:$A$42,0)),"ID?"))</f>
        <v/>
      </c>
      <c r="H1543" s="22" t="str">
        <f aca="false">IF(E1543="","",IFERROR(INDEX(02_INDICADORES!$D$2:$D$42,MATCH(E1543,02_INDICADORES!$A$2:$A$42,0)),""))</f>
        <v/>
      </c>
      <c r="I1543" s="9"/>
      <c r="J1543" s="16" t="str">
        <f aca="false">IF(OR(I1543="",H1543=""),"",I1543*H1543)</f>
        <v/>
      </c>
      <c r="K1543" s="9"/>
      <c r="L1543" s="9"/>
      <c r="M1543" s="9"/>
    </row>
    <row r="1544" customFormat="false" ht="15" hidden="false" customHeight="false" outlineLevel="0" collapsed="false">
      <c r="A1544" s="9"/>
      <c r="B1544" s="9"/>
      <c r="C1544" s="11"/>
      <c r="D1544" s="9"/>
      <c r="E1544" s="9"/>
      <c r="F1544" s="22" t="str">
        <f aca="false">IF(E1544="","",IFERROR(INDEX(02_INDICADORES!$B$2:$B$42,MATCH(E1544,02_INDICADORES!$A$2:$A$42,0)),"ID?"))</f>
        <v/>
      </c>
      <c r="G1544" s="21" t="str">
        <f aca="false">IF(E1544="","",IFERROR(INDEX(02_INDICADORES!$C$2:$C$42,MATCH(E1544,02_INDICADORES!$A$2:$A$42,0)),"ID?"))</f>
        <v/>
      </c>
      <c r="H1544" s="22" t="str">
        <f aca="false">IF(E1544="","",IFERROR(INDEX(02_INDICADORES!$D$2:$D$42,MATCH(E1544,02_INDICADORES!$A$2:$A$42,0)),""))</f>
        <v/>
      </c>
      <c r="I1544" s="9"/>
      <c r="J1544" s="16" t="str">
        <f aca="false">IF(OR(I1544="",H1544=""),"",I1544*H1544)</f>
        <v/>
      </c>
      <c r="K1544" s="9"/>
      <c r="L1544" s="9"/>
      <c r="M1544" s="9"/>
    </row>
    <row r="1545" customFormat="false" ht="15" hidden="false" customHeight="false" outlineLevel="0" collapsed="false">
      <c r="A1545" s="9"/>
      <c r="B1545" s="9"/>
      <c r="C1545" s="11"/>
      <c r="D1545" s="9"/>
      <c r="E1545" s="9"/>
      <c r="F1545" s="22" t="str">
        <f aca="false">IF(E1545="","",IFERROR(INDEX(02_INDICADORES!$B$2:$B$42,MATCH(E1545,02_INDICADORES!$A$2:$A$42,0)),"ID?"))</f>
        <v/>
      </c>
      <c r="G1545" s="21" t="str">
        <f aca="false">IF(E1545="","",IFERROR(INDEX(02_INDICADORES!$C$2:$C$42,MATCH(E1545,02_INDICADORES!$A$2:$A$42,0)),"ID?"))</f>
        <v/>
      </c>
      <c r="H1545" s="22" t="str">
        <f aca="false">IF(E1545="","",IFERROR(INDEX(02_INDICADORES!$D$2:$D$42,MATCH(E1545,02_INDICADORES!$A$2:$A$42,0)),""))</f>
        <v/>
      </c>
      <c r="I1545" s="9"/>
      <c r="J1545" s="16" t="str">
        <f aca="false">IF(OR(I1545="",H1545=""),"",I1545*H1545)</f>
        <v/>
      </c>
      <c r="K1545" s="9"/>
      <c r="L1545" s="9"/>
      <c r="M1545" s="9"/>
    </row>
    <row r="1546" customFormat="false" ht="15" hidden="false" customHeight="false" outlineLevel="0" collapsed="false">
      <c r="A1546" s="9"/>
      <c r="B1546" s="9"/>
      <c r="C1546" s="11"/>
      <c r="D1546" s="9"/>
      <c r="E1546" s="9"/>
      <c r="F1546" s="22" t="str">
        <f aca="false">IF(E1546="","",IFERROR(INDEX(02_INDICADORES!$B$2:$B$42,MATCH(E1546,02_INDICADORES!$A$2:$A$42,0)),"ID?"))</f>
        <v/>
      </c>
      <c r="G1546" s="21" t="str">
        <f aca="false">IF(E1546="","",IFERROR(INDEX(02_INDICADORES!$C$2:$C$42,MATCH(E1546,02_INDICADORES!$A$2:$A$42,0)),"ID?"))</f>
        <v/>
      </c>
      <c r="H1546" s="22" t="str">
        <f aca="false">IF(E1546="","",IFERROR(INDEX(02_INDICADORES!$D$2:$D$42,MATCH(E1546,02_INDICADORES!$A$2:$A$42,0)),""))</f>
        <v/>
      </c>
      <c r="I1546" s="9"/>
      <c r="J1546" s="16" t="str">
        <f aca="false">IF(OR(I1546="",H1546=""),"",I1546*H1546)</f>
        <v/>
      </c>
      <c r="K1546" s="9"/>
      <c r="L1546" s="9"/>
      <c r="M1546" s="9"/>
    </row>
    <row r="1547" customFormat="false" ht="15" hidden="false" customHeight="false" outlineLevel="0" collapsed="false">
      <c r="A1547" s="9"/>
      <c r="B1547" s="9"/>
      <c r="C1547" s="11"/>
      <c r="D1547" s="9"/>
      <c r="E1547" s="9"/>
      <c r="F1547" s="22" t="str">
        <f aca="false">IF(E1547="","",IFERROR(INDEX(02_INDICADORES!$B$2:$B$42,MATCH(E1547,02_INDICADORES!$A$2:$A$42,0)),"ID?"))</f>
        <v/>
      </c>
      <c r="G1547" s="21" t="str">
        <f aca="false">IF(E1547="","",IFERROR(INDEX(02_INDICADORES!$C$2:$C$42,MATCH(E1547,02_INDICADORES!$A$2:$A$42,0)),"ID?"))</f>
        <v/>
      </c>
      <c r="H1547" s="22" t="str">
        <f aca="false">IF(E1547="","",IFERROR(INDEX(02_INDICADORES!$D$2:$D$42,MATCH(E1547,02_INDICADORES!$A$2:$A$42,0)),""))</f>
        <v/>
      </c>
      <c r="I1547" s="9"/>
      <c r="J1547" s="16" t="str">
        <f aca="false">IF(OR(I1547="",H1547=""),"",I1547*H1547)</f>
        <v/>
      </c>
      <c r="K1547" s="9"/>
      <c r="L1547" s="9"/>
      <c r="M1547" s="9"/>
    </row>
    <row r="1548" customFormat="false" ht="15" hidden="false" customHeight="false" outlineLevel="0" collapsed="false">
      <c r="A1548" s="9"/>
      <c r="B1548" s="9"/>
      <c r="C1548" s="11"/>
      <c r="D1548" s="9"/>
      <c r="E1548" s="9"/>
      <c r="F1548" s="22" t="str">
        <f aca="false">IF(E1548="","",IFERROR(INDEX(02_INDICADORES!$B$2:$B$42,MATCH(E1548,02_INDICADORES!$A$2:$A$42,0)),"ID?"))</f>
        <v/>
      </c>
      <c r="G1548" s="21" t="str">
        <f aca="false">IF(E1548="","",IFERROR(INDEX(02_INDICADORES!$C$2:$C$42,MATCH(E1548,02_INDICADORES!$A$2:$A$42,0)),"ID?"))</f>
        <v/>
      </c>
      <c r="H1548" s="22" t="str">
        <f aca="false">IF(E1548="","",IFERROR(INDEX(02_INDICADORES!$D$2:$D$42,MATCH(E1548,02_INDICADORES!$A$2:$A$42,0)),""))</f>
        <v/>
      </c>
      <c r="I1548" s="9"/>
      <c r="J1548" s="16" t="str">
        <f aca="false">IF(OR(I1548="",H1548=""),"",I1548*H1548)</f>
        <v/>
      </c>
      <c r="K1548" s="9"/>
      <c r="L1548" s="9"/>
      <c r="M1548" s="9"/>
    </row>
    <row r="1549" customFormat="false" ht="15" hidden="false" customHeight="false" outlineLevel="0" collapsed="false">
      <c r="A1549" s="9"/>
      <c r="B1549" s="9"/>
      <c r="C1549" s="11"/>
      <c r="D1549" s="9"/>
      <c r="E1549" s="9"/>
      <c r="F1549" s="22" t="str">
        <f aca="false">IF(E1549="","",IFERROR(INDEX(02_INDICADORES!$B$2:$B$42,MATCH(E1549,02_INDICADORES!$A$2:$A$42,0)),"ID?"))</f>
        <v/>
      </c>
      <c r="G1549" s="21" t="str">
        <f aca="false">IF(E1549="","",IFERROR(INDEX(02_INDICADORES!$C$2:$C$42,MATCH(E1549,02_INDICADORES!$A$2:$A$42,0)),"ID?"))</f>
        <v/>
      </c>
      <c r="H1549" s="22" t="str">
        <f aca="false">IF(E1549="","",IFERROR(INDEX(02_INDICADORES!$D$2:$D$42,MATCH(E1549,02_INDICADORES!$A$2:$A$42,0)),""))</f>
        <v/>
      </c>
      <c r="I1549" s="9"/>
      <c r="J1549" s="16" t="str">
        <f aca="false">IF(OR(I1549="",H1549=""),"",I1549*H1549)</f>
        <v/>
      </c>
      <c r="K1549" s="9"/>
      <c r="L1549" s="9"/>
      <c r="M1549" s="9"/>
    </row>
    <row r="1550" customFormat="false" ht="15" hidden="false" customHeight="false" outlineLevel="0" collapsed="false">
      <c r="A1550" s="9"/>
      <c r="B1550" s="9"/>
      <c r="C1550" s="11"/>
      <c r="D1550" s="9"/>
      <c r="E1550" s="9"/>
      <c r="F1550" s="22" t="str">
        <f aca="false">IF(E1550="","",IFERROR(INDEX(02_INDICADORES!$B$2:$B$42,MATCH(E1550,02_INDICADORES!$A$2:$A$42,0)),"ID?"))</f>
        <v/>
      </c>
      <c r="G1550" s="21" t="str">
        <f aca="false">IF(E1550="","",IFERROR(INDEX(02_INDICADORES!$C$2:$C$42,MATCH(E1550,02_INDICADORES!$A$2:$A$42,0)),"ID?"))</f>
        <v/>
      </c>
      <c r="H1550" s="22" t="str">
        <f aca="false">IF(E1550="","",IFERROR(INDEX(02_INDICADORES!$D$2:$D$42,MATCH(E1550,02_INDICADORES!$A$2:$A$42,0)),""))</f>
        <v/>
      </c>
      <c r="I1550" s="9"/>
      <c r="J1550" s="16" t="str">
        <f aca="false">IF(OR(I1550="",H1550=""),"",I1550*H1550)</f>
        <v/>
      </c>
      <c r="K1550" s="9"/>
      <c r="L1550" s="9"/>
      <c r="M1550" s="9"/>
    </row>
    <row r="1551" customFormat="false" ht="15" hidden="false" customHeight="false" outlineLevel="0" collapsed="false">
      <c r="A1551" s="9"/>
      <c r="B1551" s="9"/>
      <c r="C1551" s="11"/>
      <c r="D1551" s="9"/>
      <c r="E1551" s="9"/>
      <c r="F1551" s="22" t="str">
        <f aca="false">IF(E1551="","",IFERROR(INDEX(02_INDICADORES!$B$2:$B$42,MATCH(E1551,02_INDICADORES!$A$2:$A$42,0)),"ID?"))</f>
        <v/>
      </c>
      <c r="G1551" s="21" t="str">
        <f aca="false">IF(E1551="","",IFERROR(INDEX(02_INDICADORES!$C$2:$C$42,MATCH(E1551,02_INDICADORES!$A$2:$A$42,0)),"ID?"))</f>
        <v/>
      </c>
      <c r="H1551" s="22" t="str">
        <f aca="false">IF(E1551="","",IFERROR(INDEX(02_INDICADORES!$D$2:$D$42,MATCH(E1551,02_INDICADORES!$A$2:$A$42,0)),""))</f>
        <v/>
      </c>
      <c r="I1551" s="9"/>
      <c r="J1551" s="16" t="str">
        <f aca="false">IF(OR(I1551="",H1551=""),"",I1551*H1551)</f>
        <v/>
      </c>
      <c r="K1551" s="9"/>
      <c r="L1551" s="9"/>
      <c r="M1551" s="9"/>
    </row>
    <row r="1552" customFormat="false" ht="15" hidden="false" customHeight="false" outlineLevel="0" collapsed="false">
      <c r="A1552" s="9"/>
      <c r="B1552" s="9"/>
      <c r="C1552" s="11"/>
      <c r="D1552" s="9"/>
      <c r="E1552" s="9"/>
      <c r="F1552" s="22" t="str">
        <f aca="false">IF(E1552="","",IFERROR(INDEX(02_INDICADORES!$B$2:$B$42,MATCH(E1552,02_INDICADORES!$A$2:$A$42,0)),"ID?"))</f>
        <v/>
      </c>
      <c r="G1552" s="21" t="str">
        <f aca="false">IF(E1552="","",IFERROR(INDEX(02_INDICADORES!$C$2:$C$42,MATCH(E1552,02_INDICADORES!$A$2:$A$42,0)),"ID?"))</f>
        <v/>
      </c>
      <c r="H1552" s="22" t="str">
        <f aca="false">IF(E1552="","",IFERROR(INDEX(02_INDICADORES!$D$2:$D$42,MATCH(E1552,02_INDICADORES!$A$2:$A$42,0)),""))</f>
        <v/>
      </c>
      <c r="I1552" s="9"/>
      <c r="J1552" s="16" t="str">
        <f aca="false">IF(OR(I1552="",H1552=""),"",I1552*H1552)</f>
        <v/>
      </c>
      <c r="K1552" s="9"/>
      <c r="L1552" s="9"/>
      <c r="M1552" s="9"/>
    </row>
    <row r="1553" customFormat="false" ht="15" hidden="false" customHeight="false" outlineLevel="0" collapsed="false">
      <c r="A1553" s="9"/>
      <c r="B1553" s="9"/>
      <c r="C1553" s="11"/>
      <c r="D1553" s="9"/>
      <c r="E1553" s="9"/>
      <c r="F1553" s="22" t="str">
        <f aca="false">IF(E1553="","",IFERROR(INDEX(02_INDICADORES!$B$2:$B$42,MATCH(E1553,02_INDICADORES!$A$2:$A$42,0)),"ID?"))</f>
        <v/>
      </c>
      <c r="G1553" s="21" t="str">
        <f aca="false">IF(E1553="","",IFERROR(INDEX(02_INDICADORES!$C$2:$C$42,MATCH(E1553,02_INDICADORES!$A$2:$A$42,0)),"ID?"))</f>
        <v/>
      </c>
      <c r="H1553" s="22" t="str">
        <f aca="false">IF(E1553="","",IFERROR(INDEX(02_INDICADORES!$D$2:$D$42,MATCH(E1553,02_INDICADORES!$A$2:$A$42,0)),""))</f>
        <v/>
      </c>
      <c r="I1553" s="9"/>
      <c r="J1553" s="16" t="str">
        <f aca="false">IF(OR(I1553="",H1553=""),"",I1553*H1553)</f>
        <v/>
      </c>
      <c r="K1553" s="9"/>
      <c r="L1553" s="9"/>
      <c r="M1553" s="9"/>
    </row>
    <row r="1554" customFormat="false" ht="15" hidden="false" customHeight="false" outlineLevel="0" collapsed="false">
      <c r="A1554" s="9"/>
      <c r="B1554" s="9"/>
      <c r="C1554" s="11"/>
      <c r="D1554" s="9"/>
      <c r="E1554" s="9"/>
      <c r="F1554" s="22" t="str">
        <f aca="false">IF(E1554="","",IFERROR(INDEX(02_INDICADORES!$B$2:$B$42,MATCH(E1554,02_INDICADORES!$A$2:$A$42,0)),"ID?"))</f>
        <v/>
      </c>
      <c r="G1554" s="21" t="str">
        <f aca="false">IF(E1554="","",IFERROR(INDEX(02_INDICADORES!$C$2:$C$42,MATCH(E1554,02_INDICADORES!$A$2:$A$42,0)),"ID?"))</f>
        <v/>
      </c>
      <c r="H1554" s="22" t="str">
        <f aca="false">IF(E1554="","",IFERROR(INDEX(02_INDICADORES!$D$2:$D$42,MATCH(E1554,02_INDICADORES!$A$2:$A$42,0)),""))</f>
        <v/>
      </c>
      <c r="I1554" s="9"/>
      <c r="J1554" s="16" t="str">
        <f aca="false">IF(OR(I1554="",H1554=""),"",I1554*H1554)</f>
        <v/>
      </c>
      <c r="K1554" s="9"/>
      <c r="L1554" s="9"/>
      <c r="M1554" s="9"/>
    </row>
    <row r="1555" customFormat="false" ht="15" hidden="false" customHeight="false" outlineLevel="0" collapsed="false">
      <c r="A1555" s="9"/>
      <c r="B1555" s="9"/>
      <c r="C1555" s="11"/>
      <c r="D1555" s="9"/>
      <c r="E1555" s="9"/>
      <c r="F1555" s="22" t="str">
        <f aca="false">IF(E1555="","",IFERROR(INDEX(02_INDICADORES!$B$2:$B$42,MATCH(E1555,02_INDICADORES!$A$2:$A$42,0)),"ID?"))</f>
        <v/>
      </c>
      <c r="G1555" s="21" t="str">
        <f aca="false">IF(E1555="","",IFERROR(INDEX(02_INDICADORES!$C$2:$C$42,MATCH(E1555,02_INDICADORES!$A$2:$A$42,0)),"ID?"))</f>
        <v/>
      </c>
      <c r="H1555" s="22" t="str">
        <f aca="false">IF(E1555="","",IFERROR(INDEX(02_INDICADORES!$D$2:$D$42,MATCH(E1555,02_INDICADORES!$A$2:$A$42,0)),""))</f>
        <v/>
      </c>
      <c r="I1555" s="9"/>
      <c r="J1555" s="16" t="str">
        <f aca="false">IF(OR(I1555="",H1555=""),"",I1555*H1555)</f>
        <v/>
      </c>
      <c r="K1555" s="9"/>
      <c r="L1555" s="9"/>
      <c r="M1555" s="9"/>
    </row>
    <row r="1556" customFormat="false" ht="15" hidden="false" customHeight="false" outlineLevel="0" collapsed="false">
      <c r="A1556" s="9"/>
      <c r="B1556" s="9"/>
      <c r="C1556" s="11"/>
      <c r="D1556" s="9"/>
      <c r="E1556" s="9"/>
      <c r="F1556" s="22" t="str">
        <f aca="false">IF(E1556="","",IFERROR(INDEX(02_INDICADORES!$B$2:$B$42,MATCH(E1556,02_INDICADORES!$A$2:$A$42,0)),"ID?"))</f>
        <v/>
      </c>
      <c r="G1556" s="21" t="str">
        <f aca="false">IF(E1556="","",IFERROR(INDEX(02_INDICADORES!$C$2:$C$42,MATCH(E1556,02_INDICADORES!$A$2:$A$42,0)),"ID?"))</f>
        <v/>
      </c>
      <c r="H1556" s="22" t="str">
        <f aca="false">IF(E1556="","",IFERROR(INDEX(02_INDICADORES!$D$2:$D$42,MATCH(E1556,02_INDICADORES!$A$2:$A$42,0)),""))</f>
        <v/>
      </c>
      <c r="I1556" s="9"/>
      <c r="J1556" s="16" t="str">
        <f aca="false">IF(OR(I1556="",H1556=""),"",I1556*H1556)</f>
        <v/>
      </c>
      <c r="K1556" s="9"/>
      <c r="L1556" s="9"/>
      <c r="M1556" s="9"/>
    </row>
    <row r="1557" customFormat="false" ht="15" hidden="false" customHeight="false" outlineLevel="0" collapsed="false">
      <c r="A1557" s="9"/>
      <c r="B1557" s="9"/>
      <c r="C1557" s="11"/>
      <c r="D1557" s="9"/>
      <c r="E1557" s="9"/>
      <c r="F1557" s="22" t="str">
        <f aca="false">IF(E1557="","",IFERROR(INDEX(02_INDICADORES!$B$2:$B$42,MATCH(E1557,02_INDICADORES!$A$2:$A$42,0)),"ID?"))</f>
        <v/>
      </c>
      <c r="G1557" s="21" t="str">
        <f aca="false">IF(E1557="","",IFERROR(INDEX(02_INDICADORES!$C$2:$C$42,MATCH(E1557,02_INDICADORES!$A$2:$A$42,0)),"ID?"))</f>
        <v/>
      </c>
      <c r="H1557" s="22" t="str">
        <f aca="false">IF(E1557="","",IFERROR(INDEX(02_INDICADORES!$D$2:$D$42,MATCH(E1557,02_INDICADORES!$A$2:$A$42,0)),""))</f>
        <v/>
      </c>
      <c r="I1557" s="9"/>
      <c r="J1557" s="16" t="str">
        <f aca="false">IF(OR(I1557="",H1557=""),"",I1557*H1557)</f>
        <v/>
      </c>
      <c r="K1557" s="9"/>
      <c r="L1557" s="9"/>
      <c r="M1557" s="9"/>
    </row>
    <row r="1558" customFormat="false" ht="15" hidden="false" customHeight="false" outlineLevel="0" collapsed="false">
      <c r="A1558" s="9"/>
      <c r="B1558" s="9"/>
      <c r="C1558" s="11"/>
      <c r="D1558" s="9"/>
      <c r="E1558" s="9"/>
      <c r="F1558" s="22" t="str">
        <f aca="false">IF(E1558="","",IFERROR(INDEX(02_INDICADORES!$B$2:$B$42,MATCH(E1558,02_INDICADORES!$A$2:$A$42,0)),"ID?"))</f>
        <v/>
      </c>
      <c r="G1558" s="21" t="str">
        <f aca="false">IF(E1558="","",IFERROR(INDEX(02_INDICADORES!$C$2:$C$42,MATCH(E1558,02_INDICADORES!$A$2:$A$42,0)),"ID?"))</f>
        <v/>
      </c>
      <c r="H1558" s="22" t="str">
        <f aca="false">IF(E1558="","",IFERROR(INDEX(02_INDICADORES!$D$2:$D$42,MATCH(E1558,02_INDICADORES!$A$2:$A$42,0)),""))</f>
        <v/>
      </c>
      <c r="I1558" s="9"/>
      <c r="J1558" s="16" t="str">
        <f aca="false">IF(OR(I1558="",H1558=""),"",I1558*H1558)</f>
        <v/>
      </c>
      <c r="K1558" s="9"/>
      <c r="L1558" s="9"/>
      <c r="M1558" s="9"/>
    </row>
    <row r="1559" customFormat="false" ht="15" hidden="false" customHeight="false" outlineLevel="0" collapsed="false">
      <c r="A1559" s="9"/>
      <c r="B1559" s="9"/>
      <c r="C1559" s="11"/>
      <c r="D1559" s="9"/>
      <c r="E1559" s="9"/>
      <c r="F1559" s="22" t="str">
        <f aca="false">IF(E1559="","",IFERROR(INDEX(02_INDICADORES!$B$2:$B$42,MATCH(E1559,02_INDICADORES!$A$2:$A$42,0)),"ID?"))</f>
        <v/>
      </c>
      <c r="G1559" s="21" t="str">
        <f aca="false">IF(E1559="","",IFERROR(INDEX(02_INDICADORES!$C$2:$C$42,MATCH(E1559,02_INDICADORES!$A$2:$A$42,0)),"ID?"))</f>
        <v/>
      </c>
      <c r="H1559" s="22" t="str">
        <f aca="false">IF(E1559="","",IFERROR(INDEX(02_INDICADORES!$D$2:$D$42,MATCH(E1559,02_INDICADORES!$A$2:$A$42,0)),""))</f>
        <v/>
      </c>
      <c r="I1559" s="9"/>
      <c r="J1559" s="16" t="str">
        <f aca="false">IF(OR(I1559="",H1559=""),"",I1559*H1559)</f>
        <v/>
      </c>
      <c r="K1559" s="9"/>
      <c r="L1559" s="9"/>
      <c r="M1559" s="9"/>
    </row>
    <row r="1560" customFormat="false" ht="15" hidden="false" customHeight="false" outlineLevel="0" collapsed="false">
      <c r="A1560" s="9"/>
      <c r="B1560" s="9"/>
      <c r="C1560" s="11"/>
      <c r="D1560" s="9"/>
      <c r="E1560" s="9"/>
      <c r="F1560" s="22" t="str">
        <f aca="false">IF(E1560="","",IFERROR(INDEX(02_INDICADORES!$B$2:$B$42,MATCH(E1560,02_INDICADORES!$A$2:$A$42,0)),"ID?"))</f>
        <v/>
      </c>
      <c r="G1560" s="21" t="str">
        <f aca="false">IF(E1560="","",IFERROR(INDEX(02_INDICADORES!$C$2:$C$42,MATCH(E1560,02_INDICADORES!$A$2:$A$42,0)),"ID?"))</f>
        <v/>
      </c>
      <c r="H1560" s="22" t="str">
        <f aca="false">IF(E1560="","",IFERROR(INDEX(02_INDICADORES!$D$2:$D$42,MATCH(E1560,02_INDICADORES!$A$2:$A$42,0)),""))</f>
        <v/>
      </c>
      <c r="I1560" s="9"/>
      <c r="J1560" s="16" t="str">
        <f aca="false">IF(OR(I1560="",H1560=""),"",I1560*H1560)</f>
        <v/>
      </c>
      <c r="K1560" s="9"/>
      <c r="L1560" s="9"/>
      <c r="M1560" s="9"/>
    </row>
    <row r="1561" customFormat="false" ht="15" hidden="false" customHeight="false" outlineLevel="0" collapsed="false">
      <c r="A1561" s="9"/>
      <c r="B1561" s="9"/>
      <c r="C1561" s="11"/>
      <c r="D1561" s="9"/>
      <c r="E1561" s="9"/>
      <c r="F1561" s="22" t="str">
        <f aca="false">IF(E1561="","",IFERROR(INDEX(02_INDICADORES!$B$2:$B$42,MATCH(E1561,02_INDICADORES!$A$2:$A$42,0)),"ID?"))</f>
        <v/>
      </c>
      <c r="G1561" s="21" t="str">
        <f aca="false">IF(E1561="","",IFERROR(INDEX(02_INDICADORES!$C$2:$C$42,MATCH(E1561,02_INDICADORES!$A$2:$A$42,0)),"ID?"))</f>
        <v/>
      </c>
      <c r="H1561" s="22" t="str">
        <f aca="false">IF(E1561="","",IFERROR(INDEX(02_INDICADORES!$D$2:$D$42,MATCH(E1561,02_INDICADORES!$A$2:$A$42,0)),""))</f>
        <v/>
      </c>
      <c r="I1561" s="9"/>
      <c r="J1561" s="16" t="str">
        <f aca="false">IF(OR(I1561="",H1561=""),"",I1561*H1561)</f>
        <v/>
      </c>
      <c r="K1561" s="9"/>
      <c r="L1561" s="9"/>
      <c r="M1561" s="9"/>
    </row>
    <row r="1562" customFormat="false" ht="15" hidden="false" customHeight="false" outlineLevel="0" collapsed="false">
      <c r="A1562" s="9"/>
      <c r="B1562" s="9"/>
      <c r="C1562" s="11"/>
      <c r="D1562" s="9"/>
      <c r="E1562" s="9"/>
      <c r="F1562" s="22" t="str">
        <f aca="false">IF(E1562="","",IFERROR(INDEX(02_INDICADORES!$B$2:$B$42,MATCH(E1562,02_INDICADORES!$A$2:$A$42,0)),"ID?"))</f>
        <v/>
      </c>
      <c r="G1562" s="21" t="str">
        <f aca="false">IF(E1562="","",IFERROR(INDEX(02_INDICADORES!$C$2:$C$42,MATCH(E1562,02_INDICADORES!$A$2:$A$42,0)),"ID?"))</f>
        <v/>
      </c>
      <c r="H1562" s="22" t="str">
        <f aca="false">IF(E1562="","",IFERROR(INDEX(02_INDICADORES!$D$2:$D$42,MATCH(E1562,02_INDICADORES!$A$2:$A$42,0)),""))</f>
        <v/>
      </c>
      <c r="I1562" s="9"/>
      <c r="J1562" s="16" t="str">
        <f aca="false">IF(OR(I1562="",H1562=""),"",I1562*H1562)</f>
        <v/>
      </c>
      <c r="K1562" s="9"/>
      <c r="L1562" s="9"/>
      <c r="M1562" s="9"/>
    </row>
    <row r="1563" customFormat="false" ht="15" hidden="false" customHeight="false" outlineLevel="0" collapsed="false">
      <c r="A1563" s="9"/>
      <c r="B1563" s="9"/>
      <c r="C1563" s="11"/>
      <c r="D1563" s="9"/>
      <c r="E1563" s="9"/>
      <c r="F1563" s="22" t="str">
        <f aca="false">IF(E1563="","",IFERROR(INDEX(02_INDICADORES!$B$2:$B$42,MATCH(E1563,02_INDICADORES!$A$2:$A$42,0)),"ID?"))</f>
        <v/>
      </c>
      <c r="G1563" s="21" t="str">
        <f aca="false">IF(E1563="","",IFERROR(INDEX(02_INDICADORES!$C$2:$C$42,MATCH(E1563,02_INDICADORES!$A$2:$A$42,0)),"ID?"))</f>
        <v/>
      </c>
      <c r="H1563" s="22" t="str">
        <f aca="false">IF(E1563="","",IFERROR(INDEX(02_INDICADORES!$D$2:$D$42,MATCH(E1563,02_INDICADORES!$A$2:$A$42,0)),""))</f>
        <v/>
      </c>
      <c r="I1563" s="9"/>
      <c r="J1563" s="16" t="str">
        <f aca="false">IF(OR(I1563="",H1563=""),"",I1563*H1563)</f>
        <v/>
      </c>
      <c r="K1563" s="9"/>
      <c r="L1563" s="9"/>
      <c r="M1563" s="9"/>
    </row>
    <row r="1564" customFormat="false" ht="15" hidden="false" customHeight="false" outlineLevel="0" collapsed="false">
      <c r="A1564" s="9"/>
      <c r="B1564" s="9"/>
      <c r="C1564" s="11"/>
      <c r="D1564" s="9"/>
      <c r="E1564" s="9"/>
      <c r="F1564" s="22" t="str">
        <f aca="false">IF(E1564="","",IFERROR(INDEX(02_INDICADORES!$B$2:$B$42,MATCH(E1564,02_INDICADORES!$A$2:$A$42,0)),"ID?"))</f>
        <v/>
      </c>
      <c r="G1564" s="21" t="str">
        <f aca="false">IF(E1564="","",IFERROR(INDEX(02_INDICADORES!$C$2:$C$42,MATCH(E1564,02_INDICADORES!$A$2:$A$42,0)),"ID?"))</f>
        <v/>
      </c>
      <c r="H1564" s="22" t="str">
        <f aca="false">IF(E1564="","",IFERROR(INDEX(02_INDICADORES!$D$2:$D$42,MATCH(E1564,02_INDICADORES!$A$2:$A$42,0)),""))</f>
        <v/>
      </c>
      <c r="I1564" s="9"/>
      <c r="J1564" s="16" t="str">
        <f aca="false">IF(OR(I1564="",H1564=""),"",I1564*H1564)</f>
        <v/>
      </c>
      <c r="K1564" s="9"/>
      <c r="L1564" s="9"/>
      <c r="M1564" s="9"/>
    </row>
    <row r="1565" customFormat="false" ht="15" hidden="false" customHeight="false" outlineLevel="0" collapsed="false">
      <c r="A1565" s="9"/>
      <c r="B1565" s="9"/>
      <c r="C1565" s="11"/>
      <c r="D1565" s="9"/>
      <c r="E1565" s="9"/>
      <c r="F1565" s="22" t="str">
        <f aca="false">IF(E1565="","",IFERROR(INDEX(02_INDICADORES!$B$2:$B$42,MATCH(E1565,02_INDICADORES!$A$2:$A$42,0)),"ID?"))</f>
        <v/>
      </c>
      <c r="G1565" s="21" t="str">
        <f aca="false">IF(E1565="","",IFERROR(INDEX(02_INDICADORES!$C$2:$C$42,MATCH(E1565,02_INDICADORES!$A$2:$A$42,0)),"ID?"))</f>
        <v/>
      </c>
      <c r="H1565" s="22" t="str">
        <f aca="false">IF(E1565="","",IFERROR(INDEX(02_INDICADORES!$D$2:$D$42,MATCH(E1565,02_INDICADORES!$A$2:$A$42,0)),""))</f>
        <v/>
      </c>
      <c r="I1565" s="9"/>
      <c r="J1565" s="16" t="str">
        <f aca="false">IF(OR(I1565="",H1565=""),"",I1565*H1565)</f>
        <v/>
      </c>
      <c r="K1565" s="9"/>
      <c r="L1565" s="9"/>
      <c r="M1565" s="9"/>
    </row>
    <row r="1566" customFormat="false" ht="15" hidden="false" customHeight="false" outlineLevel="0" collapsed="false">
      <c r="A1566" s="9"/>
      <c r="B1566" s="9"/>
      <c r="C1566" s="11"/>
      <c r="D1566" s="9"/>
      <c r="E1566" s="9"/>
      <c r="F1566" s="22" t="str">
        <f aca="false">IF(E1566="","",IFERROR(INDEX(02_INDICADORES!$B$2:$B$42,MATCH(E1566,02_INDICADORES!$A$2:$A$42,0)),"ID?"))</f>
        <v/>
      </c>
      <c r="G1566" s="21" t="str">
        <f aca="false">IF(E1566="","",IFERROR(INDEX(02_INDICADORES!$C$2:$C$42,MATCH(E1566,02_INDICADORES!$A$2:$A$42,0)),"ID?"))</f>
        <v/>
      </c>
      <c r="H1566" s="22" t="str">
        <f aca="false">IF(E1566="","",IFERROR(INDEX(02_INDICADORES!$D$2:$D$42,MATCH(E1566,02_INDICADORES!$A$2:$A$42,0)),""))</f>
        <v/>
      </c>
      <c r="I1566" s="9"/>
      <c r="J1566" s="16" t="str">
        <f aca="false">IF(OR(I1566="",H1566=""),"",I1566*H1566)</f>
        <v/>
      </c>
      <c r="K1566" s="9"/>
      <c r="L1566" s="9"/>
      <c r="M1566" s="9"/>
    </row>
    <row r="1567" customFormat="false" ht="15" hidden="false" customHeight="false" outlineLevel="0" collapsed="false">
      <c r="A1567" s="9"/>
      <c r="B1567" s="9"/>
      <c r="C1567" s="11"/>
      <c r="D1567" s="9"/>
      <c r="E1567" s="9"/>
      <c r="F1567" s="22" t="str">
        <f aca="false">IF(E1567="","",IFERROR(INDEX(02_INDICADORES!$B$2:$B$42,MATCH(E1567,02_INDICADORES!$A$2:$A$42,0)),"ID?"))</f>
        <v/>
      </c>
      <c r="G1567" s="21" t="str">
        <f aca="false">IF(E1567="","",IFERROR(INDEX(02_INDICADORES!$C$2:$C$42,MATCH(E1567,02_INDICADORES!$A$2:$A$42,0)),"ID?"))</f>
        <v/>
      </c>
      <c r="H1567" s="22" t="str">
        <f aca="false">IF(E1567="","",IFERROR(INDEX(02_INDICADORES!$D$2:$D$42,MATCH(E1567,02_INDICADORES!$A$2:$A$42,0)),""))</f>
        <v/>
      </c>
      <c r="I1567" s="9"/>
      <c r="J1567" s="16" t="str">
        <f aca="false">IF(OR(I1567="",H1567=""),"",I1567*H1567)</f>
        <v/>
      </c>
      <c r="K1567" s="9"/>
      <c r="L1567" s="9"/>
      <c r="M1567" s="9"/>
    </row>
    <row r="1568" customFormat="false" ht="15" hidden="false" customHeight="false" outlineLevel="0" collapsed="false">
      <c r="A1568" s="9"/>
      <c r="B1568" s="9"/>
      <c r="C1568" s="11"/>
      <c r="D1568" s="9"/>
      <c r="E1568" s="9"/>
      <c r="F1568" s="22" t="str">
        <f aca="false">IF(E1568="","",IFERROR(INDEX(02_INDICADORES!$B$2:$B$42,MATCH(E1568,02_INDICADORES!$A$2:$A$42,0)),"ID?"))</f>
        <v/>
      </c>
      <c r="G1568" s="21" t="str">
        <f aca="false">IF(E1568="","",IFERROR(INDEX(02_INDICADORES!$C$2:$C$42,MATCH(E1568,02_INDICADORES!$A$2:$A$42,0)),"ID?"))</f>
        <v/>
      </c>
      <c r="H1568" s="22" t="str">
        <f aca="false">IF(E1568="","",IFERROR(INDEX(02_INDICADORES!$D$2:$D$42,MATCH(E1568,02_INDICADORES!$A$2:$A$42,0)),""))</f>
        <v/>
      </c>
      <c r="I1568" s="9"/>
      <c r="J1568" s="16" t="str">
        <f aca="false">IF(OR(I1568="",H1568=""),"",I1568*H1568)</f>
        <v/>
      </c>
      <c r="K1568" s="9"/>
      <c r="L1568" s="9"/>
      <c r="M1568" s="9"/>
    </row>
    <row r="1569" customFormat="false" ht="15" hidden="false" customHeight="false" outlineLevel="0" collapsed="false">
      <c r="A1569" s="9"/>
      <c r="B1569" s="9"/>
      <c r="C1569" s="11"/>
      <c r="D1569" s="9"/>
      <c r="E1569" s="9"/>
      <c r="F1569" s="22" t="str">
        <f aca="false">IF(E1569="","",IFERROR(INDEX(02_INDICADORES!$B$2:$B$42,MATCH(E1569,02_INDICADORES!$A$2:$A$42,0)),"ID?"))</f>
        <v/>
      </c>
      <c r="G1569" s="21" t="str">
        <f aca="false">IF(E1569="","",IFERROR(INDEX(02_INDICADORES!$C$2:$C$42,MATCH(E1569,02_INDICADORES!$A$2:$A$42,0)),"ID?"))</f>
        <v/>
      </c>
      <c r="H1569" s="22" t="str">
        <f aca="false">IF(E1569="","",IFERROR(INDEX(02_INDICADORES!$D$2:$D$42,MATCH(E1569,02_INDICADORES!$A$2:$A$42,0)),""))</f>
        <v/>
      </c>
      <c r="I1569" s="9"/>
      <c r="J1569" s="16" t="str">
        <f aca="false">IF(OR(I1569="",H1569=""),"",I1569*H1569)</f>
        <v/>
      </c>
      <c r="K1569" s="9"/>
      <c r="L1569" s="9"/>
      <c r="M1569" s="9"/>
    </row>
    <row r="1570" customFormat="false" ht="15" hidden="false" customHeight="false" outlineLevel="0" collapsed="false">
      <c r="A1570" s="9"/>
      <c r="B1570" s="9"/>
      <c r="C1570" s="11"/>
      <c r="D1570" s="9"/>
      <c r="E1570" s="9"/>
      <c r="F1570" s="22" t="str">
        <f aca="false">IF(E1570="","",IFERROR(INDEX(02_INDICADORES!$B$2:$B$42,MATCH(E1570,02_INDICADORES!$A$2:$A$42,0)),"ID?"))</f>
        <v/>
      </c>
      <c r="G1570" s="21" t="str">
        <f aca="false">IF(E1570="","",IFERROR(INDEX(02_INDICADORES!$C$2:$C$42,MATCH(E1570,02_INDICADORES!$A$2:$A$42,0)),"ID?"))</f>
        <v/>
      </c>
      <c r="H1570" s="22" t="str">
        <f aca="false">IF(E1570="","",IFERROR(INDEX(02_INDICADORES!$D$2:$D$42,MATCH(E1570,02_INDICADORES!$A$2:$A$42,0)),""))</f>
        <v/>
      </c>
      <c r="I1570" s="9"/>
      <c r="J1570" s="16" t="str">
        <f aca="false">IF(OR(I1570="",H1570=""),"",I1570*H1570)</f>
        <v/>
      </c>
      <c r="K1570" s="9"/>
      <c r="L1570" s="9"/>
      <c r="M1570" s="9"/>
    </row>
    <row r="1571" customFormat="false" ht="15" hidden="false" customHeight="false" outlineLevel="0" collapsed="false">
      <c r="A1571" s="9"/>
      <c r="B1571" s="9"/>
      <c r="C1571" s="11"/>
      <c r="D1571" s="9"/>
      <c r="E1571" s="9"/>
      <c r="F1571" s="22" t="str">
        <f aca="false">IF(E1571="","",IFERROR(INDEX(02_INDICADORES!$B$2:$B$42,MATCH(E1571,02_INDICADORES!$A$2:$A$42,0)),"ID?"))</f>
        <v/>
      </c>
      <c r="G1571" s="21" t="str">
        <f aca="false">IF(E1571="","",IFERROR(INDEX(02_INDICADORES!$C$2:$C$42,MATCH(E1571,02_INDICADORES!$A$2:$A$42,0)),"ID?"))</f>
        <v/>
      </c>
      <c r="H1571" s="22" t="str">
        <f aca="false">IF(E1571="","",IFERROR(INDEX(02_INDICADORES!$D$2:$D$42,MATCH(E1571,02_INDICADORES!$A$2:$A$42,0)),""))</f>
        <v/>
      </c>
      <c r="I1571" s="9"/>
      <c r="J1571" s="16" t="str">
        <f aca="false">IF(OR(I1571="",H1571=""),"",I1571*H1571)</f>
        <v/>
      </c>
      <c r="K1571" s="9"/>
      <c r="L1571" s="9"/>
      <c r="M1571" s="9"/>
    </row>
    <row r="1572" customFormat="false" ht="15" hidden="false" customHeight="false" outlineLevel="0" collapsed="false">
      <c r="A1572" s="9"/>
      <c r="B1572" s="9"/>
      <c r="C1572" s="11"/>
      <c r="D1572" s="9"/>
      <c r="E1572" s="9"/>
      <c r="F1572" s="22" t="str">
        <f aca="false">IF(E1572="","",IFERROR(INDEX(02_INDICADORES!$B$2:$B$42,MATCH(E1572,02_INDICADORES!$A$2:$A$42,0)),"ID?"))</f>
        <v/>
      </c>
      <c r="G1572" s="21" t="str">
        <f aca="false">IF(E1572="","",IFERROR(INDEX(02_INDICADORES!$C$2:$C$42,MATCH(E1572,02_INDICADORES!$A$2:$A$42,0)),"ID?"))</f>
        <v/>
      </c>
      <c r="H1572" s="22" t="str">
        <f aca="false">IF(E1572="","",IFERROR(INDEX(02_INDICADORES!$D$2:$D$42,MATCH(E1572,02_INDICADORES!$A$2:$A$42,0)),""))</f>
        <v/>
      </c>
      <c r="I1572" s="9"/>
      <c r="J1572" s="16" t="str">
        <f aca="false">IF(OR(I1572="",H1572=""),"",I1572*H1572)</f>
        <v/>
      </c>
      <c r="K1572" s="9"/>
      <c r="L1572" s="9"/>
      <c r="M1572" s="9"/>
    </row>
    <row r="1573" customFormat="false" ht="15" hidden="false" customHeight="false" outlineLevel="0" collapsed="false">
      <c r="A1573" s="9"/>
      <c r="B1573" s="9"/>
      <c r="C1573" s="11"/>
      <c r="D1573" s="9"/>
      <c r="E1573" s="9"/>
      <c r="F1573" s="22" t="str">
        <f aca="false">IF(E1573="","",IFERROR(INDEX(02_INDICADORES!$B$2:$B$42,MATCH(E1573,02_INDICADORES!$A$2:$A$42,0)),"ID?"))</f>
        <v/>
      </c>
      <c r="G1573" s="21" t="str">
        <f aca="false">IF(E1573="","",IFERROR(INDEX(02_INDICADORES!$C$2:$C$42,MATCH(E1573,02_INDICADORES!$A$2:$A$42,0)),"ID?"))</f>
        <v/>
      </c>
      <c r="H1573" s="22" t="str">
        <f aca="false">IF(E1573="","",IFERROR(INDEX(02_INDICADORES!$D$2:$D$42,MATCH(E1573,02_INDICADORES!$A$2:$A$42,0)),""))</f>
        <v/>
      </c>
      <c r="I1573" s="9"/>
      <c r="J1573" s="16" t="str">
        <f aca="false">IF(OR(I1573="",H1573=""),"",I1573*H1573)</f>
        <v/>
      </c>
      <c r="K1573" s="9"/>
      <c r="L1573" s="9"/>
      <c r="M1573" s="9"/>
    </row>
    <row r="1574" customFormat="false" ht="15" hidden="false" customHeight="false" outlineLevel="0" collapsed="false">
      <c r="A1574" s="9"/>
      <c r="B1574" s="9"/>
      <c r="C1574" s="11"/>
      <c r="D1574" s="9"/>
      <c r="E1574" s="9"/>
      <c r="F1574" s="22" t="str">
        <f aca="false">IF(E1574="","",IFERROR(INDEX(02_INDICADORES!$B$2:$B$42,MATCH(E1574,02_INDICADORES!$A$2:$A$42,0)),"ID?"))</f>
        <v/>
      </c>
      <c r="G1574" s="21" t="str">
        <f aca="false">IF(E1574="","",IFERROR(INDEX(02_INDICADORES!$C$2:$C$42,MATCH(E1574,02_INDICADORES!$A$2:$A$42,0)),"ID?"))</f>
        <v/>
      </c>
      <c r="H1574" s="22" t="str">
        <f aca="false">IF(E1574="","",IFERROR(INDEX(02_INDICADORES!$D$2:$D$42,MATCH(E1574,02_INDICADORES!$A$2:$A$42,0)),""))</f>
        <v/>
      </c>
      <c r="I1574" s="9"/>
      <c r="J1574" s="16" t="str">
        <f aca="false">IF(OR(I1574="",H1574=""),"",I1574*H1574)</f>
        <v/>
      </c>
      <c r="K1574" s="9"/>
      <c r="L1574" s="9"/>
      <c r="M1574" s="9"/>
    </row>
    <row r="1575" customFormat="false" ht="15" hidden="false" customHeight="false" outlineLevel="0" collapsed="false">
      <c r="A1575" s="9"/>
      <c r="B1575" s="9"/>
      <c r="C1575" s="11"/>
      <c r="D1575" s="9"/>
      <c r="E1575" s="9"/>
      <c r="F1575" s="22" t="str">
        <f aca="false">IF(E1575="","",IFERROR(INDEX(02_INDICADORES!$B$2:$B$42,MATCH(E1575,02_INDICADORES!$A$2:$A$42,0)),"ID?"))</f>
        <v/>
      </c>
      <c r="G1575" s="21" t="str">
        <f aca="false">IF(E1575="","",IFERROR(INDEX(02_INDICADORES!$C$2:$C$42,MATCH(E1575,02_INDICADORES!$A$2:$A$42,0)),"ID?"))</f>
        <v/>
      </c>
      <c r="H1575" s="22" t="str">
        <f aca="false">IF(E1575="","",IFERROR(INDEX(02_INDICADORES!$D$2:$D$42,MATCH(E1575,02_INDICADORES!$A$2:$A$42,0)),""))</f>
        <v/>
      </c>
      <c r="I1575" s="9"/>
      <c r="J1575" s="16" t="str">
        <f aca="false">IF(OR(I1575="",H1575=""),"",I1575*H1575)</f>
        <v/>
      </c>
      <c r="K1575" s="9"/>
      <c r="L1575" s="9"/>
      <c r="M1575" s="9"/>
    </row>
    <row r="1576" customFormat="false" ht="15" hidden="false" customHeight="false" outlineLevel="0" collapsed="false">
      <c r="A1576" s="9"/>
      <c r="B1576" s="9"/>
      <c r="C1576" s="11"/>
      <c r="D1576" s="9"/>
      <c r="E1576" s="9"/>
      <c r="F1576" s="22" t="str">
        <f aca="false">IF(E1576="","",IFERROR(INDEX(02_INDICADORES!$B$2:$B$42,MATCH(E1576,02_INDICADORES!$A$2:$A$42,0)),"ID?"))</f>
        <v/>
      </c>
      <c r="G1576" s="21" t="str">
        <f aca="false">IF(E1576="","",IFERROR(INDEX(02_INDICADORES!$C$2:$C$42,MATCH(E1576,02_INDICADORES!$A$2:$A$42,0)),"ID?"))</f>
        <v/>
      </c>
      <c r="H1576" s="22" t="str">
        <f aca="false">IF(E1576="","",IFERROR(INDEX(02_INDICADORES!$D$2:$D$42,MATCH(E1576,02_INDICADORES!$A$2:$A$42,0)),""))</f>
        <v/>
      </c>
      <c r="I1576" s="9"/>
      <c r="J1576" s="16" t="str">
        <f aca="false">IF(OR(I1576="",H1576=""),"",I1576*H1576)</f>
        <v/>
      </c>
      <c r="K1576" s="9"/>
      <c r="L1576" s="9"/>
      <c r="M1576" s="9"/>
    </row>
    <row r="1577" customFormat="false" ht="15" hidden="false" customHeight="false" outlineLevel="0" collapsed="false">
      <c r="A1577" s="9"/>
      <c r="B1577" s="9"/>
      <c r="C1577" s="11"/>
      <c r="D1577" s="9"/>
      <c r="E1577" s="9"/>
      <c r="F1577" s="22" t="str">
        <f aca="false">IF(E1577="","",IFERROR(INDEX(02_INDICADORES!$B$2:$B$42,MATCH(E1577,02_INDICADORES!$A$2:$A$42,0)),"ID?"))</f>
        <v/>
      </c>
      <c r="G1577" s="21" t="str">
        <f aca="false">IF(E1577="","",IFERROR(INDEX(02_INDICADORES!$C$2:$C$42,MATCH(E1577,02_INDICADORES!$A$2:$A$42,0)),"ID?"))</f>
        <v/>
      </c>
      <c r="H1577" s="22" t="str">
        <f aca="false">IF(E1577="","",IFERROR(INDEX(02_INDICADORES!$D$2:$D$42,MATCH(E1577,02_INDICADORES!$A$2:$A$42,0)),""))</f>
        <v/>
      </c>
      <c r="I1577" s="9"/>
      <c r="J1577" s="16" t="str">
        <f aca="false">IF(OR(I1577="",H1577=""),"",I1577*H1577)</f>
        <v/>
      </c>
      <c r="K1577" s="9"/>
      <c r="L1577" s="9"/>
      <c r="M1577" s="9"/>
    </row>
    <row r="1578" customFormat="false" ht="15" hidden="false" customHeight="false" outlineLevel="0" collapsed="false">
      <c r="A1578" s="9"/>
      <c r="B1578" s="9"/>
      <c r="C1578" s="11"/>
      <c r="D1578" s="9"/>
      <c r="E1578" s="9"/>
      <c r="F1578" s="22" t="str">
        <f aca="false">IF(E1578="","",IFERROR(INDEX(02_INDICADORES!$B$2:$B$42,MATCH(E1578,02_INDICADORES!$A$2:$A$42,0)),"ID?"))</f>
        <v/>
      </c>
      <c r="G1578" s="21" t="str">
        <f aca="false">IF(E1578="","",IFERROR(INDEX(02_INDICADORES!$C$2:$C$42,MATCH(E1578,02_INDICADORES!$A$2:$A$42,0)),"ID?"))</f>
        <v/>
      </c>
      <c r="H1578" s="22" t="str">
        <f aca="false">IF(E1578="","",IFERROR(INDEX(02_INDICADORES!$D$2:$D$42,MATCH(E1578,02_INDICADORES!$A$2:$A$42,0)),""))</f>
        <v/>
      </c>
      <c r="I1578" s="9"/>
      <c r="J1578" s="16" t="str">
        <f aca="false">IF(OR(I1578="",H1578=""),"",I1578*H1578)</f>
        <v/>
      </c>
      <c r="K1578" s="9"/>
      <c r="L1578" s="9"/>
      <c r="M1578" s="9"/>
    </row>
    <row r="1579" customFormat="false" ht="15" hidden="false" customHeight="false" outlineLevel="0" collapsed="false">
      <c r="A1579" s="9"/>
      <c r="B1579" s="9"/>
      <c r="C1579" s="11"/>
      <c r="D1579" s="9"/>
      <c r="E1579" s="9"/>
      <c r="F1579" s="22" t="str">
        <f aca="false">IF(E1579="","",IFERROR(INDEX(02_INDICADORES!$B$2:$B$42,MATCH(E1579,02_INDICADORES!$A$2:$A$42,0)),"ID?"))</f>
        <v/>
      </c>
      <c r="G1579" s="21" t="str">
        <f aca="false">IF(E1579="","",IFERROR(INDEX(02_INDICADORES!$C$2:$C$42,MATCH(E1579,02_INDICADORES!$A$2:$A$42,0)),"ID?"))</f>
        <v/>
      </c>
      <c r="H1579" s="22" t="str">
        <f aca="false">IF(E1579="","",IFERROR(INDEX(02_INDICADORES!$D$2:$D$42,MATCH(E1579,02_INDICADORES!$A$2:$A$42,0)),""))</f>
        <v/>
      </c>
      <c r="I1579" s="9"/>
      <c r="J1579" s="16" t="str">
        <f aca="false">IF(OR(I1579="",H1579=""),"",I1579*H1579)</f>
        <v/>
      </c>
      <c r="K1579" s="9"/>
      <c r="L1579" s="9"/>
      <c r="M1579" s="9"/>
    </row>
    <row r="1580" customFormat="false" ht="15" hidden="false" customHeight="false" outlineLevel="0" collapsed="false">
      <c r="A1580" s="9"/>
      <c r="B1580" s="9"/>
      <c r="C1580" s="11"/>
      <c r="D1580" s="9"/>
      <c r="E1580" s="9"/>
      <c r="F1580" s="22" t="str">
        <f aca="false">IF(E1580="","",IFERROR(INDEX(02_INDICADORES!$B$2:$B$42,MATCH(E1580,02_INDICADORES!$A$2:$A$42,0)),"ID?"))</f>
        <v/>
      </c>
      <c r="G1580" s="21" t="str">
        <f aca="false">IF(E1580="","",IFERROR(INDEX(02_INDICADORES!$C$2:$C$42,MATCH(E1580,02_INDICADORES!$A$2:$A$42,0)),"ID?"))</f>
        <v/>
      </c>
      <c r="H1580" s="22" t="str">
        <f aca="false">IF(E1580="","",IFERROR(INDEX(02_INDICADORES!$D$2:$D$42,MATCH(E1580,02_INDICADORES!$A$2:$A$42,0)),""))</f>
        <v/>
      </c>
      <c r="I1580" s="9"/>
      <c r="J1580" s="16" t="str">
        <f aca="false">IF(OR(I1580="",H1580=""),"",I1580*H1580)</f>
        <v/>
      </c>
      <c r="K1580" s="9"/>
      <c r="L1580" s="9"/>
      <c r="M1580" s="9"/>
    </row>
    <row r="1581" customFormat="false" ht="15" hidden="false" customHeight="false" outlineLevel="0" collapsed="false">
      <c r="A1581" s="9"/>
      <c r="B1581" s="9"/>
      <c r="C1581" s="11"/>
      <c r="D1581" s="9"/>
      <c r="E1581" s="9"/>
      <c r="F1581" s="22" t="str">
        <f aca="false">IF(E1581="","",IFERROR(INDEX(02_INDICADORES!$B$2:$B$42,MATCH(E1581,02_INDICADORES!$A$2:$A$42,0)),"ID?"))</f>
        <v/>
      </c>
      <c r="G1581" s="21" t="str">
        <f aca="false">IF(E1581="","",IFERROR(INDEX(02_INDICADORES!$C$2:$C$42,MATCH(E1581,02_INDICADORES!$A$2:$A$42,0)),"ID?"))</f>
        <v/>
      </c>
      <c r="H1581" s="22" t="str">
        <f aca="false">IF(E1581="","",IFERROR(INDEX(02_INDICADORES!$D$2:$D$42,MATCH(E1581,02_INDICADORES!$A$2:$A$42,0)),""))</f>
        <v/>
      </c>
      <c r="I1581" s="9"/>
      <c r="J1581" s="16" t="str">
        <f aca="false">IF(OR(I1581="",H1581=""),"",I1581*H1581)</f>
        <v/>
      </c>
      <c r="K1581" s="9"/>
      <c r="L1581" s="9"/>
      <c r="M1581" s="9"/>
    </row>
    <row r="1582" customFormat="false" ht="15" hidden="false" customHeight="false" outlineLevel="0" collapsed="false">
      <c r="A1582" s="9"/>
      <c r="B1582" s="9"/>
      <c r="C1582" s="11"/>
      <c r="D1582" s="9"/>
      <c r="E1582" s="9"/>
      <c r="F1582" s="22" t="str">
        <f aca="false">IF(E1582="","",IFERROR(INDEX(02_INDICADORES!$B$2:$B$42,MATCH(E1582,02_INDICADORES!$A$2:$A$42,0)),"ID?"))</f>
        <v/>
      </c>
      <c r="G1582" s="21" t="str">
        <f aca="false">IF(E1582="","",IFERROR(INDEX(02_INDICADORES!$C$2:$C$42,MATCH(E1582,02_INDICADORES!$A$2:$A$42,0)),"ID?"))</f>
        <v/>
      </c>
      <c r="H1582" s="22" t="str">
        <f aca="false">IF(E1582="","",IFERROR(INDEX(02_INDICADORES!$D$2:$D$42,MATCH(E1582,02_INDICADORES!$A$2:$A$42,0)),""))</f>
        <v/>
      </c>
      <c r="I1582" s="9"/>
      <c r="J1582" s="16" t="str">
        <f aca="false">IF(OR(I1582="",H1582=""),"",I1582*H1582)</f>
        <v/>
      </c>
      <c r="K1582" s="9"/>
      <c r="L1582" s="9"/>
      <c r="M1582" s="9"/>
    </row>
    <row r="1583" customFormat="false" ht="15" hidden="false" customHeight="false" outlineLevel="0" collapsed="false">
      <c r="A1583" s="9"/>
      <c r="B1583" s="9"/>
      <c r="C1583" s="11"/>
      <c r="D1583" s="9"/>
      <c r="E1583" s="9"/>
      <c r="F1583" s="22" t="str">
        <f aca="false">IF(E1583="","",IFERROR(INDEX(02_INDICADORES!$B$2:$B$42,MATCH(E1583,02_INDICADORES!$A$2:$A$42,0)),"ID?"))</f>
        <v/>
      </c>
      <c r="G1583" s="21" t="str">
        <f aca="false">IF(E1583="","",IFERROR(INDEX(02_INDICADORES!$C$2:$C$42,MATCH(E1583,02_INDICADORES!$A$2:$A$42,0)),"ID?"))</f>
        <v/>
      </c>
      <c r="H1583" s="22" t="str">
        <f aca="false">IF(E1583="","",IFERROR(INDEX(02_INDICADORES!$D$2:$D$42,MATCH(E1583,02_INDICADORES!$A$2:$A$42,0)),""))</f>
        <v/>
      </c>
      <c r="I1583" s="9"/>
      <c r="J1583" s="16" t="str">
        <f aca="false">IF(OR(I1583="",H1583=""),"",I1583*H1583)</f>
        <v/>
      </c>
      <c r="K1583" s="9"/>
      <c r="L1583" s="9"/>
      <c r="M1583" s="9"/>
    </row>
    <row r="1584" customFormat="false" ht="15" hidden="false" customHeight="false" outlineLevel="0" collapsed="false">
      <c r="A1584" s="9"/>
      <c r="B1584" s="9"/>
      <c r="C1584" s="11"/>
      <c r="D1584" s="9"/>
      <c r="E1584" s="9"/>
      <c r="F1584" s="22" t="str">
        <f aca="false">IF(E1584="","",IFERROR(INDEX(02_INDICADORES!$B$2:$B$42,MATCH(E1584,02_INDICADORES!$A$2:$A$42,0)),"ID?"))</f>
        <v/>
      </c>
      <c r="G1584" s="21" t="str">
        <f aca="false">IF(E1584="","",IFERROR(INDEX(02_INDICADORES!$C$2:$C$42,MATCH(E1584,02_INDICADORES!$A$2:$A$42,0)),"ID?"))</f>
        <v/>
      </c>
      <c r="H1584" s="22" t="str">
        <f aca="false">IF(E1584="","",IFERROR(INDEX(02_INDICADORES!$D$2:$D$42,MATCH(E1584,02_INDICADORES!$A$2:$A$42,0)),""))</f>
        <v/>
      </c>
      <c r="I1584" s="9"/>
      <c r="J1584" s="16" t="str">
        <f aca="false">IF(OR(I1584="",H1584=""),"",I1584*H1584)</f>
        <v/>
      </c>
      <c r="K1584" s="9"/>
      <c r="L1584" s="9"/>
      <c r="M1584" s="9"/>
    </row>
    <row r="1585" customFormat="false" ht="15" hidden="false" customHeight="false" outlineLevel="0" collapsed="false">
      <c r="A1585" s="9"/>
      <c r="B1585" s="9"/>
      <c r="C1585" s="11"/>
      <c r="D1585" s="9"/>
      <c r="E1585" s="9"/>
      <c r="F1585" s="22" t="str">
        <f aca="false">IF(E1585="","",IFERROR(INDEX(02_INDICADORES!$B$2:$B$42,MATCH(E1585,02_INDICADORES!$A$2:$A$42,0)),"ID?"))</f>
        <v/>
      </c>
      <c r="G1585" s="21" t="str">
        <f aca="false">IF(E1585="","",IFERROR(INDEX(02_INDICADORES!$C$2:$C$42,MATCH(E1585,02_INDICADORES!$A$2:$A$42,0)),"ID?"))</f>
        <v/>
      </c>
      <c r="H1585" s="22" t="str">
        <f aca="false">IF(E1585="","",IFERROR(INDEX(02_INDICADORES!$D$2:$D$42,MATCH(E1585,02_INDICADORES!$A$2:$A$42,0)),""))</f>
        <v/>
      </c>
      <c r="I1585" s="9"/>
      <c r="J1585" s="16" t="str">
        <f aca="false">IF(OR(I1585="",H1585=""),"",I1585*H1585)</f>
        <v/>
      </c>
      <c r="K1585" s="9"/>
      <c r="L1585" s="9"/>
      <c r="M1585" s="9"/>
    </row>
    <row r="1586" customFormat="false" ht="15" hidden="false" customHeight="false" outlineLevel="0" collapsed="false">
      <c r="A1586" s="9"/>
      <c r="B1586" s="9"/>
      <c r="C1586" s="11"/>
      <c r="D1586" s="9"/>
      <c r="E1586" s="9"/>
      <c r="F1586" s="22" t="str">
        <f aca="false">IF(E1586="","",IFERROR(INDEX(02_INDICADORES!$B$2:$B$42,MATCH(E1586,02_INDICADORES!$A$2:$A$42,0)),"ID?"))</f>
        <v/>
      </c>
      <c r="G1586" s="21" t="str">
        <f aca="false">IF(E1586="","",IFERROR(INDEX(02_INDICADORES!$C$2:$C$42,MATCH(E1586,02_INDICADORES!$A$2:$A$42,0)),"ID?"))</f>
        <v/>
      </c>
      <c r="H1586" s="22" t="str">
        <f aca="false">IF(E1586="","",IFERROR(INDEX(02_INDICADORES!$D$2:$D$42,MATCH(E1586,02_INDICADORES!$A$2:$A$42,0)),""))</f>
        <v/>
      </c>
      <c r="I1586" s="9"/>
      <c r="J1586" s="16" t="str">
        <f aca="false">IF(OR(I1586="",H1586=""),"",I1586*H1586)</f>
        <v/>
      </c>
      <c r="K1586" s="9"/>
      <c r="L1586" s="9"/>
      <c r="M1586" s="9"/>
    </row>
    <row r="1587" customFormat="false" ht="15" hidden="false" customHeight="false" outlineLevel="0" collapsed="false">
      <c r="A1587" s="9"/>
      <c r="B1587" s="9"/>
      <c r="C1587" s="11"/>
      <c r="D1587" s="9"/>
      <c r="E1587" s="9"/>
      <c r="F1587" s="22" t="str">
        <f aca="false">IF(E1587="","",IFERROR(INDEX(02_INDICADORES!$B$2:$B$42,MATCH(E1587,02_INDICADORES!$A$2:$A$42,0)),"ID?"))</f>
        <v/>
      </c>
      <c r="G1587" s="21" t="str">
        <f aca="false">IF(E1587="","",IFERROR(INDEX(02_INDICADORES!$C$2:$C$42,MATCH(E1587,02_INDICADORES!$A$2:$A$42,0)),"ID?"))</f>
        <v/>
      </c>
      <c r="H1587" s="22" t="str">
        <f aca="false">IF(E1587="","",IFERROR(INDEX(02_INDICADORES!$D$2:$D$42,MATCH(E1587,02_INDICADORES!$A$2:$A$42,0)),""))</f>
        <v/>
      </c>
      <c r="I1587" s="9"/>
      <c r="J1587" s="16" t="str">
        <f aca="false">IF(OR(I1587="",H1587=""),"",I1587*H1587)</f>
        <v/>
      </c>
      <c r="K1587" s="9"/>
      <c r="L1587" s="9"/>
      <c r="M1587" s="9"/>
    </row>
    <row r="1588" customFormat="false" ht="15" hidden="false" customHeight="false" outlineLevel="0" collapsed="false">
      <c r="A1588" s="9"/>
      <c r="B1588" s="9"/>
      <c r="C1588" s="11"/>
      <c r="D1588" s="9"/>
      <c r="E1588" s="9"/>
      <c r="F1588" s="22" t="str">
        <f aca="false">IF(E1588="","",IFERROR(INDEX(02_INDICADORES!$B$2:$B$42,MATCH(E1588,02_INDICADORES!$A$2:$A$42,0)),"ID?"))</f>
        <v/>
      </c>
      <c r="G1588" s="21" t="str">
        <f aca="false">IF(E1588="","",IFERROR(INDEX(02_INDICADORES!$C$2:$C$42,MATCH(E1588,02_INDICADORES!$A$2:$A$42,0)),"ID?"))</f>
        <v/>
      </c>
      <c r="H1588" s="22" t="str">
        <f aca="false">IF(E1588="","",IFERROR(INDEX(02_INDICADORES!$D$2:$D$42,MATCH(E1588,02_INDICADORES!$A$2:$A$42,0)),""))</f>
        <v/>
      </c>
      <c r="I1588" s="9"/>
      <c r="J1588" s="16" t="str">
        <f aca="false">IF(OR(I1588="",H1588=""),"",I1588*H1588)</f>
        <v/>
      </c>
      <c r="K1588" s="9"/>
      <c r="L1588" s="9"/>
      <c r="M1588" s="9"/>
    </row>
    <row r="1589" customFormat="false" ht="15" hidden="false" customHeight="false" outlineLevel="0" collapsed="false">
      <c r="A1589" s="9"/>
      <c r="B1589" s="9"/>
      <c r="C1589" s="11"/>
      <c r="D1589" s="9"/>
      <c r="E1589" s="9"/>
      <c r="F1589" s="22" t="str">
        <f aca="false">IF(E1589="","",IFERROR(INDEX(02_INDICADORES!$B$2:$B$42,MATCH(E1589,02_INDICADORES!$A$2:$A$42,0)),"ID?"))</f>
        <v/>
      </c>
      <c r="G1589" s="21" t="str">
        <f aca="false">IF(E1589="","",IFERROR(INDEX(02_INDICADORES!$C$2:$C$42,MATCH(E1589,02_INDICADORES!$A$2:$A$42,0)),"ID?"))</f>
        <v/>
      </c>
      <c r="H1589" s="22" t="str">
        <f aca="false">IF(E1589="","",IFERROR(INDEX(02_INDICADORES!$D$2:$D$42,MATCH(E1589,02_INDICADORES!$A$2:$A$42,0)),""))</f>
        <v/>
      </c>
      <c r="I1589" s="9"/>
      <c r="J1589" s="16" t="str">
        <f aca="false">IF(OR(I1589="",H1589=""),"",I1589*H1589)</f>
        <v/>
      </c>
      <c r="K1589" s="9"/>
      <c r="L1589" s="9"/>
      <c r="M1589" s="9"/>
    </row>
    <row r="1590" customFormat="false" ht="15" hidden="false" customHeight="false" outlineLevel="0" collapsed="false">
      <c r="A1590" s="9"/>
      <c r="B1590" s="9"/>
      <c r="C1590" s="11"/>
      <c r="D1590" s="9"/>
      <c r="E1590" s="9"/>
      <c r="F1590" s="22" t="str">
        <f aca="false">IF(E1590="","",IFERROR(INDEX(02_INDICADORES!$B$2:$B$42,MATCH(E1590,02_INDICADORES!$A$2:$A$42,0)),"ID?"))</f>
        <v/>
      </c>
      <c r="G1590" s="21" t="str">
        <f aca="false">IF(E1590="","",IFERROR(INDEX(02_INDICADORES!$C$2:$C$42,MATCH(E1590,02_INDICADORES!$A$2:$A$42,0)),"ID?"))</f>
        <v/>
      </c>
      <c r="H1590" s="22" t="str">
        <f aca="false">IF(E1590="","",IFERROR(INDEX(02_INDICADORES!$D$2:$D$42,MATCH(E1590,02_INDICADORES!$A$2:$A$42,0)),""))</f>
        <v/>
      </c>
      <c r="I1590" s="9"/>
      <c r="J1590" s="16" t="str">
        <f aca="false">IF(OR(I1590="",H1590=""),"",I1590*H1590)</f>
        <v/>
      </c>
      <c r="K1590" s="9"/>
      <c r="L1590" s="9"/>
      <c r="M1590" s="9"/>
    </row>
    <row r="1591" customFormat="false" ht="15" hidden="false" customHeight="false" outlineLevel="0" collapsed="false">
      <c r="A1591" s="9"/>
      <c r="B1591" s="9"/>
      <c r="C1591" s="11"/>
      <c r="D1591" s="9"/>
      <c r="E1591" s="9"/>
      <c r="F1591" s="22" t="str">
        <f aca="false">IF(E1591="","",IFERROR(INDEX(02_INDICADORES!$B$2:$B$42,MATCH(E1591,02_INDICADORES!$A$2:$A$42,0)),"ID?"))</f>
        <v/>
      </c>
      <c r="G1591" s="21" t="str">
        <f aca="false">IF(E1591="","",IFERROR(INDEX(02_INDICADORES!$C$2:$C$42,MATCH(E1591,02_INDICADORES!$A$2:$A$42,0)),"ID?"))</f>
        <v/>
      </c>
      <c r="H1591" s="22" t="str">
        <f aca="false">IF(E1591="","",IFERROR(INDEX(02_INDICADORES!$D$2:$D$42,MATCH(E1591,02_INDICADORES!$A$2:$A$42,0)),""))</f>
        <v/>
      </c>
      <c r="I1591" s="9"/>
      <c r="J1591" s="16" t="str">
        <f aca="false">IF(OR(I1591="",H1591=""),"",I1591*H1591)</f>
        <v/>
      </c>
      <c r="K1591" s="9"/>
      <c r="L1591" s="9"/>
      <c r="M1591" s="9"/>
    </row>
    <row r="1592" customFormat="false" ht="15" hidden="false" customHeight="false" outlineLevel="0" collapsed="false">
      <c r="A1592" s="9"/>
      <c r="B1592" s="9"/>
      <c r="C1592" s="11"/>
      <c r="D1592" s="9"/>
      <c r="E1592" s="9"/>
      <c r="F1592" s="22" t="str">
        <f aca="false">IF(E1592="","",IFERROR(INDEX(02_INDICADORES!$B$2:$B$42,MATCH(E1592,02_INDICADORES!$A$2:$A$42,0)),"ID?"))</f>
        <v/>
      </c>
      <c r="G1592" s="21" t="str">
        <f aca="false">IF(E1592="","",IFERROR(INDEX(02_INDICADORES!$C$2:$C$42,MATCH(E1592,02_INDICADORES!$A$2:$A$42,0)),"ID?"))</f>
        <v/>
      </c>
      <c r="H1592" s="22" t="str">
        <f aca="false">IF(E1592="","",IFERROR(INDEX(02_INDICADORES!$D$2:$D$42,MATCH(E1592,02_INDICADORES!$A$2:$A$42,0)),""))</f>
        <v/>
      </c>
      <c r="I1592" s="9"/>
      <c r="J1592" s="16" t="str">
        <f aca="false">IF(OR(I1592="",H1592=""),"",I1592*H1592)</f>
        <v/>
      </c>
      <c r="K1592" s="9"/>
      <c r="L1592" s="9"/>
      <c r="M1592" s="9"/>
    </row>
    <row r="1593" customFormat="false" ht="15" hidden="false" customHeight="false" outlineLevel="0" collapsed="false">
      <c r="A1593" s="9"/>
      <c r="B1593" s="9"/>
      <c r="C1593" s="11"/>
      <c r="D1593" s="9"/>
      <c r="E1593" s="9"/>
      <c r="F1593" s="22" t="str">
        <f aca="false">IF(E1593="","",IFERROR(INDEX(02_INDICADORES!$B$2:$B$42,MATCH(E1593,02_INDICADORES!$A$2:$A$42,0)),"ID?"))</f>
        <v/>
      </c>
      <c r="G1593" s="21" t="str">
        <f aca="false">IF(E1593="","",IFERROR(INDEX(02_INDICADORES!$C$2:$C$42,MATCH(E1593,02_INDICADORES!$A$2:$A$42,0)),"ID?"))</f>
        <v/>
      </c>
      <c r="H1593" s="22" t="str">
        <f aca="false">IF(E1593="","",IFERROR(INDEX(02_INDICADORES!$D$2:$D$42,MATCH(E1593,02_INDICADORES!$A$2:$A$42,0)),""))</f>
        <v/>
      </c>
      <c r="I1593" s="9"/>
      <c r="J1593" s="16" t="str">
        <f aca="false">IF(OR(I1593="",H1593=""),"",I1593*H1593)</f>
        <v/>
      </c>
      <c r="K1593" s="9"/>
      <c r="L1593" s="9"/>
      <c r="M1593" s="9"/>
    </row>
    <row r="1594" customFormat="false" ht="15" hidden="false" customHeight="false" outlineLevel="0" collapsed="false">
      <c r="A1594" s="9"/>
      <c r="B1594" s="9"/>
      <c r="C1594" s="11"/>
      <c r="D1594" s="9"/>
      <c r="E1594" s="9"/>
      <c r="F1594" s="22" t="str">
        <f aca="false">IF(E1594="","",IFERROR(INDEX(02_INDICADORES!$B$2:$B$42,MATCH(E1594,02_INDICADORES!$A$2:$A$42,0)),"ID?"))</f>
        <v/>
      </c>
      <c r="G1594" s="21" t="str">
        <f aca="false">IF(E1594="","",IFERROR(INDEX(02_INDICADORES!$C$2:$C$42,MATCH(E1594,02_INDICADORES!$A$2:$A$42,0)),"ID?"))</f>
        <v/>
      </c>
      <c r="H1594" s="22" t="str">
        <f aca="false">IF(E1594="","",IFERROR(INDEX(02_INDICADORES!$D$2:$D$42,MATCH(E1594,02_INDICADORES!$A$2:$A$42,0)),""))</f>
        <v/>
      </c>
      <c r="I1594" s="9"/>
      <c r="J1594" s="16" t="str">
        <f aca="false">IF(OR(I1594="",H1594=""),"",I1594*H1594)</f>
        <v/>
      </c>
      <c r="K1594" s="9"/>
      <c r="L1594" s="9"/>
      <c r="M1594" s="9"/>
    </row>
    <row r="1595" customFormat="false" ht="15" hidden="false" customHeight="false" outlineLevel="0" collapsed="false">
      <c r="A1595" s="9"/>
      <c r="B1595" s="9"/>
      <c r="C1595" s="11"/>
      <c r="D1595" s="9"/>
      <c r="E1595" s="9"/>
      <c r="F1595" s="22" t="str">
        <f aca="false">IF(E1595="","",IFERROR(INDEX(02_INDICADORES!$B$2:$B$42,MATCH(E1595,02_INDICADORES!$A$2:$A$42,0)),"ID?"))</f>
        <v/>
      </c>
      <c r="G1595" s="21" t="str">
        <f aca="false">IF(E1595="","",IFERROR(INDEX(02_INDICADORES!$C$2:$C$42,MATCH(E1595,02_INDICADORES!$A$2:$A$42,0)),"ID?"))</f>
        <v/>
      </c>
      <c r="H1595" s="22" t="str">
        <f aca="false">IF(E1595="","",IFERROR(INDEX(02_INDICADORES!$D$2:$D$42,MATCH(E1595,02_INDICADORES!$A$2:$A$42,0)),""))</f>
        <v/>
      </c>
      <c r="I1595" s="9"/>
      <c r="J1595" s="16" t="str">
        <f aca="false">IF(OR(I1595="",H1595=""),"",I1595*H1595)</f>
        <v/>
      </c>
      <c r="K1595" s="9"/>
      <c r="L1595" s="9"/>
      <c r="M1595" s="9"/>
    </row>
    <row r="1596" customFormat="false" ht="15" hidden="false" customHeight="false" outlineLevel="0" collapsed="false">
      <c r="A1596" s="9"/>
      <c r="B1596" s="9"/>
      <c r="C1596" s="11"/>
      <c r="D1596" s="9"/>
      <c r="E1596" s="9"/>
      <c r="F1596" s="22" t="str">
        <f aca="false">IF(E1596="","",IFERROR(INDEX(02_INDICADORES!$B$2:$B$42,MATCH(E1596,02_INDICADORES!$A$2:$A$42,0)),"ID?"))</f>
        <v/>
      </c>
      <c r="G1596" s="21" t="str">
        <f aca="false">IF(E1596="","",IFERROR(INDEX(02_INDICADORES!$C$2:$C$42,MATCH(E1596,02_INDICADORES!$A$2:$A$42,0)),"ID?"))</f>
        <v/>
      </c>
      <c r="H1596" s="22" t="str">
        <f aca="false">IF(E1596="","",IFERROR(INDEX(02_INDICADORES!$D$2:$D$42,MATCH(E1596,02_INDICADORES!$A$2:$A$42,0)),""))</f>
        <v/>
      </c>
      <c r="I1596" s="9"/>
      <c r="J1596" s="16" t="str">
        <f aca="false">IF(OR(I1596="",H1596=""),"",I1596*H1596)</f>
        <v/>
      </c>
      <c r="K1596" s="9"/>
      <c r="L1596" s="9"/>
      <c r="M1596" s="9"/>
    </row>
    <row r="1597" customFormat="false" ht="15" hidden="false" customHeight="false" outlineLevel="0" collapsed="false">
      <c r="A1597" s="9"/>
      <c r="B1597" s="9"/>
      <c r="C1597" s="11"/>
      <c r="D1597" s="9"/>
      <c r="E1597" s="9"/>
      <c r="F1597" s="22" t="str">
        <f aca="false">IF(E1597="","",IFERROR(INDEX(02_INDICADORES!$B$2:$B$42,MATCH(E1597,02_INDICADORES!$A$2:$A$42,0)),"ID?"))</f>
        <v/>
      </c>
      <c r="G1597" s="21" t="str">
        <f aca="false">IF(E1597="","",IFERROR(INDEX(02_INDICADORES!$C$2:$C$42,MATCH(E1597,02_INDICADORES!$A$2:$A$42,0)),"ID?"))</f>
        <v/>
      </c>
      <c r="H1597" s="22" t="str">
        <f aca="false">IF(E1597="","",IFERROR(INDEX(02_INDICADORES!$D$2:$D$42,MATCH(E1597,02_INDICADORES!$A$2:$A$42,0)),""))</f>
        <v/>
      </c>
      <c r="I1597" s="9"/>
      <c r="J1597" s="16" t="str">
        <f aca="false">IF(OR(I1597="",H1597=""),"",I1597*H1597)</f>
        <v/>
      </c>
      <c r="K1597" s="9"/>
      <c r="L1597" s="9"/>
      <c r="M1597" s="9"/>
    </row>
    <row r="1598" customFormat="false" ht="15" hidden="false" customHeight="false" outlineLevel="0" collapsed="false">
      <c r="A1598" s="9"/>
      <c r="B1598" s="9"/>
      <c r="C1598" s="11"/>
      <c r="D1598" s="9"/>
      <c r="E1598" s="9"/>
      <c r="F1598" s="22" t="str">
        <f aca="false">IF(E1598="","",IFERROR(INDEX(02_INDICADORES!$B$2:$B$42,MATCH(E1598,02_INDICADORES!$A$2:$A$42,0)),"ID?"))</f>
        <v/>
      </c>
      <c r="G1598" s="21" t="str">
        <f aca="false">IF(E1598="","",IFERROR(INDEX(02_INDICADORES!$C$2:$C$42,MATCH(E1598,02_INDICADORES!$A$2:$A$42,0)),"ID?"))</f>
        <v/>
      </c>
      <c r="H1598" s="22" t="str">
        <f aca="false">IF(E1598="","",IFERROR(INDEX(02_INDICADORES!$D$2:$D$42,MATCH(E1598,02_INDICADORES!$A$2:$A$42,0)),""))</f>
        <v/>
      </c>
      <c r="I1598" s="9"/>
      <c r="J1598" s="16" t="str">
        <f aca="false">IF(OR(I1598="",H1598=""),"",I1598*H1598)</f>
        <v/>
      </c>
      <c r="K1598" s="9"/>
      <c r="L1598" s="9"/>
      <c r="M1598" s="9"/>
    </row>
    <row r="1599" customFormat="false" ht="15" hidden="false" customHeight="false" outlineLevel="0" collapsed="false">
      <c r="A1599" s="9"/>
      <c r="B1599" s="9"/>
      <c r="C1599" s="11"/>
      <c r="D1599" s="9"/>
      <c r="E1599" s="9"/>
      <c r="F1599" s="22" t="str">
        <f aca="false">IF(E1599="","",IFERROR(INDEX(02_INDICADORES!$B$2:$B$42,MATCH(E1599,02_INDICADORES!$A$2:$A$42,0)),"ID?"))</f>
        <v/>
      </c>
      <c r="G1599" s="21" t="str">
        <f aca="false">IF(E1599="","",IFERROR(INDEX(02_INDICADORES!$C$2:$C$42,MATCH(E1599,02_INDICADORES!$A$2:$A$42,0)),"ID?"))</f>
        <v/>
      </c>
      <c r="H1599" s="22" t="str">
        <f aca="false">IF(E1599="","",IFERROR(INDEX(02_INDICADORES!$D$2:$D$42,MATCH(E1599,02_INDICADORES!$A$2:$A$42,0)),""))</f>
        <v/>
      </c>
      <c r="I1599" s="9"/>
      <c r="J1599" s="16" t="str">
        <f aca="false">IF(OR(I1599="",H1599=""),"",I1599*H1599)</f>
        <v/>
      </c>
      <c r="K1599" s="9"/>
      <c r="L1599" s="9"/>
      <c r="M1599" s="9"/>
    </row>
    <row r="1600" customFormat="false" ht="15" hidden="false" customHeight="false" outlineLevel="0" collapsed="false">
      <c r="A1600" s="9"/>
      <c r="B1600" s="9"/>
      <c r="C1600" s="11"/>
      <c r="D1600" s="9"/>
      <c r="E1600" s="9"/>
      <c r="F1600" s="22" t="str">
        <f aca="false">IF(E1600="","",IFERROR(INDEX(02_INDICADORES!$B$2:$B$42,MATCH(E1600,02_INDICADORES!$A$2:$A$42,0)),"ID?"))</f>
        <v/>
      </c>
      <c r="G1600" s="21" t="str">
        <f aca="false">IF(E1600="","",IFERROR(INDEX(02_INDICADORES!$C$2:$C$42,MATCH(E1600,02_INDICADORES!$A$2:$A$42,0)),"ID?"))</f>
        <v/>
      </c>
      <c r="H1600" s="22" t="str">
        <f aca="false">IF(E1600="","",IFERROR(INDEX(02_INDICADORES!$D$2:$D$42,MATCH(E1600,02_INDICADORES!$A$2:$A$42,0)),""))</f>
        <v/>
      </c>
      <c r="I1600" s="9"/>
      <c r="J1600" s="16" t="str">
        <f aca="false">IF(OR(I1600="",H1600=""),"",I1600*H1600)</f>
        <v/>
      </c>
      <c r="K1600" s="9"/>
      <c r="L1600" s="9"/>
      <c r="M1600" s="9"/>
    </row>
    <row r="1601" customFormat="false" ht="15" hidden="false" customHeight="false" outlineLevel="0" collapsed="false">
      <c r="A1601" s="9"/>
      <c r="B1601" s="9"/>
      <c r="C1601" s="11"/>
      <c r="D1601" s="9"/>
      <c r="E1601" s="9"/>
      <c r="F1601" s="22" t="str">
        <f aca="false">IF(E1601="","",IFERROR(INDEX(02_INDICADORES!$B$2:$B$42,MATCH(E1601,02_INDICADORES!$A$2:$A$42,0)),"ID?"))</f>
        <v/>
      </c>
      <c r="G1601" s="21" t="str">
        <f aca="false">IF(E1601="","",IFERROR(INDEX(02_INDICADORES!$C$2:$C$42,MATCH(E1601,02_INDICADORES!$A$2:$A$42,0)),"ID?"))</f>
        <v/>
      </c>
      <c r="H1601" s="22" t="str">
        <f aca="false">IF(E1601="","",IFERROR(INDEX(02_INDICADORES!$D$2:$D$42,MATCH(E1601,02_INDICADORES!$A$2:$A$42,0)),""))</f>
        <v/>
      </c>
      <c r="I1601" s="9"/>
      <c r="J1601" s="16" t="str">
        <f aca="false">IF(OR(I1601="",H1601=""),"",I1601*H1601)</f>
        <v/>
      </c>
      <c r="K1601" s="9"/>
      <c r="L1601" s="9"/>
      <c r="M1601" s="9"/>
    </row>
    <row r="1602" customFormat="false" ht="15" hidden="false" customHeight="false" outlineLevel="0" collapsed="false">
      <c r="A1602" s="9"/>
      <c r="B1602" s="9"/>
      <c r="C1602" s="11"/>
      <c r="D1602" s="9"/>
      <c r="E1602" s="9"/>
      <c r="F1602" s="22" t="str">
        <f aca="false">IF(E1602="","",IFERROR(INDEX(02_INDICADORES!$B$2:$B$42,MATCH(E1602,02_INDICADORES!$A$2:$A$42,0)),"ID?"))</f>
        <v/>
      </c>
      <c r="G1602" s="21" t="str">
        <f aca="false">IF(E1602="","",IFERROR(INDEX(02_INDICADORES!$C$2:$C$42,MATCH(E1602,02_INDICADORES!$A$2:$A$42,0)),"ID?"))</f>
        <v/>
      </c>
      <c r="H1602" s="22" t="str">
        <f aca="false">IF(E1602="","",IFERROR(INDEX(02_INDICADORES!$D$2:$D$42,MATCH(E1602,02_INDICADORES!$A$2:$A$42,0)),""))</f>
        <v/>
      </c>
      <c r="I1602" s="9"/>
      <c r="J1602" s="16" t="str">
        <f aca="false">IF(OR(I1602="",H1602=""),"",I1602*H1602)</f>
        <v/>
      </c>
      <c r="K1602" s="9"/>
      <c r="L1602" s="9"/>
      <c r="M1602" s="9"/>
    </row>
    <row r="1603" customFormat="false" ht="15" hidden="false" customHeight="false" outlineLevel="0" collapsed="false">
      <c r="A1603" s="9"/>
      <c r="B1603" s="9"/>
      <c r="C1603" s="11"/>
      <c r="D1603" s="9"/>
      <c r="E1603" s="9"/>
      <c r="F1603" s="22" t="str">
        <f aca="false">IF(E1603="","",IFERROR(INDEX(02_INDICADORES!$B$2:$B$42,MATCH(E1603,02_INDICADORES!$A$2:$A$42,0)),"ID?"))</f>
        <v/>
      </c>
      <c r="G1603" s="21" t="str">
        <f aca="false">IF(E1603="","",IFERROR(INDEX(02_INDICADORES!$C$2:$C$42,MATCH(E1603,02_INDICADORES!$A$2:$A$42,0)),"ID?"))</f>
        <v/>
      </c>
      <c r="H1603" s="22" t="str">
        <f aca="false">IF(E1603="","",IFERROR(INDEX(02_INDICADORES!$D$2:$D$42,MATCH(E1603,02_INDICADORES!$A$2:$A$42,0)),""))</f>
        <v/>
      </c>
      <c r="I1603" s="9"/>
      <c r="J1603" s="16" t="str">
        <f aca="false">IF(OR(I1603="",H1603=""),"",I1603*H1603)</f>
        <v/>
      </c>
      <c r="K1603" s="9"/>
      <c r="L1603" s="9"/>
      <c r="M1603" s="9"/>
    </row>
    <row r="1604" customFormat="false" ht="15" hidden="false" customHeight="false" outlineLevel="0" collapsed="false">
      <c r="A1604" s="9"/>
      <c r="B1604" s="9"/>
      <c r="C1604" s="11"/>
      <c r="D1604" s="9"/>
      <c r="E1604" s="9"/>
      <c r="F1604" s="22" t="str">
        <f aca="false">IF(E1604="","",IFERROR(INDEX(02_INDICADORES!$B$2:$B$42,MATCH(E1604,02_INDICADORES!$A$2:$A$42,0)),"ID?"))</f>
        <v/>
      </c>
      <c r="G1604" s="21" t="str">
        <f aca="false">IF(E1604="","",IFERROR(INDEX(02_INDICADORES!$C$2:$C$42,MATCH(E1604,02_INDICADORES!$A$2:$A$42,0)),"ID?"))</f>
        <v/>
      </c>
      <c r="H1604" s="22" t="str">
        <f aca="false">IF(E1604="","",IFERROR(INDEX(02_INDICADORES!$D$2:$D$42,MATCH(E1604,02_INDICADORES!$A$2:$A$42,0)),""))</f>
        <v/>
      </c>
      <c r="I1604" s="9"/>
      <c r="J1604" s="16" t="str">
        <f aca="false">IF(OR(I1604="",H1604=""),"",I1604*H1604)</f>
        <v/>
      </c>
      <c r="K1604" s="9"/>
      <c r="L1604" s="9"/>
      <c r="M1604" s="9"/>
    </row>
    <row r="1605" customFormat="false" ht="15" hidden="false" customHeight="false" outlineLevel="0" collapsed="false">
      <c r="A1605" s="9"/>
      <c r="B1605" s="9"/>
      <c r="C1605" s="11"/>
      <c r="D1605" s="9"/>
      <c r="E1605" s="9"/>
      <c r="F1605" s="22" t="str">
        <f aca="false">IF(E1605="","",IFERROR(INDEX(02_INDICADORES!$B$2:$B$42,MATCH(E1605,02_INDICADORES!$A$2:$A$42,0)),"ID?"))</f>
        <v/>
      </c>
      <c r="G1605" s="21" t="str">
        <f aca="false">IF(E1605="","",IFERROR(INDEX(02_INDICADORES!$C$2:$C$42,MATCH(E1605,02_INDICADORES!$A$2:$A$42,0)),"ID?"))</f>
        <v/>
      </c>
      <c r="H1605" s="22" t="str">
        <f aca="false">IF(E1605="","",IFERROR(INDEX(02_INDICADORES!$D$2:$D$42,MATCH(E1605,02_INDICADORES!$A$2:$A$42,0)),""))</f>
        <v/>
      </c>
      <c r="I1605" s="9"/>
      <c r="J1605" s="16" t="str">
        <f aca="false">IF(OR(I1605="",H1605=""),"",I1605*H1605)</f>
        <v/>
      </c>
      <c r="K1605" s="9"/>
      <c r="L1605" s="9"/>
      <c r="M1605" s="9"/>
    </row>
    <row r="1606" customFormat="false" ht="15" hidden="false" customHeight="false" outlineLevel="0" collapsed="false">
      <c r="A1606" s="9"/>
      <c r="B1606" s="9"/>
      <c r="C1606" s="11"/>
      <c r="D1606" s="9"/>
      <c r="E1606" s="9"/>
      <c r="F1606" s="22" t="str">
        <f aca="false">IF(E1606="","",IFERROR(INDEX(02_INDICADORES!$B$2:$B$42,MATCH(E1606,02_INDICADORES!$A$2:$A$42,0)),"ID?"))</f>
        <v/>
      </c>
      <c r="G1606" s="21" t="str">
        <f aca="false">IF(E1606="","",IFERROR(INDEX(02_INDICADORES!$C$2:$C$42,MATCH(E1606,02_INDICADORES!$A$2:$A$42,0)),"ID?"))</f>
        <v/>
      </c>
      <c r="H1606" s="22" t="str">
        <f aca="false">IF(E1606="","",IFERROR(INDEX(02_INDICADORES!$D$2:$D$42,MATCH(E1606,02_INDICADORES!$A$2:$A$42,0)),""))</f>
        <v/>
      </c>
      <c r="I1606" s="9"/>
      <c r="J1606" s="16" t="str">
        <f aca="false">IF(OR(I1606="",H1606=""),"",I1606*H1606)</f>
        <v/>
      </c>
      <c r="K1606" s="9"/>
      <c r="L1606" s="9"/>
      <c r="M1606" s="9"/>
    </row>
    <row r="1607" customFormat="false" ht="15" hidden="false" customHeight="false" outlineLevel="0" collapsed="false">
      <c r="A1607" s="9"/>
      <c r="B1607" s="9"/>
      <c r="C1607" s="11"/>
      <c r="D1607" s="9"/>
      <c r="E1607" s="9"/>
      <c r="F1607" s="22" t="str">
        <f aca="false">IF(E1607="","",IFERROR(INDEX(02_INDICADORES!$B$2:$B$42,MATCH(E1607,02_INDICADORES!$A$2:$A$42,0)),"ID?"))</f>
        <v/>
      </c>
      <c r="G1607" s="21" t="str">
        <f aca="false">IF(E1607="","",IFERROR(INDEX(02_INDICADORES!$C$2:$C$42,MATCH(E1607,02_INDICADORES!$A$2:$A$42,0)),"ID?"))</f>
        <v/>
      </c>
      <c r="H1607" s="22" t="str">
        <f aca="false">IF(E1607="","",IFERROR(INDEX(02_INDICADORES!$D$2:$D$42,MATCH(E1607,02_INDICADORES!$A$2:$A$42,0)),""))</f>
        <v/>
      </c>
      <c r="I1607" s="9"/>
      <c r="J1607" s="16" t="str">
        <f aca="false">IF(OR(I1607="",H1607=""),"",I1607*H1607)</f>
        <v/>
      </c>
      <c r="K1607" s="9"/>
      <c r="L1607" s="9"/>
      <c r="M1607" s="9"/>
    </row>
    <row r="1608" customFormat="false" ht="15" hidden="false" customHeight="false" outlineLevel="0" collapsed="false">
      <c r="A1608" s="9"/>
      <c r="B1608" s="9"/>
      <c r="C1608" s="11"/>
      <c r="D1608" s="9"/>
      <c r="E1608" s="9"/>
      <c r="F1608" s="22" t="str">
        <f aca="false">IF(E1608="","",IFERROR(INDEX(02_INDICADORES!$B$2:$B$42,MATCH(E1608,02_INDICADORES!$A$2:$A$42,0)),"ID?"))</f>
        <v/>
      </c>
      <c r="G1608" s="21" t="str">
        <f aca="false">IF(E1608="","",IFERROR(INDEX(02_INDICADORES!$C$2:$C$42,MATCH(E1608,02_INDICADORES!$A$2:$A$42,0)),"ID?"))</f>
        <v/>
      </c>
      <c r="H1608" s="22" t="str">
        <f aca="false">IF(E1608="","",IFERROR(INDEX(02_INDICADORES!$D$2:$D$42,MATCH(E1608,02_INDICADORES!$A$2:$A$42,0)),""))</f>
        <v/>
      </c>
      <c r="I1608" s="9"/>
      <c r="J1608" s="16" t="str">
        <f aca="false">IF(OR(I1608="",H1608=""),"",I1608*H1608)</f>
        <v/>
      </c>
      <c r="K1608" s="9"/>
      <c r="L1608" s="9"/>
      <c r="M1608" s="9"/>
    </row>
    <row r="1609" customFormat="false" ht="15" hidden="false" customHeight="false" outlineLevel="0" collapsed="false">
      <c r="A1609" s="9"/>
      <c r="B1609" s="9"/>
      <c r="C1609" s="11"/>
      <c r="D1609" s="9"/>
      <c r="E1609" s="9"/>
      <c r="F1609" s="22" t="str">
        <f aca="false">IF(E1609="","",IFERROR(INDEX(02_INDICADORES!$B$2:$B$42,MATCH(E1609,02_INDICADORES!$A$2:$A$42,0)),"ID?"))</f>
        <v/>
      </c>
      <c r="G1609" s="21" t="str">
        <f aca="false">IF(E1609="","",IFERROR(INDEX(02_INDICADORES!$C$2:$C$42,MATCH(E1609,02_INDICADORES!$A$2:$A$42,0)),"ID?"))</f>
        <v/>
      </c>
      <c r="H1609" s="22" t="str">
        <f aca="false">IF(E1609="","",IFERROR(INDEX(02_INDICADORES!$D$2:$D$42,MATCH(E1609,02_INDICADORES!$A$2:$A$42,0)),""))</f>
        <v/>
      </c>
      <c r="I1609" s="9"/>
      <c r="J1609" s="16" t="str">
        <f aca="false">IF(OR(I1609="",H1609=""),"",I1609*H1609)</f>
        <v/>
      </c>
      <c r="K1609" s="9"/>
      <c r="L1609" s="9"/>
      <c r="M1609" s="9"/>
    </row>
    <row r="1610" customFormat="false" ht="15" hidden="false" customHeight="false" outlineLevel="0" collapsed="false">
      <c r="A1610" s="9"/>
      <c r="B1610" s="9"/>
      <c r="C1610" s="11"/>
      <c r="D1610" s="9"/>
      <c r="E1610" s="9"/>
      <c r="F1610" s="22" t="str">
        <f aca="false">IF(E1610="","",IFERROR(INDEX(02_INDICADORES!$B$2:$B$42,MATCH(E1610,02_INDICADORES!$A$2:$A$42,0)),"ID?"))</f>
        <v/>
      </c>
      <c r="G1610" s="21" t="str">
        <f aca="false">IF(E1610="","",IFERROR(INDEX(02_INDICADORES!$C$2:$C$42,MATCH(E1610,02_INDICADORES!$A$2:$A$42,0)),"ID?"))</f>
        <v/>
      </c>
      <c r="H1610" s="22" t="str">
        <f aca="false">IF(E1610="","",IFERROR(INDEX(02_INDICADORES!$D$2:$D$42,MATCH(E1610,02_INDICADORES!$A$2:$A$42,0)),""))</f>
        <v/>
      </c>
      <c r="I1610" s="9"/>
      <c r="J1610" s="16" t="str">
        <f aca="false">IF(OR(I1610="",H1610=""),"",I1610*H1610)</f>
        <v/>
      </c>
      <c r="K1610" s="9"/>
      <c r="L1610" s="9"/>
      <c r="M1610" s="9"/>
    </row>
    <row r="1611" customFormat="false" ht="15" hidden="false" customHeight="false" outlineLevel="0" collapsed="false">
      <c r="A1611" s="9"/>
      <c r="B1611" s="9"/>
      <c r="C1611" s="11"/>
      <c r="D1611" s="9"/>
      <c r="E1611" s="9"/>
      <c r="F1611" s="22" t="str">
        <f aca="false">IF(E1611="","",IFERROR(INDEX(02_INDICADORES!$B$2:$B$42,MATCH(E1611,02_INDICADORES!$A$2:$A$42,0)),"ID?"))</f>
        <v/>
      </c>
      <c r="G1611" s="21" t="str">
        <f aca="false">IF(E1611="","",IFERROR(INDEX(02_INDICADORES!$C$2:$C$42,MATCH(E1611,02_INDICADORES!$A$2:$A$42,0)),"ID?"))</f>
        <v/>
      </c>
      <c r="H1611" s="22" t="str">
        <f aca="false">IF(E1611="","",IFERROR(INDEX(02_INDICADORES!$D$2:$D$42,MATCH(E1611,02_INDICADORES!$A$2:$A$42,0)),""))</f>
        <v/>
      </c>
      <c r="I1611" s="9"/>
      <c r="J1611" s="16" t="str">
        <f aca="false">IF(OR(I1611="",H1611=""),"",I1611*H1611)</f>
        <v/>
      </c>
      <c r="K1611" s="9"/>
      <c r="L1611" s="9"/>
      <c r="M1611" s="9"/>
    </row>
    <row r="1612" customFormat="false" ht="15" hidden="false" customHeight="false" outlineLevel="0" collapsed="false">
      <c r="A1612" s="9"/>
      <c r="B1612" s="9"/>
      <c r="C1612" s="11"/>
      <c r="D1612" s="9"/>
      <c r="E1612" s="9"/>
      <c r="F1612" s="22" t="str">
        <f aca="false">IF(E1612="","",IFERROR(INDEX(02_INDICADORES!$B$2:$B$42,MATCH(E1612,02_INDICADORES!$A$2:$A$42,0)),"ID?"))</f>
        <v/>
      </c>
      <c r="G1612" s="21" t="str">
        <f aca="false">IF(E1612="","",IFERROR(INDEX(02_INDICADORES!$C$2:$C$42,MATCH(E1612,02_INDICADORES!$A$2:$A$42,0)),"ID?"))</f>
        <v/>
      </c>
      <c r="H1612" s="22" t="str">
        <f aca="false">IF(E1612="","",IFERROR(INDEX(02_INDICADORES!$D$2:$D$42,MATCH(E1612,02_INDICADORES!$A$2:$A$42,0)),""))</f>
        <v/>
      </c>
      <c r="I1612" s="9"/>
      <c r="J1612" s="16" t="str">
        <f aca="false">IF(OR(I1612="",H1612=""),"",I1612*H1612)</f>
        <v/>
      </c>
      <c r="K1612" s="9"/>
      <c r="L1612" s="9"/>
      <c r="M1612" s="9"/>
    </row>
    <row r="1613" customFormat="false" ht="15" hidden="false" customHeight="false" outlineLevel="0" collapsed="false">
      <c r="A1613" s="9"/>
      <c r="B1613" s="9"/>
      <c r="C1613" s="11"/>
      <c r="D1613" s="9"/>
      <c r="E1613" s="9"/>
      <c r="F1613" s="22" t="str">
        <f aca="false">IF(E1613="","",IFERROR(INDEX(02_INDICADORES!$B$2:$B$42,MATCH(E1613,02_INDICADORES!$A$2:$A$42,0)),"ID?"))</f>
        <v/>
      </c>
      <c r="G1613" s="21" t="str">
        <f aca="false">IF(E1613="","",IFERROR(INDEX(02_INDICADORES!$C$2:$C$42,MATCH(E1613,02_INDICADORES!$A$2:$A$42,0)),"ID?"))</f>
        <v/>
      </c>
      <c r="H1613" s="22" t="str">
        <f aca="false">IF(E1613="","",IFERROR(INDEX(02_INDICADORES!$D$2:$D$42,MATCH(E1613,02_INDICADORES!$A$2:$A$42,0)),""))</f>
        <v/>
      </c>
      <c r="I1613" s="9"/>
      <c r="J1613" s="16" t="str">
        <f aca="false">IF(OR(I1613="",H1613=""),"",I1613*H1613)</f>
        <v/>
      </c>
      <c r="K1613" s="9"/>
      <c r="L1613" s="9"/>
      <c r="M1613" s="9"/>
    </row>
    <row r="1614" customFormat="false" ht="15" hidden="false" customHeight="false" outlineLevel="0" collapsed="false">
      <c r="A1614" s="9"/>
      <c r="B1614" s="9"/>
      <c r="C1614" s="11"/>
      <c r="D1614" s="9"/>
      <c r="E1614" s="9"/>
      <c r="F1614" s="22" t="str">
        <f aca="false">IF(E1614="","",IFERROR(INDEX(02_INDICADORES!$B$2:$B$42,MATCH(E1614,02_INDICADORES!$A$2:$A$42,0)),"ID?"))</f>
        <v/>
      </c>
      <c r="G1614" s="21" t="str">
        <f aca="false">IF(E1614="","",IFERROR(INDEX(02_INDICADORES!$C$2:$C$42,MATCH(E1614,02_INDICADORES!$A$2:$A$42,0)),"ID?"))</f>
        <v/>
      </c>
      <c r="H1614" s="22" t="str">
        <f aca="false">IF(E1614="","",IFERROR(INDEX(02_INDICADORES!$D$2:$D$42,MATCH(E1614,02_INDICADORES!$A$2:$A$42,0)),""))</f>
        <v/>
      </c>
      <c r="I1614" s="9"/>
      <c r="J1614" s="16" t="str">
        <f aca="false">IF(OR(I1614="",H1614=""),"",I1614*H1614)</f>
        <v/>
      </c>
      <c r="K1614" s="9"/>
      <c r="L1614" s="9"/>
      <c r="M1614" s="9"/>
    </row>
    <row r="1615" customFormat="false" ht="15" hidden="false" customHeight="false" outlineLevel="0" collapsed="false">
      <c r="A1615" s="9"/>
      <c r="B1615" s="9"/>
      <c r="C1615" s="11"/>
      <c r="D1615" s="9"/>
      <c r="E1615" s="9"/>
      <c r="F1615" s="22" t="str">
        <f aca="false">IF(E1615="","",IFERROR(INDEX(02_INDICADORES!$B$2:$B$42,MATCH(E1615,02_INDICADORES!$A$2:$A$42,0)),"ID?"))</f>
        <v/>
      </c>
      <c r="G1615" s="21" t="str">
        <f aca="false">IF(E1615="","",IFERROR(INDEX(02_INDICADORES!$C$2:$C$42,MATCH(E1615,02_INDICADORES!$A$2:$A$42,0)),"ID?"))</f>
        <v/>
      </c>
      <c r="H1615" s="22" t="str">
        <f aca="false">IF(E1615="","",IFERROR(INDEX(02_INDICADORES!$D$2:$D$42,MATCH(E1615,02_INDICADORES!$A$2:$A$42,0)),""))</f>
        <v/>
      </c>
      <c r="I1615" s="9"/>
      <c r="J1615" s="16" t="str">
        <f aca="false">IF(OR(I1615="",H1615=""),"",I1615*H1615)</f>
        <v/>
      </c>
      <c r="K1615" s="9"/>
      <c r="L1615" s="9"/>
      <c r="M1615" s="9"/>
    </row>
    <row r="1616" customFormat="false" ht="15" hidden="false" customHeight="false" outlineLevel="0" collapsed="false">
      <c r="A1616" s="9"/>
      <c r="B1616" s="9"/>
      <c r="C1616" s="11"/>
      <c r="D1616" s="9"/>
      <c r="E1616" s="9"/>
      <c r="F1616" s="22" t="str">
        <f aca="false">IF(E1616="","",IFERROR(INDEX(02_INDICADORES!$B$2:$B$42,MATCH(E1616,02_INDICADORES!$A$2:$A$42,0)),"ID?"))</f>
        <v/>
      </c>
      <c r="G1616" s="21" t="str">
        <f aca="false">IF(E1616="","",IFERROR(INDEX(02_INDICADORES!$C$2:$C$42,MATCH(E1616,02_INDICADORES!$A$2:$A$42,0)),"ID?"))</f>
        <v/>
      </c>
      <c r="H1616" s="22" t="str">
        <f aca="false">IF(E1616="","",IFERROR(INDEX(02_INDICADORES!$D$2:$D$42,MATCH(E1616,02_INDICADORES!$A$2:$A$42,0)),""))</f>
        <v/>
      </c>
      <c r="I1616" s="9"/>
      <c r="J1616" s="16" t="str">
        <f aca="false">IF(OR(I1616="",H1616=""),"",I1616*H1616)</f>
        <v/>
      </c>
      <c r="K1616" s="9"/>
      <c r="L1616" s="9"/>
      <c r="M1616" s="9"/>
    </row>
    <row r="1617" customFormat="false" ht="15" hidden="false" customHeight="false" outlineLevel="0" collapsed="false">
      <c r="A1617" s="9"/>
      <c r="B1617" s="9"/>
      <c r="C1617" s="11"/>
      <c r="D1617" s="9"/>
      <c r="E1617" s="9"/>
      <c r="F1617" s="22" t="str">
        <f aca="false">IF(E1617="","",IFERROR(INDEX(02_INDICADORES!$B$2:$B$42,MATCH(E1617,02_INDICADORES!$A$2:$A$42,0)),"ID?"))</f>
        <v/>
      </c>
      <c r="G1617" s="21" t="str">
        <f aca="false">IF(E1617="","",IFERROR(INDEX(02_INDICADORES!$C$2:$C$42,MATCH(E1617,02_INDICADORES!$A$2:$A$42,0)),"ID?"))</f>
        <v/>
      </c>
      <c r="H1617" s="22" t="str">
        <f aca="false">IF(E1617="","",IFERROR(INDEX(02_INDICADORES!$D$2:$D$42,MATCH(E1617,02_INDICADORES!$A$2:$A$42,0)),""))</f>
        <v/>
      </c>
      <c r="I1617" s="9"/>
      <c r="J1617" s="16" t="str">
        <f aca="false">IF(OR(I1617="",H1617=""),"",I1617*H1617)</f>
        <v/>
      </c>
      <c r="K1617" s="9"/>
      <c r="L1617" s="9"/>
      <c r="M1617" s="9"/>
    </row>
    <row r="1618" customFormat="false" ht="15" hidden="false" customHeight="false" outlineLevel="0" collapsed="false">
      <c r="A1618" s="9"/>
      <c r="B1618" s="9"/>
      <c r="C1618" s="11"/>
      <c r="D1618" s="9"/>
      <c r="E1618" s="9"/>
      <c r="F1618" s="22" t="str">
        <f aca="false">IF(E1618="","",IFERROR(INDEX(02_INDICADORES!$B$2:$B$42,MATCH(E1618,02_INDICADORES!$A$2:$A$42,0)),"ID?"))</f>
        <v/>
      </c>
      <c r="G1618" s="21" t="str">
        <f aca="false">IF(E1618="","",IFERROR(INDEX(02_INDICADORES!$C$2:$C$42,MATCH(E1618,02_INDICADORES!$A$2:$A$42,0)),"ID?"))</f>
        <v/>
      </c>
      <c r="H1618" s="22" t="str">
        <f aca="false">IF(E1618="","",IFERROR(INDEX(02_INDICADORES!$D$2:$D$42,MATCH(E1618,02_INDICADORES!$A$2:$A$42,0)),""))</f>
        <v/>
      </c>
      <c r="I1618" s="9"/>
      <c r="J1618" s="16" t="str">
        <f aca="false">IF(OR(I1618="",H1618=""),"",I1618*H1618)</f>
        <v/>
      </c>
      <c r="K1618" s="9"/>
      <c r="L1618" s="9"/>
      <c r="M1618" s="9"/>
    </row>
    <row r="1619" customFormat="false" ht="15" hidden="false" customHeight="false" outlineLevel="0" collapsed="false">
      <c r="A1619" s="9"/>
      <c r="B1619" s="9"/>
      <c r="C1619" s="11"/>
      <c r="D1619" s="9"/>
      <c r="E1619" s="9"/>
      <c r="F1619" s="22" t="str">
        <f aca="false">IF(E1619="","",IFERROR(INDEX(02_INDICADORES!$B$2:$B$42,MATCH(E1619,02_INDICADORES!$A$2:$A$42,0)),"ID?"))</f>
        <v/>
      </c>
      <c r="G1619" s="21" t="str">
        <f aca="false">IF(E1619="","",IFERROR(INDEX(02_INDICADORES!$C$2:$C$42,MATCH(E1619,02_INDICADORES!$A$2:$A$42,0)),"ID?"))</f>
        <v/>
      </c>
      <c r="H1619" s="22" t="str">
        <f aca="false">IF(E1619="","",IFERROR(INDEX(02_INDICADORES!$D$2:$D$42,MATCH(E1619,02_INDICADORES!$A$2:$A$42,0)),""))</f>
        <v/>
      </c>
      <c r="I1619" s="9"/>
      <c r="J1619" s="16" t="str">
        <f aca="false">IF(OR(I1619="",H1619=""),"",I1619*H1619)</f>
        <v/>
      </c>
      <c r="K1619" s="9"/>
      <c r="L1619" s="9"/>
      <c r="M1619" s="9"/>
    </row>
    <row r="1620" customFormat="false" ht="15" hidden="false" customHeight="false" outlineLevel="0" collapsed="false">
      <c r="A1620" s="9"/>
      <c r="B1620" s="9"/>
      <c r="C1620" s="11"/>
      <c r="D1620" s="9"/>
      <c r="E1620" s="9"/>
      <c r="F1620" s="22" t="str">
        <f aca="false">IF(E1620="","",IFERROR(INDEX(02_INDICADORES!$B$2:$B$42,MATCH(E1620,02_INDICADORES!$A$2:$A$42,0)),"ID?"))</f>
        <v/>
      </c>
      <c r="G1620" s="21" t="str">
        <f aca="false">IF(E1620="","",IFERROR(INDEX(02_INDICADORES!$C$2:$C$42,MATCH(E1620,02_INDICADORES!$A$2:$A$42,0)),"ID?"))</f>
        <v/>
      </c>
      <c r="H1620" s="22" t="str">
        <f aca="false">IF(E1620="","",IFERROR(INDEX(02_INDICADORES!$D$2:$D$42,MATCH(E1620,02_INDICADORES!$A$2:$A$42,0)),""))</f>
        <v/>
      </c>
      <c r="I1620" s="9"/>
      <c r="J1620" s="16" t="str">
        <f aca="false">IF(OR(I1620="",H1620=""),"",I1620*H1620)</f>
        <v/>
      </c>
      <c r="K1620" s="9"/>
      <c r="L1620" s="9"/>
      <c r="M1620" s="9"/>
    </row>
    <row r="1621" customFormat="false" ht="15" hidden="false" customHeight="false" outlineLevel="0" collapsed="false">
      <c r="A1621" s="9"/>
      <c r="B1621" s="9"/>
      <c r="C1621" s="11"/>
      <c r="D1621" s="9"/>
      <c r="E1621" s="9"/>
      <c r="F1621" s="22" t="str">
        <f aca="false">IF(E1621="","",IFERROR(INDEX(02_INDICADORES!$B$2:$B$42,MATCH(E1621,02_INDICADORES!$A$2:$A$42,0)),"ID?"))</f>
        <v/>
      </c>
      <c r="G1621" s="21" t="str">
        <f aca="false">IF(E1621="","",IFERROR(INDEX(02_INDICADORES!$C$2:$C$42,MATCH(E1621,02_INDICADORES!$A$2:$A$42,0)),"ID?"))</f>
        <v/>
      </c>
      <c r="H1621" s="22" t="str">
        <f aca="false">IF(E1621="","",IFERROR(INDEX(02_INDICADORES!$D$2:$D$42,MATCH(E1621,02_INDICADORES!$A$2:$A$42,0)),""))</f>
        <v/>
      </c>
      <c r="I1621" s="9"/>
      <c r="J1621" s="16" t="str">
        <f aca="false">IF(OR(I1621="",H1621=""),"",I1621*H1621)</f>
        <v/>
      </c>
      <c r="K1621" s="9"/>
      <c r="L1621" s="9"/>
      <c r="M1621" s="9"/>
    </row>
    <row r="1622" customFormat="false" ht="15" hidden="false" customHeight="false" outlineLevel="0" collapsed="false">
      <c r="A1622" s="9"/>
      <c r="B1622" s="9"/>
      <c r="C1622" s="11"/>
      <c r="D1622" s="9"/>
      <c r="E1622" s="9"/>
      <c r="F1622" s="22" t="str">
        <f aca="false">IF(E1622="","",IFERROR(INDEX(02_INDICADORES!$B$2:$B$42,MATCH(E1622,02_INDICADORES!$A$2:$A$42,0)),"ID?"))</f>
        <v/>
      </c>
      <c r="G1622" s="21" t="str">
        <f aca="false">IF(E1622="","",IFERROR(INDEX(02_INDICADORES!$C$2:$C$42,MATCH(E1622,02_INDICADORES!$A$2:$A$42,0)),"ID?"))</f>
        <v/>
      </c>
      <c r="H1622" s="22" t="str">
        <f aca="false">IF(E1622="","",IFERROR(INDEX(02_INDICADORES!$D$2:$D$42,MATCH(E1622,02_INDICADORES!$A$2:$A$42,0)),""))</f>
        <v/>
      </c>
      <c r="I1622" s="9"/>
      <c r="J1622" s="16" t="str">
        <f aca="false">IF(OR(I1622="",H1622=""),"",I1622*H1622)</f>
        <v/>
      </c>
      <c r="K1622" s="9"/>
      <c r="L1622" s="9"/>
      <c r="M1622" s="9"/>
    </row>
    <row r="1623" customFormat="false" ht="15" hidden="false" customHeight="false" outlineLevel="0" collapsed="false">
      <c r="A1623" s="9"/>
      <c r="B1623" s="9"/>
      <c r="C1623" s="11"/>
      <c r="D1623" s="9"/>
      <c r="E1623" s="9"/>
      <c r="F1623" s="22" t="str">
        <f aca="false">IF(E1623="","",IFERROR(INDEX(02_INDICADORES!$B$2:$B$42,MATCH(E1623,02_INDICADORES!$A$2:$A$42,0)),"ID?"))</f>
        <v/>
      </c>
      <c r="G1623" s="21" t="str">
        <f aca="false">IF(E1623="","",IFERROR(INDEX(02_INDICADORES!$C$2:$C$42,MATCH(E1623,02_INDICADORES!$A$2:$A$42,0)),"ID?"))</f>
        <v/>
      </c>
      <c r="H1623" s="22" t="str">
        <f aca="false">IF(E1623="","",IFERROR(INDEX(02_INDICADORES!$D$2:$D$42,MATCH(E1623,02_INDICADORES!$A$2:$A$42,0)),""))</f>
        <v/>
      </c>
      <c r="I1623" s="9"/>
      <c r="J1623" s="16" t="str">
        <f aca="false">IF(OR(I1623="",H1623=""),"",I1623*H1623)</f>
        <v/>
      </c>
      <c r="K1623" s="9"/>
      <c r="L1623" s="9"/>
      <c r="M1623" s="9"/>
    </row>
    <row r="1624" customFormat="false" ht="15" hidden="false" customHeight="false" outlineLevel="0" collapsed="false">
      <c r="A1624" s="9"/>
      <c r="B1624" s="9"/>
      <c r="C1624" s="11"/>
      <c r="D1624" s="9"/>
      <c r="E1624" s="9"/>
      <c r="F1624" s="22" t="str">
        <f aca="false">IF(E1624="","",IFERROR(INDEX(02_INDICADORES!$B$2:$B$42,MATCH(E1624,02_INDICADORES!$A$2:$A$42,0)),"ID?"))</f>
        <v/>
      </c>
      <c r="G1624" s="21" t="str">
        <f aca="false">IF(E1624="","",IFERROR(INDEX(02_INDICADORES!$C$2:$C$42,MATCH(E1624,02_INDICADORES!$A$2:$A$42,0)),"ID?"))</f>
        <v/>
      </c>
      <c r="H1624" s="22" t="str">
        <f aca="false">IF(E1624="","",IFERROR(INDEX(02_INDICADORES!$D$2:$D$42,MATCH(E1624,02_INDICADORES!$A$2:$A$42,0)),""))</f>
        <v/>
      </c>
      <c r="I1624" s="9"/>
      <c r="J1624" s="16" t="str">
        <f aca="false">IF(OR(I1624="",H1624=""),"",I1624*H1624)</f>
        <v/>
      </c>
      <c r="K1624" s="9"/>
      <c r="L1624" s="9"/>
      <c r="M1624" s="9"/>
    </row>
    <row r="1625" customFormat="false" ht="15" hidden="false" customHeight="false" outlineLevel="0" collapsed="false">
      <c r="A1625" s="9"/>
      <c r="B1625" s="9"/>
      <c r="C1625" s="11"/>
      <c r="D1625" s="9"/>
      <c r="E1625" s="9"/>
      <c r="F1625" s="22" t="str">
        <f aca="false">IF(E1625="","",IFERROR(INDEX(02_INDICADORES!$B$2:$B$42,MATCH(E1625,02_INDICADORES!$A$2:$A$42,0)),"ID?"))</f>
        <v/>
      </c>
      <c r="G1625" s="21" t="str">
        <f aca="false">IF(E1625="","",IFERROR(INDEX(02_INDICADORES!$C$2:$C$42,MATCH(E1625,02_INDICADORES!$A$2:$A$42,0)),"ID?"))</f>
        <v/>
      </c>
      <c r="H1625" s="22" t="str">
        <f aca="false">IF(E1625="","",IFERROR(INDEX(02_INDICADORES!$D$2:$D$42,MATCH(E1625,02_INDICADORES!$A$2:$A$42,0)),""))</f>
        <v/>
      </c>
      <c r="I1625" s="9"/>
      <c r="J1625" s="16" t="str">
        <f aca="false">IF(OR(I1625="",H1625=""),"",I1625*H1625)</f>
        <v/>
      </c>
      <c r="K1625" s="9"/>
      <c r="L1625" s="9"/>
      <c r="M1625" s="9"/>
    </row>
    <row r="1626" customFormat="false" ht="15" hidden="false" customHeight="false" outlineLevel="0" collapsed="false">
      <c r="A1626" s="9"/>
      <c r="B1626" s="9"/>
      <c r="C1626" s="11"/>
      <c r="D1626" s="9"/>
      <c r="E1626" s="9"/>
      <c r="F1626" s="22" t="str">
        <f aca="false">IF(E1626="","",IFERROR(INDEX(02_INDICADORES!$B$2:$B$42,MATCH(E1626,02_INDICADORES!$A$2:$A$42,0)),"ID?"))</f>
        <v/>
      </c>
      <c r="G1626" s="21" t="str">
        <f aca="false">IF(E1626="","",IFERROR(INDEX(02_INDICADORES!$C$2:$C$42,MATCH(E1626,02_INDICADORES!$A$2:$A$42,0)),"ID?"))</f>
        <v/>
      </c>
      <c r="H1626" s="22" t="str">
        <f aca="false">IF(E1626="","",IFERROR(INDEX(02_INDICADORES!$D$2:$D$42,MATCH(E1626,02_INDICADORES!$A$2:$A$42,0)),""))</f>
        <v/>
      </c>
      <c r="I1626" s="9"/>
      <c r="J1626" s="16" t="str">
        <f aca="false">IF(OR(I1626="",H1626=""),"",I1626*H1626)</f>
        <v/>
      </c>
      <c r="K1626" s="9"/>
      <c r="L1626" s="9"/>
      <c r="M1626" s="9"/>
    </row>
    <row r="1627" customFormat="false" ht="15" hidden="false" customHeight="false" outlineLevel="0" collapsed="false">
      <c r="A1627" s="9"/>
      <c r="B1627" s="9"/>
      <c r="C1627" s="11"/>
      <c r="D1627" s="9"/>
      <c r="E1627" s="9"/>
      <c r="F1627" s="22" t="str">
        <f aca="false">IF(E1627="","",IFERROR(INDEX(02_INDICADORES!$B$2:$B$42,MATCH(E1627,02_INDICADORES!$A$2:$A$42,0)),"ID?"))</f>
        <v/>
      </c>
      <c r="G1627" s="21" t="str">
        <f aca="false">IF(E1627="","",IFERROR(INDEX(02_INDICADORES!$C$2:$C$42,MATCH(E1627,02_INDICADORES!$A$2:$A$42,0)),"ID?"))</f>
        <v/>
      </c>
      <c r="H1627" s="22" t="str">
        <f aca="false">IF(E1627="","",IFERROR(INDEX(02_INDICADORES!$D$2:$D$42,MATCH(E1627,02_INDICADORES!$A$2:$A$42,0)),""))</f>
        <v/>
      </c>
      <c r="I1627" s="9"/>
      <c r="J1627" s="16" t="str">
        <f aca="false">IF(OR(I1627="",H1627=""),"",I1627*H1627)</f>
        <v/>
      </c>
      <c r="K1627" s="9"/>
      <c r="L1627" s="9"/>
      <c r="M1627" s="9"/>
    </row>
    <row r="1628" customFormat="false" ht="15" hidden="false" customHeight="false" outlineLevel="0" collapsed="false">
      <c r="A1628" s="9"/>
      <c r="B1628" s="9"/>
      <c r="C1628" s="11"/>
      <c r="D1628" s="9"/>
      <c r="E1628" s="9"/>
      <c r="F1628" s="22" t="str">
        <f aca="false">IF(E1628="","",IFERROR(INDEX(02_INDICADORES!$B$2:$B$42,MATCH(E1628,02_INDICADORES!$A$2:$A$42,0)),"ID?"))</f>
        <v/>
      </c>
      <c r="G1628" s="21" t="str">
        <f aca="false">IF(E1628="","",IFERROR(INDEX(02_INDICADORES!$C$2:$C$42,MATCH(E1628,02_INDICADORES!$A$2:$A$42,0)),"ID?"))</f>
        <v/>
      </c>
      <c r="H1628" s="22" t="str">
        <f aca="false">IF(E1628="","",IFERROR(INDEX(02_INDICADORES!$D$2:$D$42,MATCH(E1628,02_INDICADORES!$A$2:$A$42,0)),""))</f>
        <v/>
      </c>
      <c r="I1628" s="9"/>
      <c r="J1628" s="16" t="str">
        <f aca="false">IF(OR(I1628="",H1628=""),"",I1628*H1628)</f>
        <v/>
      </c>
      <c r="K1628" s="9"/>
      <c r="L1628" s="9"/>
      <c r="M1628" s="9"/>
    </row>
    <row r="1629" customFormat="false" ht="15" hidden="false" customHeight="false" outlineLevel="0" collapsed="false">
      <c r="A1629" s="9"/>
      <c r="B1629" s="9"/>
      <c r="C1629" s="11"/>
      <c r="D1629" s="9"/>
      <c r="E1629" s="9"/>
      <c r="F1629" s="22" t="str">
        <f aca="false">IF(E1629="","",IFERROR(INDEX(02_INDICADORES!$B$2:$B$42,MATCH(E1629,02_INDICADORES!$A$2:$A$42,0)),"ID?"))</f>
        <v/>
      </c>
      <c r="G1629" s="21" t="str">
        <f aca="false">IF(E1629="","",IFERROR(INDEX(02_INDICADORES!$C$2:$C$42,MATCH(E1629,02_INDICADORES!$A$2:$A$42,0)),"ID?"))</f>
        <v/>
      </c>
      <c r="H1629" s="22" t="str">
        <f aca="false">IF(E1629="","",IFERROR(INDEX(02_INDICADORES!$D$2:$D$42,MATCH(E1629,02_INDICADORES!$A$2:$A$42,0)),""))</f>
        <v/>
      </c>
      <c r="I1629" s="9"/>
      <c r="J1629" s="16" t="str">
        <f aca="false">IF(OR(I1629="",H1629=""),"",I1629*H1629)</f>
        <v/>
      </c>
      <c r="K1629" s="9"/>
      <c r="L1629" s="9"/>
      <c r="M1629" s="9"/>
    </row>
    <row r="1630" customFormat="false" ht="15" hidden="false" customHeight="false" outlineLevel="0" collapsed="false">
      <c r="A1630" s="9"/>
      <c r="B1630" s="9"/>
      <c r="C1630" s="11"/>
      <c r="D1630" s="9"/>
      <c r="E1630" s="9"/>
      <c r="F1630" s="22" t="str">
        <f aca="false">IF(E1630="","",IFERROR(INDEX(02_INDICADORES!$B$2:$B$42,MATCH(E1630,02_INDICADORES!$A$2:$A$42,0)),"ID?"))</f>
        <v/>
      </c>
      <c r="G1630" s="21" t="str">
        <f aca="false">IF(E1630="","",IFERROR(INDEX(02_INDICADORES!$C$2:$C$42,MATCH(E1630,02_INDICADORES!$A$2:$A$42,0)),"ID?"))</f>
        <v/>
      </c>
      <c r="H1630" s="22" t="str">
        <f aca="false">IF(E1630="","",IFERROR(INDEX(02_INDICADORES!$D$2:$D$42,MATCH(E1630,02_INDICADORES!$A$2:$A$42,0)),""))</f>
        <v/>
      </c>
      <c r="I1630" s="9"/>
      <c r="J1630" s="16" t="str">
        <f aca="false">IF(OR(I1630="",H1630=""),"",I1630*H1630)</f>
        <v/>
      </c>
      <c r="K1630" s="9"/>
      <c r="L1630" s="9"/>
      <c r="M1630" s="9"/>
    </row>
    <row r="1631" customFormat="false" ht="15" hidden="false" customHeight="false" outlineLevel="0" collapsed="false">
      <c r="A1631" s="9"/>
      <c r="B1631" s="9"/>
      <c r="C1631" s="11"/>
      <c r="D1631" s="9"/>
      <c r="E1631" s="9"/>
      <c r="F1631" s="22" t="str">
        <f aca="false">IF(E1631="","",IFERROR(INDEX(02_INDICADORES!$B$2:$B$42,MATCH(E1631,02_INDICADORES!$A$2:$A$42,0)),"ID?"))</f>
        <v/>
      </c>
      <c r="G1631" s="21" t="str">
        <f aca="false">IF(E1631="","",IFERROR(INDEX(02_INDICADORES!$C$2:$C$42,MATCH(E1631,02_INDICADORES!$A$2:$A$42,0)),"ID?"))</f>
        <v/>
      </c>
      <c r="H1631" s="22" t="str">
        <f aca="false">IF(E1631="","",IFERROR(INDEX(02_INDICADORES!$D$2:$D$42,MATCH(E1631,02_INDICADORES!$A$2:$A$42,0)),""))</f>
        <v/>
      </c>
      <c r="I1631" s="9"/>
      <c r="J1631" s="16" t="str">
        <f aca="false">IF(OR(I1631="",H1631=""),"",I1631*H1631)</f>
        <v/>
      </c>
      <c r="K1631" s="9"/>
      <c r="L1631" s="9"/>
      <c r="M1631" s="9"/>
    </row>
    <row r="1632" customFormat="false" ht="15" hidden="false" customHeight="false" outlineLevel="0" collapsed="false">
      <c r="A1632" s="9"/>
      <c r="B1632" s="9"/>
      <c r="C1632" s="11"/>
      <c r="D1632" s="9"/>
      <c r="E1632" s="9"/>
      <c r="F1632" s="22" t="str">
        <f aca="false">IF(E1632="","",IFERROR(INDEX(02_INDICADORES!$B$2:$B$42,MATCH(E1632,02_INDICADORES!$A$2:$A$42,0)),"ID?"))</f>
        <v/>
      </c>
      <c r="G1632" s="21" t="str">
        <f aca="false">IF(E1632="","",IFERROR(INDEX(02_INDICADORES!$C$2:$C$42,MATCH(E1632,02_INDICADORES!$A$2:$A$42,0)),"ID?"))</f>
        <v/>
      </c>
      <c r="H1632" s="22" t="str">
        <f aca="false">IF(E1632="","",IFERROR(INDEX(02_INDICADORES!$D$2:$D$42,MATCH(E1632,02_INDICADORES!$A$2:$A$42,0)),""))</f>
        <v/>
      </c>
      <c r="I1632" s="9"/>
      <c r="J1632" s="16" t="str">
        <f aca="false">IF(OR(I1632="",H1632=""),"",I1632*H1632)</f>
        <v/>
      </c>
      <c r="K1632" s="9"/>
      <c r="L1632" s="9"/>
      <c r="M1632" s="9"/>
    </row>
    <row r="1633" customFormat="false" ht="15" hidden="false" customHeight="false" outlineLevel="0" collapsed="false">
      <c r="A1633" s="9"/>
      <c r="B1633" s="9"/>
      <c r="C1633" s="11"/>
      <c r="D1633" s="9"/>
      <c r="E1633" s="9"/>
      <c r="F1633" s="22" t="str">
        <f aca="false">IF(E1633="","",IFERROR(INDEX(02_INDICADORES!$B$2:$B$42,MATCH(E1633,02_INDICADORES!$A$2:$A$42,0)),"ID?"))</f>
        <v/>
      </c>
      <c r="G1633" s="21" t="str">
        <f aca="false">IF(E1633="","",IFERROR(INDEX(02_INDICADORES!$C$2:$C$42,MATCH(E1633,02_INDICADORES!$A$2:$A$42,0)),"ID?"))</f>
        <v/>
      </c>
      <c r="H1633" s="22" t="str">
        <f aca="false">IF(E1633="","",IFERROR(INDEX(02_INDICADORES!$D$2:$D$42,MATCH(E1633,02_INDICADORES!$A$2:$A$42,0)),""))</f>
        <v/>
      </c>
      <c r="I1633" s="9"/>
      <c r="J1633" s="16" t="str">
        <f aca="false">IF(OR(I1633="",H1633=""),"",I1633*H1633)</f>
        <v/>
      </c>
      <c r="K1633" s="9"/>
      <c r="L1633" s="9"/>
      <c r="M1633" s="9"/>
    </row>
    <row r="1634" customFormat="false" ht="15" hidden="false" customHeight="false" outlineLevel="0" collapsed="false">
      <c r="A1634" s="9"/>
      <c r="B1634" s="9"/>
      <c r="C1634" s="11"/>
      <c r="D1634" s="9"/>
      <c r="E1634" s="9"/>
      <c r="F1634" s="22" t="str">
        <f aca="false">IF(E1634="","",IFERROR(INDEX(02_INDICADORES!$B$2:$B$42,MATCH(E1634,02_INDICADORES!$A$2:$A$42,0)),"ID?"))</f>
        <v/>
      </c>
      <c r="G1634" s="21" t="str">
        <f aca="false">IF(E1634="","",IFERROR(INDEX(02_INDICADORES!$C$2:$C$42,MATCH(E1634,02_INDICADORES!$A$2:$A$42,0)),"ID?"))</f>
        <v/>
      </c>
      <c r="H1634" s="22" t="str">
        <f aca="false">IF(E1634="","",IFERROR(INDEX(02_INDICADORES!$D$2:$D$42,MATCH(E1634,02_INDICADORES!$A$2:$A$42,0)),""))</f>
        <v/>
      </c>
      <c r="I1634" s="9"/>
      <c r="J1634" s="16" t="str">
        <f aca="false">IF(OR(I1634="",H1634=""),"",I1634*H1634)</f>
        <v/>
      </c>
      <c r="K1634" s="9"/>
      <c r="L1634" s="9"/>
      <c r="M1634" s="9"/>
    </row>
    <row r="1635" customFormat="false" ht="15" hidden="false" customHeight="false" outlineLevel="0" collapsed="false">
      <c r="A1635" s="9"/>
      <c r="B1635" s="9"/>
      <c r="C1635" s="11"/>
      <c r="D1635" s="9"/>
      <c r="E1635" s="9"/>
      <c r="F1635" s="22" t="str">
        <f aca="false">IF(E1635="","",IFERROR(INDEX(02_INDICADORES!$B$2:$B$42,MATCH(E1635,02_INDICADORES!$A$2:$A$42,0)),"ID?"))</f>
        <v/>
      </c>
      <c r="G1635" s="21" t="str">
        <f aca="false">IF(E1635="","",IFERROR(INDEX(02_INDICADORES!$C$2:$C$42,MATCH(E1635,02_INDICADORES!$A$2:$A$42,0)),"ID?"))</f>
        <v/>
      </c>
      <c r="H1635" s="22" t="str">
        <f aca="false">IF(E1635="","",IFERROR(INDEX(02_INDICADORES!$D$2:$D$42,MATCH(E1635,02_INDICADORES!$A$2:$A$42,0)),""))</f>
        <v/>
      </c>
      <c r="I1635" s="9"/>
      <c r="J1635" s="16" t="str">
        <f aca="false">IF(OR(I1635="",H1635=""),"",I1635*H1635)</f>
        <v/>
      </c>
      <c r="K1635" s="9"/>
      <c r="L1635" s="9"/>
      <c r="M1635" s="9"/>
    </row>
    <row r="1636" customFormat="false" ht="15" hidden="false" customHeight="false" outlineLevel="0" collapsed="false">
      <c r="A1636" s="9"/>
      <c r="B1636" s="9"/>
      <c r="C1636" s="11"/>
      <c r="D1636" s="9"/>
      <c r="E1636" s="9"/>
      <c r="F1636" s="22" t="str">
        <f aca="false">IF(E1636="","",IFERROR(INDEX(02_INDICADORES!$B$2:$B$42,MATCH(E1636,02_INDICADORES!$A$2:$A$42,0)),"ID?"))</f>
        <v/>
      </c>
      <c r="G1636" s="21" t="str">
        <f aca="false">IF(E1636="","",IFERROR(INDEX(02_INDICADORES!$C$2:$C$42,MATCH(E1636,02_INDICADORES!$A$2:$A$42,0)),"ID?"))</f>
        <v/>
      </c>
      <c r="H1636" s="22" t="str">
        <f aca="false">IF(E1636="","",IFERROR(INDEX(02_INDICADORES!$D$2:$D$42,MATCH(E1636,02_INDICADORES!$A$2:$A$42,0)),""))</f>
        <v/>
      </c>
      <c r="I1636" s="9"/>
      <c r="J1636" s="16" t="str">
        <f aca="false">IF(OR(I1636="",H1636=""),"",I1636*H1636)</f>
        <v/>
      </c>
      <c r="K1636" s="9"/>
      <c r="L1636" s="9"/>
      <c r="M1636" s="9"/>
    </row>
    <row r="1637" customFormat="false" ht="15" hidden="false" customHeight="false" outlineLevel="0" collapsed="false">
      <c r="A1637" s="9"/>
      <c r="B1637" s="9"/>
      <c r="C1637" s="11"/>
      <c r="D1637" s="9"/>
      <c r="E1637" s="9"/>
      <c r="F1637" s="22" t="str">
        <f aca="false">IF(E1637="","",IFERROR(INDEX(02_INDICADORES!$B$2:$B$42,MATCH(E1637,02_INDICADORES!$A$2:$A$42,0)),"ID?"))</f>
        <v/>
      </c>
      <c r="G1637" s="21" t="str">
        <f aca="false">IF(E1637="","",IFERROR(INDEX(02_INDICADORES!$C$2:$C$42,MATCH(E1637,02_INDICADORES!$A$2:$A$42,0)),"ID?"))</f>
        <v/>
      </c>
      <c r="H1637" s="22" t="str">
        <f aca="false">IF(E1637="","",IFERROR(INDEX(02_INDICADORES!$D$2:$D$42,MATCH(E1637,02_INDICADORES!$A$2:$A$42,0)),""))</f>
        <v/>
      </c>
      <c r="I1637" s="9"/>
      <c r="J1637" s="16" t="str">
        <f aca="false">IF(OR(I1637="",H1637=""),"",I1637*H1637)</f>
        <v/>
      </c>
      <c r="K1637" s="9"/>
      <c r="L1637" s="9"/>
      <c r="M1637" s="9"/>
    </row>
    <row r="1638" customFormat="false" ht="15" hidden="false" customHeight="false" outlineLevel="0" collapsed="false">
      <c r="A1638" s="9"/>
      <c r="B1638" s="9"/>
      <c r="C1638" s="11"/>
      <c r="D1638" s="9"/>
      <c r="E1638" s="9"/>
      <c r="F1638" s="22" t="str">
        <f aca="false">IF(E1638="","",IFERROR(INDEX(02_INDICADORES!$B$2:$B$42,MATCH(E1638,02_INDICADORES!$A$2:$A$42,0)),"ID?"))</f>
        <v/>
      </c>
      <c r="G1638" s="21" t="str">
        <f aca="false">IF(E1638="","",IFERROR(INDEX(02_INDICADORES!$C$2:$C$42,MATCH(E1638,02_INDICADORES!$A$2:$A$42,0)),"ID?"))</f>
        <v/>
      </c>
      <c r="H1638" s="22" t="str">
        <f aca="false">IF(E1638="","",IFERROR(INDEX(02_INDICADORES!$D$2:$D$42,MATCH(E1638,02_INDICADORES!$A$2:$A$42,0)),""))</f>
        <v/>
      </c>
      <c r="I1638" s="9"/>
      <c r="J1638" s="16" t="str">
        <f aca="false">IF(OR(I1638="",H1638=""),"",I1638*H1638)</f>
        <v/>
      </c>
      <c r="K1638" s="9"/>
      <c r="L1638" s="9"/>
      <c r="M1638" s="9"/>
    </row>
    <row r="1639" customFormat="false" ht="15" hidden="false" customHeight="false" outlineLevel="0" collapsed="false">
      <c r="A1639" s="9"/>
      <c r="B1639" s="9"/>
      <c r="C1639" s="11"/>
      <c r="D1639" s="9"/>
      <c r="E1639" s="9"/>
      <c r="F1639" s="22" t="str">
        <f aca="false">IF(E1639="","",IFERROR(INDEX(02_INDICADORES!$B$2:$B$42,MATCH(E1639,02_INDICADORES!$A$2:$A$42,0)),"ID?"))</f>
        <v/>
      </c>
      <c r="G1639" s="21" t="str">
        <f aca="false">IF(E1639="","",IFERROR(INDEX(02_INDICADORES!$C$2:$C$42,MATCH(E1639,02_INDICADORES!$A$2:$A$42,0)),"ID?"))</f>
        <v/>
      </c>
      <c r="H1639" s="22" t="str">
        <f aca="false">IF(E1639="","",IFERROR(INDEX(02_INDICADORES!$D$2:$D$42,MATCH(E1639,02_INDICADORES!$A$2:$A$42,0)),""))</f>
        <v/>
      </c>
      <c r="I1639" s="9"/>
      <c r="J1639" s="16" t="str">
        <f aca="false">IF(OR(I1639="",H1639=""),"",I1639*H1639)</f>
        <v/>
      </c>
      <c r="K1639" s="9"/>
      <c r="L1639" s="9"/>
      <c r="M1639" s="9"/>
    </row>
    <row r="1640" customFormat="false" ht="15" hidden="false" customHeight="false" outlineLevel="0" collapsed="false">
      <c r="A1640" s="9"/>
      <c r="B1640" s="9"/>
      <c r="C1640" s="11"/>
      <c r="D1640" s="9"/>
      <c r="E1640" s="9"/>
      <c r="F1640" s="22" t="str">
        <f aca="false">IF(E1640="","",IFERROR(INDEX(02_INDICADORES!$B$2:$B$42,MATCH(E1640,02_INDICADORES!$A$2:$A$42,0)),"ID?"))</f>
        <v/>
      </c>
      <c r="G1640" s="21" t="str">
        <f aca="false">IF(E1640="","",IFERROR(INDEX(02_INDICADORES!$C$2:$C$42,MATCH(E1640,02_INDICADORES!$A$2:$A$42,0)),"ID?"))</f>
        <v/>
      </c>
      <c r="H1640" s="22" t="str">
        <f aca="false">IF(E1640="","",IFERROR(INDEX(02_INDICADORES!$D$2:$D$42,MATCH(E1640,02_INDICADORES!$A$2:$A$42,0)),""))</f>
        <v/>
      </c>
      <c r="I1640" s="9"/>
      <c r="J1640" s="16" t="str">
        <f aca="false">IF(OR(I1640="",H1640=""),"",I1640*H1640)</f>
        <v/>
      </c>
      <c r="K1640" s="9"/>
      <c r="L1640" s="9"/>
      <c r="M1640" s="9"/>
    </row>
    <row r="1641" customFormat="false" ht="15" hidden="false" customHeight="false" outlineLevel="0" collapsed="false">
      <c r="A1641" s="9"/>
      <c r="B1641" s="9"/>
      <c r="C1641" s="11"/>
      <c r="D1641" s="9"/>
      <c r="E1641" s="9"/>
      <c r="F1641" s="22" t="str">
        <f aca="false">IF(E1641="","",IFERROR(INDEX(02_INDICADORES!$B$2:$B$42,MATCH(E1641,02_INDICADORES!$A$2:$A$42,0)),"ID?"))</f>
        <v/>
      </c>
      <c r="G1641" s="21" t="str">
        <f aca="false">IF(E1641="","",IFERROR(INDEX(02_INDICADORES!$C$2:$C$42,MATCH(E1641,02_INDICADORES!$A$2:$A$42,0)),"ID?"))</f>
        <v/>
      </c>
      <c r="H1641" s="22" t="str">
        <f aca="false">IF(E1641="","",IFERROR(INDEX(02_INDICADORES!$D$2:$D$42,MATCH(E1641,02_INDICADORES!$A$2:$A$42,0)),""))</f>
        <v/>
      </c>
      <c r="I1641" s="9"/>
      <c r="J1641" s="16" t="str">
        <f aca="false">IF(OR(I1641="",H1641=""),"",I1641*H1641)</f>
        <v/>
      </c>
      <c r="K1641" s="9"/>
      <c r="L1641" s="9"/>
      <c r="M1641" s="9"/>
    </row>
    <row r="1642" customFormat="false" ht="15" hidden="false" customHeight="false" outlineLevel="0" collapsed="false">
      <c r="A1642" s="9"/>
      <c r="B1642" s="9"/>
      <c r="C1642" s="11"/>
      <c r="D1642" s="9"/>
      <c r="E1642" s="9"/>
      <c r="F1642" s="22" t="str">
        <f aca="false">IF(E1642="","",IFERROR(INDEX(02_INDICADORES!$B$2:$B$42,MATCH(E1642,02_INDICADORES!$A$2:$A$42,0)),"ID?"))</f>
        <v/>
      </c>
      <c r="G1642" s="21" t="str">
        <f aca="false">IF(E1642="","",IFERROR(INDEX(02_INDICADORES!$C$2:$C$42,MATCH(E1642,02_INDICADORES!$A$2:$A$42,0)),"ID?"))</f>
        <v/>
      </c>
      <c r="H1642" s="22" t="str">
        <f aca="false">IF(E1642="","",IFERROR(INDEX(02_INDICADORES!$D$2:$D$42,MATCH(E1642,02_INDICADORES!$A$2:$A$42,0)),""))</f>
        <v/>
      </c>
      <c r="I1642" s="9"/>
      <c r="J1642" s="16" t="str">
        <f aca="false">IF(OR(I1642="",H1642=""),"",I1642*H1642)</f>
        <v/>
      </c>
      <c r="K1642" s="9"/>
      <c r="L1642" s="9"/>
      <c r="M1642" s="9"/>
    </row>
    <row r="1643" customFormat="false" ht="15" hidden="false" customHeight="false" outlineLevel="0" collapsed="false">
      <c r="A1643" s="9"/>
      <c r="B1643" s="9"/>
      <c r="C1643" s="11"/>
      <c r="D1643" s="9"/>
      <c r="E1643" s="9"/>
      <c r="F1643" s="22" t="str">
        <f aca="false">IF(E1643="","",IFERROR(INDEX(02_INDICADORES!$B$2:$B$42,MATCH(E1643,02_INDICADORES!$A$2:$A$42,0)),"ID?"))</f>
        <v/>
      </c>
      <c r="G1643" s="21" t="str">
        <f aca="false">IF(E1643="","",IFERROR(INDEX(02_INDICADORES!$C$2:$C$42,MATCH(E1643,02_INDICADORES!$A$2:$A$42,0)),"ID?"))</f>
        <v/>
      </c>
      <c r="H1643" s="22" t="str">
        <f aca="false">IF(E1643="","",IFERROR(INDEX(02_INDICADORES!$D$2:$D$42,MATCH(E1643,02_INDICADORES!$A$2:$A$42,0)),""))</f>
        <v/>
      </c>
      <c r="I1643" s="9"/>
      <c r="J1643" s="16" t="str">
        <f aca="false">IF(OR(I1643="",H1643=""),"",I1643*H1643)</f>
        <v/>
      </c>
      <c r="K1643" s="9"/>
      <c r="L1643" s="9"/>
      <c r="M1643" s="9"/>
    </row>
    <row r="1644" customFormat="false" ht="15" hidden="false" customHeight="false" outlineLevel="0" collapsed="false">
      <c r="A1644" s="9"/>
      <c r="B1644" s="9"/>
      <c r="C1644" s="11"/>
      <c r="D1644" s="9"/>
      <c r="E1644" s="9"/>
      <c r="F1644" s="22" t="str">
        <f aca="false">IF(E1644="","",IFERROR(INDEX(02_INDICADORES!$B$2:$B$42,MATCH(E1644,02_INDICADORES!$A$2:$A$42,0)),"ID?"))</f>
        <v/>
      </c>
      <c r="G1644" s="21" t="str">
        <f aca="false">IF(E1644="","",IFERROR(INDEX(02_INDICADORES!$C$2:$C$42,MATCH(E1644,02_INDICADORES!$A$2:$A$42,0)),"ID?"))</f>
        <v/>
      </c>
      <c r="H1644" s="22" t="str">
        <f aca="false">IF(E1644="","",IFERROR(INDEX(02_INDICADORES!$D$2:$D$42,MATCH(E1644,02_INDICADORES!$A$2:$A$42,0)),""))</f>
        <v/>
      </c>
      <c r="I1644" s="9"/>
      <c r="J1644" s="16" t="str">
        <f aca="false">IF(OR(I1644="",H1644=""),"",I1644*H1644)</f>
        <v/>
      </c>
      <c r="K1644" s="9"/>
      <c r="L1644" s="9"/>
      <c r="M1644" s="9"/>
    </row>
    <row r="1645" customFormat="false" ht="15" hidden="false" customHeight="false" outlineLevel="0" collapsed="false">
      <c r="A1645" s="9"/>
      <c r="B1645" s="9"/>
      <c r="C1645" s="11"/>
      <c r="D1645" s="9"/>
      <c r="E1645" s="9"/>
      <c r="F1645" s="22" t="str">
        <f aca="false">IF(E1645="","",IFERROR(INDEX(02_INDICADORES!$B$2:$B$42,MATCH(E1645,02_INDICADORES!$A$2:$A$42,0)),"ID?"))</f>
        <v/>
      </c>
      <c r="G1645" s="21" t="str">
        <f aca="false">IF(E1645="","",IFERROR(INDEX(02_INDICADORES!$C$2:$C$42,MATCH(E1645,02_INDICADORES!$A$2:$A$42,0)),"ID?"))</f>
        <v/>
      </c>
      <c r="H1645" s="22" t="str">
        <f aca="false">IF(E1645="","",IFERROR(INDEX(02_INDICADORES!$D$2:$D$42,MATCH(E1645,02_INDICADORES!$A$2:$A$42,0)),""))</f>
        <v/>
      </c>
      <c r="I1645" s="9"/>
      <c r="J1645" s="16" t="str">
        <f aca="false">IF(OR(I1645="",H1645=""),"",I1645*H1645)</f>
        <v/>
      </c>
      <c r="K1645" s="9"/>
      <c r="L1645" s="9"/>
      <c r="M1645" s="9"/>
    </row>
    <row r="1646" customFormat="false" ht="15" hidden="false" customHeight="false" outlineLevel="0" collapsed="false">
      <c r="A1646" s="9"/>
      <c r="B1646" s="9"/>
      <c r="C1646" s="11"/>
      <c r="D1646" s="9"/>
      <c r="E1646" s="9"/>
      <c r="F1646" s="22" t="str">
        <f aca="false">IF(E1646="","",IFERROR(INDEX(02_INDICADORES!$B$2:$B$42,MATCH(E1646,02_INDICADORES!$A$2:$A$42,0)),"ID?"))</f>
        <v/>
      </c>
      <c r="G1646" s="21" t="str">
        <f aca="false">IF(E1646="","",IFERROR(INDEX(02_INDICADORES!$C$2:$C$42,MATCH(E1646,02_INDICADORES!$A$2:$A$42,0)),"ID?"))</f>
        <v/>
      </c>
      <c r="H1646" s="22" t="str">
        <f aca="false">IF(E1646="","",IFERROR(INDEX(02_INDICADORES!$D$2:$D$42,MATCH(E1646,02_INDICADORES!$A$2:$A$42,0)),""))</f>
        <v/>
      </c>
      <c r="I1646" s="9"/>
      <c r="J1646" s="16" t="str">
        <f aca="false">IF(OR(I1646="",H1646=""),"",I1646*H1646)</f>
        <v/>
      </c>
      <c r="K1646" s="9"/>
      <c r="L1646" s="9"/>
      <c r="M1646" s="9"/>
    </row>
    <row r="1647" customFormat="false" ht="15" hidden="false" customHeight="false" outlineLevel="0" collapsed="false">
      <c r="A1647" s="9"/>
      <c r="B1647" s="9"/>
      <c r="C1647" s="11"/>
      <c r="D1647" s="9"/>
      <c r="E1647" s="9"/>
      <c r="F1647" s="22" t="str">
        <f aca="false">IF(E1647="","",IFERROR(INDEX(02_INDICADORES!$B$2:$B$42,MATCH(E1647,02_INDICADORES!$A$2:$A$42,0)),"ID?"))</f>
        <v/>
      </c>
      <c r="G1647" s="21" t="str">
        <f aca="false">IF(E1647="","",IFERROR(INDEX(02_INDICADORES!$C$2:$C$42,MATCH(E1647,02_INDICADORES!$A$2:$A$42,0)),"ID?"))</f>
        <v/>
      </c>
      <c r="H1647" s="22" t="str">
        <f aca="false">IF(E1647="","",IFERROR(INDEX(02_INDICADORES!$D$2:$D$42,MATCH(E1647,02_INDICADORES!$A$2:$A$42,0)),""))</f>
        <v/>
      </c>
      <c r="I1647" s="9"/>
      <c r="J1647" s="16" t="str">
        <f aca="false">IF(OR(I1647="",H1647=""),"",I1647*H1647)</f>
        <v/>
      </c>
      <c r="K1647" s="9"/>
      <c r="L1647" s="9"/>
      <c r="M1647" s="9"/>
    </row>
    <row r="1648" customFormat="false" ht="15" hidden="false" customHeight="false" outlineLevel="0" collapsed="false">
      <c r="A1648" s="9"/>
      <c r="B1648" s="9"/>
      <c r="C1648" s="11"/>
      <c r="D1648" s="9"/>
      <c r="E1648" s="9"/>
      <c r="F1648" s="22" t="str">
        <f aca="false">IF(E1648="","",IFERROR(INDEX(02_INDICADORES!$B$2:$B$42,MATCH(E1648,02_INDICADORES!$A$2:$A$42,0)),"ID?"))</f>
        <v/>
      </c>
      <c r="G1648" s="21" t="str">
        <f aca="false">IF(E1648="","",IFERROR(INDEX(02_INDICADORES!$C$2:$C$42,MATCH(E1648,02_INDICADORES!$A$2:$A$42,0)),"ID?"))</f>
        <v/>
      </c>
      <c r="H1648" s="22" t="str">
        <f aca="false">IF(E1648="","",IFERROR(INDEX(02_INDICADORES!$D$2:$D$42,MATCH(E1648,02_INDICADORES!$A$2:$A$42,0)),""))</f>
        <v/>
      </c>
      <c r="I1648" s="9"/>
      <c r="J1648" s="16" t="str">
        <f aca="false">IF(OR(I1648="",H1648=""),"",I1648*H1648)</f>
        <v/>
      </c>
      <c r="K1648" s="9"/>
      <c r="L1648" s="9"/>
      <c r="M1648" s="9"/>
    </row>
    <row r="1649" customFormat="false" ht="15" hidden="false" customHeight="false" outlineLevel="0" collapsed="false">
      <c r="A1649" s="9"/>
      <c r="B1649" s="9"/>
      <c r="C1649" s="11"/>
      <c r="D1649" s="9"/>
      <c r="E1649" s="9"/>
      <c r="F1649" s="22" t="str">
        <f aca="false">IF(E1649="","",IFERROR(INDEX(02_INDICADORES!$B$2:$B$42,MATCH(E1649,02_INDICADORES!$A$2:$A$42,0)),"ID?"))</f>
        <v/>
      </c>
      <c r="G1649" s="21" t="str">
        <f aca="false">IF(E1649="","",IFERROR(INDEX(02_INDICADORES!$C$2:$C$42,MATCH(E1649,02_INDICADORES!$A$2:$A$42,0)),"ID?"))</f>
        <v/>
      </c>
      <c r="H1649" s="22" t="str">
        <f aca="false">IF(E1649="","",IFERROR(INDEX(02_INDICADORES!$D$2:$D$42,MATCH(E1649,02_INDICADORES!$A$2:$A$42,0)),""))</f>
        <v/>
      </c>
      <c r="I1649" s="9"/>
      <c r="J1649" s="16" t="str">
        <f aca="false">IF(OR(I1649="",H1649=""),"",I1649*H1649)</f>
        <v/>
      </c>
      <c r="K1649" s="9"/>
      <c r="L1649" s="9"/>
      <c r="M1649" s="9"/>
    </row>
    <row r="1650" customFormat="false" ht="15" hidden="false" customHeight="false" outlineLevel="0" collapsed="false">
      <c r="A1650" s="9"/>
      <c r="B1650" s="9"/>
      <c r="C1650" s="11"/>
      <c r="D1650" s="9"/>
      <c r="E1650" s="9"/>
      <c r="F1650" s="22" t="str">
        <f aca="false">IF(E1650="","",IFERROR(INDEX(02_INDICADORES!$B$2:$B$42,MATCH(E1650,02_INDICADORES!$A$2:$A$42,0)),"ID?"))</f>
        <v/>
      </c>
      <c r="G1650" s="21" t="str">
        <f aca="false">IF(E1650="","",IFERROR(INDEX(02_INDICADORES!$C$2:$C$42,MATCH(E1650,02_INDICADORES!$A$2:$A$42,0)),"ID?"))</f>
        <v/>
      </c>
      <c r="H1650" s="22" t="str">
        <f aca="false">IF(E1650="","",IFERROR(INDEX(02_INDICADORES!$D$2:$D$42,MATCH(E1650,02_INDICADORES!$A$2:$A$42,0)),""))</f>
        <v/>
      </c>
      <c r="I1650" s="9"/>
      <c r="J1650" s="16" t="str">
        <f aca="false">IF(OR(I1650="",H1650=""),"",I1650*H1650)</f>
        <v/>
      </c>
      <c r="K1650" s="9"/>
      <c r="L1650" s="9"/>
      <c r="M1650" s="9"/>
    </row>
    <row r="1651" customFormat="false" ht="15" hidden="false" customHeight="false" outlineLevel="0" collapsed="false">
      <c r="A1651" s="9"/>
      <c r="B1651" s="9"/>
      <c r="C1651" s="11"/>
      <c r="D1651" s="9"/>
      <c r="E1651" s="9"/>
      <c r="F1651" s="22" t="str">
        <f aca="false">IF(E1651="","",IFERROR(INDEX(02_INDICADORES!$B$2:$B$42,MATCH(E1651,02_INDICADORES!$A$2:$A$42,0)),"ID?"))</f>
        <v/>
      </c>
      <c r="G1651" s="21" t="str">
        <f aca="false">IF(E1651="","",IFERROR(INDEX(02_INDICADORES!$C$2:$C$42,MATCH(E1651,02_INDICADORES!$A$2:$A$42,0)),"ID?"))</f>
        <v/>
      </c>
      <c r="H1651" s="22" t="str">
        <f aca="false">IF(E1651="","",IFERROR(INDEX(02_INDICADORES!$D$2:$D$42,MATCH(E1651,02_INDICADORES!$A$2:$A$42,0)),""))</f>
        <v/>
      </c>
      <c r="I1651" s="9"/>
      <c r="J1651" s="16" t="str">
        <f aca="false">IF(OR(I1651="",H1651=""),"",I1651*H1651)</f>
        <v/>
      </c>
      <c r="K1651" s="9"/>
      <c r="L1651" s="9"/>
      <c r="M1651" s="9"/>
    </row>
    <row r="1652" customFormat="false" ht="15" hidden="false" customHeight="false" outlineLevel="0" collapsed="false">
      <c r="A1652" s="9"/>
      <c r="B1652" s="9"/>
      <c r="C1652" s="11"/>
      <c r="D1652" s="9"/>
      <c r="E1652" s="9"/>
      <c r="F1652" s="22" t="str">
        <f aca="false">IF(E1652="","",IFERROR(INDEX(02_INDICADORES!$B$2:$B$42,MATCH(E1652,02_INDICADORES!$A$2:$A$42,0)),"ID?"))</f>
        <v/>
      </c>
      <c r="G1652" s="21" t="str">
        <f aca="false">IF(E1652="","",IFERROR(INDEX(02_INDICADORES!$C$2:$C$42,MATCH(E1652,02_INDICADORES!$A$2:$A$42,0)),"ID?"))</f>
        <v/>
      </c>
      <c r="H1652" s="22" t="str">
        <f aca="false">IF(E1652="","",IFERROR(INDEX(02_INDICADORES!$D$2:$D$42,MATCH(E1652,02_INDICADORES!$A$2:$A$42,0)),""))</f>
        <v/>
      </c>
      <c r="I1652" s="9"/>
      <c r="J1652" s="16" t="str">
        <f aca="false">IF(OR(I1652="",H1652=""),"",I1652*H1652)</f>
        <v/>
      </c>
      <c r="K1652" s="9"/>
      <c r="L1652" s="9"/>
      <c r="M1652" s="9"/>
    </row>
    <row r="1653" customFormat="false" ht="15" hidden="false" customHeight="false" outlineLevel="0" collapsed="false">
      <c r="A1653" s="9"/>
      <c r="B1653" s="9"/>
      <c r="C1653" s="11"/>
      <c r="D1653" s="9"/>
      <c r="E1653" s="9"/>
      <c r="F1653" s="22" t="str">
        <f aca="false">IF(E1653="","",IFERROR(INDEX(02_INDICADORES!$B$2:$B$42,MATCH(E1653,02_INDICADORES!$A$2:$A$42,0)),"ID?"))</f>
        <v/>
      </c>
      <c r="G1653" s="21" t="str">
        <f aca="false">IF(E1653="","",IFERROR(INDEX(02_INDICADORES!$C$2:$C$42,MATCH(E1653,02_INDICADORES!$A$2:$A$42,0)),"ID?"))</f>
        <v/>
      </c>
      <c r="H1653" s="22" t="str">
        <f aca="false">IF(E1653="","",IFERROR(INDEX(02_INDICADORES!$D$2:$D$42,MATCH(E1653,02_INDICADORES!$A$2:$A$42,0)),""))</f>
        <v/>
      </c>
      <c r="I1653" s="9"/>
      <c r="J1653" s="16" t="str">
        <f aca="false">IF(OR(I1653="",H1653=""),"",I1653*H1653)</f>
        <v/>
      </c>
      <c r="K1653" s="9"/>
      <c r="L1653" s="9"/>
      <c r="M1653" s="9"/>
    </row>
    <row r="1654" customFormat="false" ht="15" hidden="false" customHeight="false" outlineLevel="0" collapsed="false">
      <c r="A1654" s="9"/>
      <c r="B1654" s="9"/>
      <c r="C1654" s="11"/>
      <c r="D1654" s="9"/>
      <c r="E1654" s="9"/>
      <c r="F1654" s="22" t="str">
        <f aca="false">IF(E1654="","",IFERROR(INDEX(02_INDICADORES!$B$2:$B$42,MATCH(E1654,02_INDICADORES!$A$2:$A$42,0)),"ID?"))</f>
        <v/>
      </c>
      <c r="G1654" s="21" t="str">
        <f aca="false">IF(E1654="","",IFERROR(INDEX(02_INDICADORES!$C$2:$C$42,MATCH(E1654,02_INDICADORES!$A$2:$A$42,0)),"ID?"))</f>
        <v/>
      </c>
      <c r="H1654" s="22" t="str">
        <f aca="false">IF(E1654="","",IFERROR(INDEX(02_INDICADORES!$D$2:$D$42,MATCH(E1654,02_INDICADORES!$A$2:$A$42,0)),""))</f>
        <v/>
      </c>
      <c r="I1654" s="9"/>
      <c r="J1654" s="16" t="str">
        <f aca="false">IF(OR(I1654="",H1654=""),"",I1654*H1654)</f>
        <v/>
      </c>
      <c r="K1654" s="9"/>
      <c r="L1654" s="9"/>
      <c r="M1654" s="9"/>
    </row>
    <row r="1655" customFormat="false" ht="15" hidden="false" customHeight="false" outlineLevel="0" collapsed="false">
      <c r="A1655" s="9"/>
      <c r="B1655" s="9"/>
      <c r="C1655" s="11"/>
      <c r="D1655" s="9"/>
      <c r="E1655" s="9"/>
      <c r="F1655" s="22" t="str">
        <f aca="false">IF(E1655="","",IFERROR(INDEX(02_INDICADORES!$B$2:$B$42,MATCH(E1655,02_INDICADORES!$A$2:$A$42,0)),"ID?"))</f>
        <v/>
      </c>
      <c r="G1655" s="21" t="str">
        <f aca="false">IF(E1655="","",IFERROR(INDEX(02_INDICADORES!$C$2:$C$42,MATCH(E1655,02_INDICADORES!$A$2:$A$42,0)),"ID?"))</f>
        <v/>
      </c>
      <c r="H1655" s="22" t="str">
        <f aca="false">IF(E1655="","",IFERROR(INDEX(02_INDICADORES!$D$2:$D$42,MATCH(E1655,02_INDICADORES!$A$2:$A$42,0)),""))</f>
        <v/>
      </c>
      <c r="I1655" s="9"/>
      <c r="J1655" s="16" t="str">
        <f aca="false">IF(OR(I1655="",H1655=""),"",I1655*H1655)</f>
        <v/>
      </c>
      <c r="K1655" s="9"/>
      <c r="L1655" s="9"/>
      <c r="M1655" s="9"/>
    </row>
    <row r="1656" customFormat="false" ht="15" hidden="false" customHeight="false" outlineLevel="0" collapsed="false">
      <c r="A1656" s="9"/>
      <c r="B1656" s="9"/>
      <c r="C1656" s="11"/>
      <c r="D1656" s="9"/>
      <c r="E1656" s="9"/>
      <c r="F1656" s="22" t="str">
        <f aca="false">IF(E1656="","",IFERROR(INDEX(02_INDICADORES!$B$2:$B$42,MATCH(E1656,02_INDICADORES!$A$2:$A$42,0)),"ID?"))</f>
        <v/>
      </c>
      <c r="G1656" s="21" t="str">
        <f aca="false">IF(E1656="","",IFERROR(INDEX(02_INDICADORES!$C$2:$C$42,MATCH(E1656,02_INDICADORES!$A$2:$A$42,0)),"ID?"))</f>
        <v/>
      </c>
      <c r="H1656" s="22" t="str">
        <f aca="false">IF(E1656="","",IFERROR(INDEX(02_INDICADORES!$D$2:$D$42,MATCH(E1656,02_INDICADORES!$A$2:$A$42,0)),""))</f>
        <v/>
      </c>
      <c r="I1656" s="9"/>
      <c r="J1656" s="16" t="str">
        <f aca="false">IF(OR(I1656="",H1656=""),"",I1656*H1656)</f>
        <v/>
      </c>
      <c r="K1656" s="9"/>
      <c r="L1656" s="9"/>
      <c r="M1656" s="9"/>
    </row>
    <row r="1657" customFormat="false" ht="15" hidden="false" customHeight="false" outlineLevel="0" collapsed="false">
      <c r="A1657" s="9"/>
      <c r="B1657" s="9"/>
      <c r="C1657" s="11"/>
      <c r="D1657" s="9"/>
      <c r="E1657" s="9"/>
      <c r="F1657" s="22" t="str">
        <f aca="false">IF(E1657="","",IFERROR(INDEX(02_INDICADORES!$B$2:$B$42,MATCH(E1657,02_INDICADORES!$A$2:$A$42,0)),"ID?"))</f>
        <v/>
      </c>
      <c r="G1657" s="21" t="str">
        <f aca="false">IF(E1657="","",IFERROR(INDEX(02_INDICADORES!$C$2:$C$42,MATCH(E1657,02_INDICADORES!$A$2:$A$42,0)),"ID?"))</f>
        <v/>
      </c>
      <c r="H1657" s="22" t="str">
        <f aca="false">IF(E1657="","",IFERROR(INDEX(02_INDICADORES!$D$2:$D$42,MATCH(E1657,02_INDICADORES!$A$2:$A$42,0)),""))</f>
        <v/>
      </c>
      <c r="I1657" s="9"/>
      <c r="J1657" s="16" t="str">
        <f aca="false">IF(OR(I1657="",H1657=""),"",I1657*H1657)</f>
        <v/>
      </c>
      <c r="K1657" s="9"/>
      <c r="L1657" s="9"/>
      <c r="M1657" s="9"/>
    </row>
    <row r="1658" customFormat="false" ht="15" hidden="false" customHeight="false" outlineLevel="0" collapsed="false">
      <c r="A1658" s="9"/>
      <c r="B1658" s="9"/>
      <c r="C1658" s="11"/>
      <c r="D1658" s="9"/>
      <c r="E1658" s="9"/>
      <c r="F1658" s="22" t="str">
        <f aca="false">IF(E1658="","",IFERROR(INDEX(02_INDICADORES!$B$2:$B$42,MATCH(E1658,02_INDICADORES!$A$2:$A$42,0)),"ID?"))</f>
        <v/>
      </c>
      <c r="G1658" s="21" t="str">
        <f aca="false">IF(E1658="","",IFERROR(INDEX(02_INDICADORES!$C$2:$C$42,MATCH(E1658,02_INDICADORES!$A$2:$A$42,0)),"ID?"))</f>
        <v/>
      </c>
      <c r="H1658" s="22" t="str">
        <f aca="false">IF(E1658="","",IFERROR(INDEX(02_INDICADORES!$D$2:$D$42,MATCH(E1658,02_INDICADORES!$A$2:$A$42,0)),""))</f>
        <v/>
      </c>
      <c r="I1658" s="9"/>
      <c r="J1658" s="16" t="str">
        <f aca="false">IF(OR(I1658="",H1658=""),"",I1658*H1658)</f>
        <v/>
      </c>
      <c r="K1658" s="9"/>
      <c r="L1658" s="9"/>
      <c r="M1658" s="9"/>
    </row>
    <row r="1659" customFormat="false" ht="15" hidden="false" customHeight="false" outlineLevel="0" collapsed="false">
      <c r="A1659" s="9"/>
      <c r="B1659" s="9"/>
      <c r="C1659" s="11"/>
      <c r="D1659" s="9"/>
      <c r="E1659" s="9"/>
      <c r="F1659" s="22" t="str">
        <f aca="false">IF(E1659="","",IFERROR(INDEX(02_INDICADORES!$B$2:$B$42,MATCH(E1659,02_INDICADORES!$A$2:$A$42,0)),"ID?"))</f>
        <v/>
      </c>
      <c r="G1659" s="21" t="str">
        <f aca="false">IF(E1659="","",IFERROR(INDEX(02_INDICADORES!$C$2:$C$42,MATCH(E1659,02_INDICADORES!$A$2:$A$42,0)),"ID?"))</f>
        <v/>
      </c>
      <c r="H1659" s="22" t="str">
        <f aca="false">IF(E1659="","",IFERROR(INDEX(02_INDICADORES!$D$2:$D$42,MATCH(E1659,02_INDICADORES!$A$2:$A$42,0)),""))</f>
        <v/>
      </c>
      <c r="I1659" s="9"/>
      <c r="J1659" s="16" t="str">
        <f aca="false">IF(OR(I1659="",H1659=""),"",I1659*H1659)</f>
        <v/>
      </c>
      <c r="K1659" s="9"/>
      <c r="L1659" s="9"/>
      <c r="M1659" s="9"/>
    </row>
    <row r="1660" customFormat="false" ht="15" hidden="false" customHeight="false" outlineLevel="0" collapsed="false">
      <c r="A1660" s="9"/>
      <c r="B1660" s="9"/>
      <c r="C1660" s="11"/>
      <c r="D1660" s="9"/>
      <c r="E1660" s="9"/>
      <c r="F1660" s="22" t="str">
        <f aca="false">IF(E1660="","",IFERROR(INDEX(02_INDICADORES!$B$2:$B$42,MATCH(E1660,02_INDICADORES!$A$2:$A$42,0)),"ID?"))</f>
        <v/>
      </c>
      <c r="G1660" s="21" t="str">
        <f aca="false">IF(E1660="","",IFERROR(INDEX(02_INDICADORES!$C$2:$C$42,MATCH(E1660,02_INDICADORES!$A$2:$A$42,0)),"ID?"))</f>
        <v/>
      </c>
      <c r="H1660" s="22" t="str">
        <f aca="false">IF(E1660="","",IFERROR(INDEX(02_INDICADORES!$D$2:$D$42,MATCH(E1660,02_INDICADORES!$A$2:$A$42,0)),""))</f>
        <v/>
      </c>
      <c r="I1660" s="9"/>
      <c r="J1660" s="16" t="str">
        <f aca="false">IF(OR(I1660="",H1660=""),"",I1660*H1660)</f>
        <v/>
      </c>
      <c r="K1660" s="9"/>
      <c r="L1660" s="9"/>
      <c r="M1660" s="9"/>
    </row>
    <row r="1661" customFormat="false" ht="15" hidden="false" customHeight="false" outlineLevel="0" collapsed="false">
      <c r="A1661" s="9"/>
      <c r="B1661" s="9"/>
      <c r="C1661" s="11"/>
      <c r="D1661" s="9"/>
      <c r="E1661" s="9"/>
      <c r="F1661" s="22" t="str">
        <f aca="false">IF(E1661="","",IFERROR(INDEX(02_INDICADORES!$B$2:$B$42,MATCH(E1661,02_INDICADORES!$A$2:$A$42,0)),"ID?"))</f>
        <v/>
      </c>
      <c r="G1661" s="21" t="str">
        <f aca="false">IF(E1661="","",IFERROR(INDEX(02_INDICADORES!$C$2:$C$42,MATCH(E1661,02_INDICADORES!$A$2:$A$42,0)),"ID?"))</f>
        <v/>
      </c>
      <c r="H1661" s="22" t="str">
        <f aca="false">IF(E1661="","",IFERROR(INDEX(02_INDICADORES!$D$2:$D$42,MATCH(E1661,02_INDICADORES!$A$2:$A$42,0)),""))</f>
        <v/>
      </c>
      <c r="I1661" s="9"/>
      <c r="J1661" s="16" t="str">
        <f aca="false">IF(OR(I1661="",H1661=""),"",I1661*H1661)</f>
        <v/>
      </c>
      <c r="K1661" s="9"/>
      <c r="L1661" s="9"/>
      <c r="M1661" s="9"/>
    </row>
    <row r="1662" customFormat="false" ht="15" hidden="false" customHeight="false" outlineLevel="0" collapsed="false">
      <c r="A1662" s="9"/>
      <c r="B1662" s="9"/>
      <c r="C1662" s="11"/>
      <c r="D1662" s="9"/>
      <c r="E1662" s="9"/>
      <c r="F1662" s="22" t="str">
        <f aca="false">IF(E1662="","",IFERROR(INDEX(02_INDICADORES!$B$2:$B$42,MATCH(E1662,02_INDICADORES!$A$2:$A$42,0)),"ID?"))</f>
        <v/>
      </c>
      <c r="G1662" s="21" t="str">
        <f aca="false">IF(E1662="","",IFERROR(INDEX(02_INDICADORES!$C$2:$C$42,MATCH(E1662,02_INDICADORES!$A$2:$A$42,0)),"ID?"))</f>
        <v/>
      </c>
      <c r="H1662" s="22" t="str">
        <f aca="false">IF(E1662="","",IFERROR(INDEX(02_INDICADORES!$D$2:$D$42,MATCH(E1662,02_INDICADORES!$A$2:$A$42,0)),""))</f>
        <v/>
      </c>
      <c r="I1662" s="9"/>
      <c r="J1662" s="16" t="str">
        <f aca="false">IF(OR(I1662="",H1662=""),"",I1662*H1662)</f>
        <v/>
      </c>
      <c r="K1662" s="9"/>
      <c r="L1662" s="9"/>
      <c r="M1662" s="9"/>
    </row>
    <row r="1663" customFormat="false" ht="15" hidden="false" customHeight="false" outlineLevel="0" collapsed="false">
      <c r="A1663" s="9"/>
      <c r="B1663" s="9"/>
      <c r="C1663" s="11"/>
      <c r="D1663" s="9"/>
      <c r="E1663" s="9"/>
      <c r="F1663" s="22" t="str">
        <f aca="false">IF(E1663="","",IFERROR(INDEX(02_INDICADORES!$B$2:$B$42,MATCH(E1663,02_INDICADORES!$A$2:$A$42,0)),"ID?"))</f>
        <v/>
      </c>
      <c r="G1663" s="21" t="str">
        <f aca="false">IF(E1663="","",IFERROR(INDEX(02_INDICADORES!$C$2:$C$42,MATCH(E1663,02_INDICADORES!$A$2:$A$42,0)),"ID?"))</f>
        <v/>
      </c>
      <c r="H1663" s="22" t="str">
        <f aca="false">IF(E1663="","",IFERROR(INDEX(02_INDICADORES!$D$2:$D$42,MATCH(E1663,02_INDICADORES!$A$2:$A$42,0)),""))</f>
        <v/>
      </c>
      <c r="I1663" s="9"/>
      <c r="J1663" s="16" t="str">
        <f aca="false">IF(OR(I1663="",H1663=""),"",I1663*H1663)</f>
        <v/>
      </c>
      <c r="K1663" s="9"/>
      <c r="L1663" s="9"/>
      <c r="M1663" s="9"/>
    </row>
    <row r="1664" customFormat="false" ht="15" hidden="false" customHeight="false" outlineLevel="0" collapsed="false">
      <c r="A1664" s="9"/>
      <c r="B1664" s="9"/>
      <c r="C1664" s="11"/>
      <c r="D1664" s="9"/>
      <c r="E1664" s="9"/>
      <c r="F1664" s="22" t="str">
        <f aca="false">IF(E1664="","",IFERROR(INDEX(02_INDICADORES!$B$2:$B$42,MATCH(E1664,02_INDICADORES!$A$2:$A$42,0)),"ID?"))</f>
        <v/>
      </c>
      <c r="G1664" s="21" t="str">
        <f aca="false">IF(E1664="","",IFERROR(INDEX(02_INDICADORES!$C$2:$C$42,MATCH(E1664,02_INDICADORES!$A$2:$A$42,0)),"ID?"))</f>
        <v/>
      </c>
      <c r="H1664" s="22" t="str">
        <f aca="false">IF(E1664="","",IFERROR(INDEX(02_INDICADORES!$D$2:$D$42,MATCH(E1664,02_INDICADORES!$A$2:$A$42,0)),""))</f>
        <v/>
      </c>
      <c r="I1664" s="9"/>
      <c r="J1664" s="16" t="str">
        <f aca="false">IF(OR(I1664="",H1664=""),"",I1664*H1664)</f>
        <v/>
      </c>
      <c r="K1664" s="9"/>
      <c r="L1664" s="9"/>
      <c r="M1664" s="9"/>
    </row>
    <row r="1665" customFormat="false" ht="15" hidden="false" customHeight="false" outlineLevel="0" collapsed="false">
      <c r="A1665" s="9"/>
      <c r="B1665" s="9"/>
      <c r="C1665" s="11"/>
      <c r="D1665" s="9"/>
      <c r="E1665" s="9"/>
      <c r="F1665" s="22" t="str">
        <f aca="false">IF(E1665="","",IFERROR(INDEX(02_INDICADORES!$B$2:$B$42,MATCH(E1665,02_INDICADORES!$A$2:$A$42,0)),"ID?"))</f>
        <v/>
      </c>
      <c r="G1665" s="21" t="str">
        <f aca="false">IF(E1665="","",IFERROR(INDEX(02_INDICADORES!$C$2:$C$42,MATCH(E1665,02_INDICADORES!$A$2:$A$42,0)),"ID?"))</f>
        <v/>
      </c>
      <c r="H1665" s="22" t="str">
        <f aca="false">IF(E1665="","",IFERROR(INDEX(02_INDICADORES!$D$2:$D$42,MATCH(E1665,02_INDICADORES!$A$2:$A$42,0)),""))</f>
        <v/>
      </c>
      <c r="I1665" s="9"/>
      <c r="J1665" s="16" t="str">
        <f aca="false">IF(OR(I1665="",H1665=""),"",I1665*H1665)</f>
        <v/>
      </c>
      <c r="K1665" s="9"/>
      <c r="L1665" s="9"/>
      <c r="M1665" s="9"/>
    </row>
    <row r="1666" customFormat="false" ht="15" hidden="false" customHeight="false" outlineLevel="0" collapsed="false">
      <c r="A1666" s="9"/>
      <c r="B1666" s="9"/>
      <c r="C1666" s="11"/>
      <c r="D1666" s="9"/>
      <c r="E1666" s="9"/>
      <c r="F1666" s="22" t="str">
        <f aca="false">IF(E1666="","",IFERROR(INDEX(02_INDICADORES!$B$2:$B$42,MATCH(E1666,02_INDICADORES!$A$2:$A$42,0)),"ID?"))</f>
        <v/>
      </c>
      <c r="G1666" s="21" t="str">
        <f aca="false">IF(E1666="","",IFERROR(INDEX(02_INDICADORES!$C$2:$C$42,MATCH(E1666,02_INDICADORES!$A$2:$A$42,0)),"ID?"))</f>
        <v/>
      </c>
      <c r="H1666" s="22" t="str">
        <f aca="false">IF(E1666="","",IFERROR(INDEX(02_INDICADORES!$D$2:$D$42,MATCH(E1666,02_INDICADORES!$A$2:$A$42,0)),""))</f>
        <v/>
      </c>
      <c r="I1666" s="9"/>
      <c r="J1666" s="16" t="str">
        <f aca="false">IF(OR(I1666="",H1666=""),"",I1666*H1666)</f>
        <v/>
      </c>
      <c r="K1666" s="9"/>
      <c r="L1666" s="9"/>
      <c r="M1666" s="9"/>
    </row>
    <row r="1667" customFormat="false" ht="15" hidden="false" customHeight="false" outlineLevel="0" collapsed="false">
      <c r="A1667" s="9"/>
      <c r="B1667" s="9"/>
      <c r="C1667" s="11"/>
      <c r="D1667" s="9"/>
      <c r="E1667" s="9"/>
      <c r="F1667" s="22" t="str">
        <f aca="false">IF(E1667="","",IFERROR(INDEX(02_INDICADORES!$B$2:$B$42,MATCH(E1667,02_INDICADORES!$A$2:$A$42,0)),"ID?"))</f>
        <v/>
      </c>
      <c r="G1667" s="21" t="str">
        <f aca="false">IF(E1667="","",IFERROR(INDEX(02_INDICADORES!$C$2:$C$42,MATCH(E1667,02_INDICADORES!$A$2:$A$42,0)),"ID?"))</f>
        <v/>
      </c>
      <c r="H1667" s="22" t="str">
        <f aca="false">IF(E1667="","",IFERROR(INDEX(02_INDICADORES!$D$2:$D$42,MATCH(E1667,02_INDICADORES!$A$2:$A$42,0)),""))</f>
        <v/>
      </c>
      <c r="I1667" s="9"/>
      <c r="J1667" s="16" t="str">
        <f aca="false">IF(OR(I1667="",H1667=""),"",I1667*H1667)</f>
        <v/>
      </c>
      <c r="K1667" s="9"/>
      <c r="L1667" s="9"/>
      <c r="M1667" s="9"/>
    </row>
    <row r="1668" customFormat="false" ht="15" hidden="false" customHeight="false" outlineLevel="0" collapsed="false">
      <c r="A1668" s="9"/>
      <c r="B1668" s="9"/>
      <c r="C1668" s="11"/>
      <c r="D1668" s="9"/>
      <c r="E1668" s="9"/>
      <c r="F1668" s="22" t="str">
        <f aca="false">IF(E1668="","",IFERROR(INDEX(02_INDICADORES!$B$2:$B$42,MATCH(E1668,02_INDICADORES!$A$2:$A$42,0)),"ID?"))</f>
        <v/>
      </c>
      <c r="G1668" s="21" t="str">
        <f aca="false">IF(E1668="","",IFERROR(INDEX(02_INDICADORES!$C$2:$C$42,MATCH(E1668,02_INDICADORES!$A$2:$A$42,0)),"ID?"))</f>
        <v/>
      </c>
      <c r="H1668" s="22" t="str">
        <f aca="false">IF(E1668="","",IFERROR(INDEX(02_INDICADORES!$D$2:$D$42,MATCH(E1668,02_INDICADORES!$A$2:$A$42,0)),""))</f>
        <v/>
      </c>
      <c r="I1668" s="9"/>
      <c r="J1668" s="16" t="str">
        <f aca="false">IF(OR(I1668="",H1668=""),"",I1668*H1668)</f>
        <v/>
      </c>
      <c r="K1668" s="9"/>
      <c r="L1668" s="9"/>
      <c r="M1668" s="9"/>
    </row>
    <row r="1669" customFormat="false" ht="15" hidden="false" customHeight="false" outlineLevel="0" collapsed="false">
      <c r="A1669" s="9"/>
      <c r="B1669" s="9"/>
      <c r="C1669" s="11"/>
      <c r="D1669" s="9"/>
      <c r="E1669" s="9"/>
      <c r="F1669" s="22" t="str">
        <f aca="false">IF(E1669="","",IFERROR(INDEX(02_INDICADORES!$B$2:$B$42,MATCH(E1669,02_INDICADORES!$A$2:$A$42,0)),"ID?"))</f>
        <v/>
      </c>
      <c r="G1669" s="21" t="str">
        <f aca="false">IF(E1669="","",IFERROR(INDEX(02_INDICADORES!$C$2:$C$42,MATCH(E1669,02_INDICADORES!$A$2:$A$42,0)),"ID?"))</f>
        <v/>
      </c>
      <c r="H1669" s="22" t="str">
        <f aca="false">IF(E1669="","",IFERROR(INDEX(02_INDICADORES!$D$2:$D$42,MATCH(E1669,02_INDICADORES!$A$2:$A$42,0)),""))</f>
        <v/>
      </c>
      <c r="I1669" s="9"/>
      <c r="J1669" s="16" t="str">
        <f aca="false">IF(OR(I1669="",H1669=""),"",I1669*H1669)</f>
        <v/>
      </c>
      <c r="K1669" s="9"/>
      <c r="L1669" s="9"/>
      <c r="M1669" s="9"/>
    </row>
    <row r="1670" customFormat="false" ht="15" hidden="false" customHeight="false" outlineLevel="0" collapsed="false">
      <c r="A1670" s="9"/>
      <c r="B1670" s="9"/>
      <c r="C1670" s="11"/>
      <c r="D1670" s="9"/>
      <c r="E1670" s="9"/>
      <c r="F1670" s="22" t="str">
        <f aca="false">IF(E1670="","",IFERROR(INDEX(02_INDICADORES!$B$2:$B$42,MATCH(E1670,02_INDICADORES!$A$2:$A$42,0)),"ID?"))</f>
        <v/>
      </c>
      <c r="G1670" s="21" t="str">
        <f aca="false">IF(E1670="","",IFERROR(INDEX(02_INDICADORES!$C$2:$C$42,MATCH(E1670,02_INDICADORES!$A$2:$A$42,0)),"ID?"))</f>
        <v/>
      </c>
      <c r="H1670" s="22" t="str">
        <f aca="false">IF(E1670="","",IFERROR(INDEX(02_INDICADORES!$D$2:$D$42,MATCH(E1670,02_INDICADORES!$A$2:$A$42,0)),""))</f>
        <v/>
      </c>
      <c r="I1670" s="9"/>
      <c r="J1670" s="16" t="str">
        <f aca="false">IF(OR(I1670="",H1670=""),"",I1670*H1670)</f>
        <v/>
      </c>
      <c r="K1670" s="9"/>
      <c r="L1670" s="9"/>
      <c r="M1670" s="9"/>
    </row>
    <row r="1671" customFormat="false" ht="15" hidden="false" customHeight="false" outlineLevel="0" collapsed="false">
      <c r="A1671" s="9"/>
      <c r="B1671" s="9"/>
      <c r="C1671" s="11"/>
      <c r="D1671" s="9"/>
      <c r="E1671" s="9"/>
      <c r="F1671" s="22" t="str">
        <f aca="false">IF(E1671="","",IFERROR(INDEX(02_INDICADORES!$B$2:$B$42,MATCH(E1671,02_INDICADORES!$A$2:$A$42,0)),"ID?"))</f>
        <v/>
      </c>
      <c r="G1671" s="21" t="str">
        <f aca="false">IF(E1671="","",IFERROR(INDEX(02_INDICADORES!$C$2:$C$42,MATCH(E1671,02_INDICADORES!$A$2:$A$42,0)),"ID?"))</f>
        <v/>
      </c>
      <c r="H1671" s="22" t="str">
        <f aca="false">IF(E1671="","",IFERROR(INDEX(02_INDICADORES!$D$2:$D$42,MATCH(E1671,02_INDICADORES!$A$2:$A$42,0)),""))</f>
        <v/>
      </c>
      <c r="I1671" s="9"/>
      <c r="J1671" s="16" t="str">
        <f aca="false">IF(OR(I1671="",H1671=""),"",I1671*H1671)</f>
        <v/>
      </c>
      <c r="K1671" s="9"/>
      <c r="L1671" s="9"/>
      <c r="M1671" s="9"/>
    </row>
    <row r="1672" customFormat="false" ht="15" hidden="false" customHeight="false" outlineLevel="0" collapsed="false">
      <c r="A1672" s="9"/>
      <c r="B1672" s="9"/>
      <c r="C1672" s="11"/>
      <c r="D1672" s="9"/>
      <c r="E1672" s="9"/>
      <c r="F1672" s="22" t="str">
        <f aca="false">IF(E1672="","",IFERROR(INDEX(02_INDICADORES!$B$2:$B$42,MATCH(E1672,02_INDICADORES!$A$2:$A$42,0)),"ID?"))</f>
        <v/>
      </c>
      <c r="G1672" s="21" t="str">
        <f aca="false">IF(E1672="","",IFERROR(INDEX(02_INDICADORES!$C$2:$C$42,MATCH(E1672,02_INDICADORES!$A$2:$A$42,0)),"ID?"))</f>
        <v/>
      </c>
      <c r="H1672" s="22" t="str">
        <f aca="false">IF(E1672="","",IFERROR(INDEX(02_INDICADORES!$D$2:$D$42,MATCH(E1672,02_INDICADORES!$A$2:$A$42,0)),""))</f>
        <v/>
      </c>
      <c r="I1672" s="9"/>
      <c r="J1672" s="16" t="str">
        <f aca="false">IF(OR(I1672="",H1672=""),"",I1672*H1672)</f>
        <v/>
      </c>
      <c r="K1672" s="9"/>
      <c r="L1672" s="9"/>
      <c r="M1672" s="9"/>
    </row>
    <row r="1673" customFormat="false" ht="15" hidden="false" customHeight="false" outlineLevel="0" collapsed="false">
      <c r="A1673" s="9"/>
      <c r="B1673" s="9"/>
      <c r="C1673" s="11"/>
      <c r="D1673" s="9"/>
      <c r="E1673" s="9"/>
      <c r="F1673" s="22" t="str">
        <f aca="false">IF(E1673="","",IFERROR(INDEX(02_INDICADORES!$B$2:$B$42,MATCH(E1673,02_INDICADORES!$A$2:$A$42,0)),"ID?"))</f>
        <v/>
      </c>
      <c r="G1673" s="21" t="str">
        <f aca="false">IF(E1673="","",IFERROR(INDEX(02_INDICADORES!$C$2:$C$42,MATCH(E1673,02_INDICADORES!$A$2:$A$42,0)),"ID?"))</f>
        <v/>
      </c>
      <c r="H1673" s="22" t="str">
        <f aca="false">IF(E1673="","",IFERROR(INDEX(02_INDICADORES!$D$2:$D$42,MATCH(E1673,02_INDICADORES!$A$2:$A$42,0)),""))</f>
        <v/>
      </c>
      <c r="I1673" s="9"/>
      <c r="J1673" s="16" t="str">
        <f aca="false">IF(OR(I1673="",H1673=""),"",I1673*H1673)</f>
        <v/>
      </c>
      <c r="K1673" s="9"/>
      <c r="L1673" s="9"/>
      <c r="M1673" s="9"/>
    </row>
    <row r="1674" customFormat="false" ht="15" hidden="false" customHeight="false" outlineLevel="0" collapsed="false">
      <c r="A1674" s="9"/>
      <c r="B1674" s="9"/>
      <c r="C1674" s="11"/>
      <c r="D1674" s="9"/>
      <c r="E1674" s="9"/>
      <c r="F1674" s="22" t="str">
        <f aca="false">IF(E1674="","",IFERROR(INDEX(02_INDICADORES!$B$2:$B$42,MATCH(E1674,02_INDICADORES!$A$2:$A$42,0)),"ID?"))</f>
        <v/>
      </c>
      <c r="G1674" s="21" t="str">
        <f aca="false">IF(E1674="","",IFERROR(INDEX(02_INDICADORES!$C$2:$C$42,MATCH(E1674,02_INDICADORES!$A$2:$A$42,0)),"ID?"))</f>
        <v/>
      </c>
      <c r="H1674" s="22" t="str">
        <f aca="false">IF(E1674="","",IFERROR(INDEX(02_INDICADORES!$D$2:$D$42,MATCH(E1674,02_INDICADORES!$A$2:$A$42,0)),""))</f>
        <v/>
      </c>
      <c r="I1674" s="9"/>
      <c r="J1674" s="16" t="str">
        <f aca="false">IF(OR(I1674="",H1674=""),"",I1674*H1674)</f>
        <v/>
      </c>
      <c r="K1674" s="9"/>
      <c r="L1674" s="9"/>
      <c r="M1674" s="9"/>
    </row>
    <row r="1675" customFormat="false" ht="15" hidden="false" customHeight="false" outlineLevel="0" collapsed="false">
      <c r="A1675" s="9"/>
      <c r="B1675" s="9"/>
      <c r="C1675" s="11"/>
      <c r="D1675" s="9"/>
      <c r="E1675" s="9"/>
      <c r="F1675" s="22" t="str">
        <f aca="false">IF(E1675="","",IFERROR(INDEX(02_INDICADORES!$B$2:$B$42,MATCH(E1675,02_INDICADORES!$A$2:$A$42,0)),"ID?"))</f>
        <v/>
      </c>
      <c r="G1675" s="21" t="str">
        <f aca="false">IF(E1675="","",IFERROR(INDEX(02_INDICADORES!$C$2:$C$42,MATCH(E1675,02_INDICADORES!$A$2:$A$42,0)),"ID?"))</f>
        <v/>
      </c>
      <c r="H1675" s="22" t="str">
        <f aca="false">IF(E1675="","",IFERROR(INDEX(02_INDICADORES!$D$2:$D$42,MATCH(E1675,02_INDICADORES!$A$2:$A$42,0)),""))</f>
        <v/>
      </c>
      <c r="I1675" s="9"/>
      <c r="J1675" s="16" t="str">
        <f aca="false">IF(OR(I1675="",H1675=""),"",I1675*H1675)</f>
        <v/>
      </c>
      <c r="K1675" s="9"/>
      <c r="L1675" s="9"/>
      <c r="M1675" s="9"/>
    </row>
    <row r="1676" customFormat="false" ht="15" hidden="false" customHeight="false" outlineLevel="0" collapsed="false">
      <c r="A1676" s="9"/>
      <c r="B1676" s="9"/>
      <c r="C1676" s="11"/>
      <c r="D1676" s="9"/>
      <c r="E1676" s="9"/>
      <c r="F1676" s="22" t="str">
        <f aca="false">IF(E1676="","",IFERROR(INDEX(02_INDICADORES!$B$2:$B$42,MATCH(E1676,02_INDICADORES!$A$2:$A$42,0)),"ID?"))</f>
        <v/>
      </c>
      <c r="G1676" s="21" t="str">
        <f aca="false">IF(E1676="","",IFERROR(INDEX(02_INDICADORES!$C$2:$C$42,MATCH(E1676,02_INDICADORES!$A$2:$A$42,0)),"ID?"))</f>
        <v/>
      </c>
      <c r="H1676" s="22" t="str">
        <f aca="false">IF(E1676="","",IFERROR(INDEX(02_INDICADORES!$D$2:$D$42,MATCH(E1676,02_INDICADORES!$A$2:$A$42,0)),""))</f>
        <v/>
      </c>
      <c r="I1676" s="9"/>
      <c r="J1676" s="16" t="str">
        <f aca="false">IF(OR(I1676="",H1676=""),"",I1676*H1676)</f>
        <v/>
      </c>
      <c r="K1676" s="9"/>
      <c r="L1676" s="9"/>
      <c r="M1676" s="9"/>
    </row>
    <row r="1677" customFormat="false" ht="15" hidden="false" customHeight="false" outlineLevel="0" collapsed="false">
      <c r="A1677" s="9"/>
      <c r="B1677" s="9"/>
      <c r="C1677" s="11"/>
      <c r="D1677" s="9"/>
      <c r="E1677" s="9"/>
      <c r="F1677" s="22" t="str">
        <f aca="false">IF(E1677="","",IFERROR(INDEX(02_INDICADORES!$B$2:$B$42,MATCH(E1677,02_INDICADORES!$A$2:$A$42,0)),"ID?"))</f>
        <v/>
      </c>
      <c r="G1677" s="21" t="str">
        <f aca="false">IF(E1677="","",IFERROR(INDEX(02_INDICADORES!$C$2:$C$42,MATCH(E1677,02_INDICADORES!$A$2:$A$42,0)),"ID?"))</f>
        <v/>
      </c>
      <c r="H1677" s="22" t="str">
        <f aca="false">IF(E1677="","",IFERROR(INDEX(02_INDICADORES!$D$2:$D$42,MATCH(E1677,02_INDICADORES!$A$2:$A$42,0)),""))</f>
        <v/>
      </c>
      <c r="I1677" s="9"/>
      <c r="J1677" s="16" t="str">
        <f aca="false">IF(OR(I1677="",H1677=""),"",I1677*H1677)</f>
        <v/>
      </c>
      <c r="K1677" s="9"/>
      <c r="L1677" s="9"/>
      <c r="M1677" s="9"/>
    </row>
    <row r="1678" customFormat="false" ht="15" hidden="false" customHeight="false" outlineLevel="0" collapsed="false">
      <c r="A1678" s="9"/>
      <c r="B1678" s="9"/>
      <c r="C1678" s="11"/>
      <c r="D1678" s="9"/>
      <c r="E1678" s="9"/>
      <c r="F1678" s="22" t="str">
        <f aca="false">IF(E1678="","",IFERROR(INDEX(02_INDICADORES!$B$2:$B$42,MATCH(E1678,02_INDICADORES!$A$2:$A$42,0)),"ID?"))</f>
        <v/>
      </c>
      <c r="G1678" s="21" t="str">
        <f aca="false">IF(E1678="","",IFERROR(INDEX(02_INDICADORES!$C$2:$C$42,MATCH(E1678,02_INDICADORES!$A$2:$A$42,0)),"ID?"))</f>
        <v/>
      </c>
      <c r="H1678" s="22" t="str">
        <f aca="false">IF(E1678="","",IFERROR(INDEX(02_INDICADORES!$D$2:$D$42,MATCH(E1678,02_INDICADORES!$A$2:$A$42,0)),""))</f>
        <v/>
      </c>
      <c r="I1678" s="9"/>
      <c r="J1678" s="16" t="str">
        <f aca="false">IF(OR(I1678="",H1678=""),"",I1678*H1678)</f>
        <v/>
      </c>
      <c r="K1678" s="9"/>
      <c r="L1678" s="9"/>
      <c r="M1678" s="9"/>
    </row>
    <row r="1679" customFormat="false" ht="15" hidden="false" customHeight="false" outlineLevel="0" collapsed="false">
      <c r="A1679" s="9"/>
      <c r="B1679" s="9"/>
      <c r="C1679" s="11"/>
      <c r="D1679" s="9"/>
      <c r="E1679" s="9"/>
      <c r="F1679" s="22" t="str">
        <f aca="false">IF(E1679="","",IFERROR(INDEX(02_INDICADORES!$B$2:$B$42,MATCH(E1679,02_INDICADORES!$A$2:$A$42,0)),"ID?"))</f>
        <v/>
      </c>
      <c r="G1679" s="21" t="str">
        <f aca="false">IF(E1679="","",IFERROR(INDEX(02_INDICADORES!$C$2:$C$42,MATCH(E1679,02_INDICADORES!$A$2:$A$42,0)),"ID?"))</f>
        <v/>
      </c>
      <c r="H1679" s="22" t="str">
        <f aca="false">IF(E1679="","",IFERROR(INDEX(02_INDICADORES!$D$2:$D$42,MATCH(E1679,02_INDICADORES!$A$2:$A$42,0)),""))</f>
        <v/>
      </c>
      <c r="I1679" s="9"/>
      <c r="J1679" s="16" t="str">
        <f aca="false">IF(OR(I1679="",H1679=""),"",I1679*H1679)</f>
        <v/>
      </c>
      <c r="K1679" s="9"/>
      <c r="L1679" s="9"/>
      <c r="M1679" s="9"/>
    </row>
    <row r="1680" customFormat="false" ht="15" hidden="false" customHeight="false" outlineLevel="0" collapsed="false">
      <c r="A1680" s="9"/>
      <c r="B1680" s="9"/>
      <c r="C1680" s="11"/>
      <c r="D1680" s="9"/>
      <c r="E1680" s="9"/>
      <c r="F1680" s="22" t="str">
        <f aca="false">IF(E1680="","",IFERROR(INDEX(02_INDICADORES!$B$2:$B$42,MATCH(E1680,02_INDICADORES!$A$2:$A$42,0)),"ID?"))</f>
        <v/>
      </c>
      <c r="G1680" s="21" t="str">
        <f aca="false">IF(E1680="","",IFERROR(INDEX(02_INDICADORES!$C$2:$C$42,MATCH(E1680,02_INDICADORES!$A$2:$A$42,0)),"ID?"))</f>
        <v/>
      </c>
      <c r="H1680" s="22" t="str">
        <f aca="false">IF(E1680="","",IFERROR(INDEX(02_INDICADORES!$D$2:$D$42,MATCH(E1680,02_INDICADORES!$A$2:$A$42,0)),""))</f>
        <v/>
      </c>
      <c r="I1680" s="9"/>
      <c r="J1680" s="16" t="str">
        <f aca="false">IF(OR(I1680="",H1680=""),"",I1680*H1680)</f>
        <v/>
      </c>
      <c r="K1680" s="9"/>
      <c r="L1680" s="9"/>
      <c r="M1680" s="9"/>
    </row>
    <row r="1681" customFormat="false" ht="15" hidden="false" customHeight="false" outlineLevel="0" collapsed="false">
      <c r="A1681" s="9"/>
      <c r="B1681" s="9"/>
      <c r="C1681" s="11"/>
      <c r="D1681" s="9"/>
      <c r="E1681" s="9"/>
      <c r="F1681" s="22" t="str">
        <f aca="false">IF(E1681="","",IFERROR(INDEX(02_INDICADORES!$B$2:$B$42,MATCH(E1681,02_INDICADORES!$A$2:$A$42,0)),"ID?"))</f>
        <v/>
      </c>
      <c r="G1681" s="21" t="str">
        <f aca="false">IF(E1681="","",IFERROR(INDEX(02_INDICADORES!$C$2:$C$42,MATCH(E1681,02_INDICADORES!$A$2:$A$42,0)),"ID?"))</f>
        <v/>
      </c>
      <c r="H1681" s="22" t="str">
        <f aca="false">IF(E1681="","",IFERROR(INDEX(02_INDICADORES!$D$2:$D$42,MATCH(E1681,02_INDICADORES!$A$2:$A$42,0)),""))</f>
        <v/>
      </c>
      <c r="I1681" s="9"/>
      <c r="J1681" s="16" t="str">
        <f aca="false">IF(OR(I1681="",H1681=""),"",I1681*H1681)</f>
        <v/>
      </c>
      <c r="K1681" s="9"/>
      <c r="L1681" s="9"/>
      <c r="M1681" s="9"/>
    </row>
    <row r="1682" customFormat="false" ht="15" hidden="false" customHeight="false" outlineLevel="0" collapsed="false">
      <c r="A1682" s="9"/>
      <c r="B1682" s="9"/>
      <c r="C1682" s="11"/>
      <c r="D1682" s="9"/>
      <c r="E1682" s="9"/>
      <c r="F1682" s="22" t="str">
        <f aca="false">IF(E1682="","",IFERROR(INDEX(02_INDICADORES!$B$2:$B$42,MATCH(E1682,02_INDICADORES!$A$2:$A$42,0)),"ID?"))</f>
        <v/>
      </c>
      <c r="G1682" s="21" t="str">
        <f aca="false">IF(E1682="","",IFERROR(INDEX(02_INDICADORES!$C$2:$C$42,MATCH(E1682,02_INDICADORES!$A$2:$A$42,0)),"ID?"))</f>
        <v/>
      </c>
      <c r="H1682" s="22" t="str">
        <f aca="false">IF(E1682="","",IFERROR(INDEX(02_INDICADORES!$D$2:$D$42,MATCH(E1682,02_INDICADORES!$A$2:$A$42,0)),""))</f>
        <v/>
      </c>
      <c r="I1682" s="9"/>
      <c r="J1682" s="16" t="str">
        <f aca="false">IF(OR(I1682="",H1682=""),"",I1682*H1682)</f>
        <v/>
      </c>
      <c r="K1682" s="9"/>
      <c r="L1682" s="9"/>
      <c r="M1682" s="9"/>
    </row>
    <row r="1683" customFormat="false" ht="15" hidden="false" customHeight="false" outlineLevel="0" collapsed="false">
      <c r="A1683" s="9"/>
      <c r="B1683" s="9"/>
      <c r="C1683" s="11"/>
      <c r="D1683" s="9"/>
      <c r="E1683" s="9"/>
      <c r="F1683" s="22" t="str">
        <f aca="false">IF(E1683="","",IFERROR(INDEX(02_INDICADORES!$B$2:$B$42,MATCH(E1683,02_INDICADORES!$A$2:$A$42,0)),"ID?"))</f>
        <v/>
      </c>
      <c r="G1683" s="21" t="str">
        <f aca="false">IF(E1683="","",IFERROR(INDEX(02_INDICADORES!$C$2:$C$42,MATCH(E1683,02_INDICADORES!$A$2:$A$42,0)),"ID?"))</f>
        <v/>
      </c>
      <c r="H1683" s="22" t="str">
        <f aca="false">IF(E1683="","",IFERROR(INDEX(02_INDICADORES!$D$2:$D$42,MATCH(E1683,02_INDICADORES!$A$2:$A$42,0)),""))</f>
        <v/>
      </c>
      <c r="I1683" s="9"/>
      <c r="J1683" s="16" t="str">
        <f aca="false">IF(OR(I1683="",H1683=""),"",I1683*H1683)</f>
        <v/>
      </c>
      <c r="K1683" s="9"/>
      <c r="L1683" s="9"/>
      <c r="M1683" s="9"/>
    </row>
    <row r="1684" customFormat="false" ht="15" hidden="false" customHeight="false" outlineLevel="0" collapsed="false">
      <c r="A1684" s="9"/>
      <c r="B1684" s="9"/>
      <c r="C1684" s="11"/>
      <c r="D1684" s="9"/>
      <c r="E1684" s="9"/>
      <c r="F1684" s="22" t="str">
        <f aca="false">IF(E1684="","",IFERROR(INDEX(02_INDICADORES!$B$2:$B$42,MATCH(E1684,02_INDICADORES!$A$2:$A$42,0)),"ID?"))</f>
        <v/>
      </c>
      <c r="G1684" s="21" t="str">
        <f aca="false">IF(E1684="","",IFERROR(INDEX(02_INDICADORES!$C$2:$C$42,MATCH(E1684,02_INDICADORES!$A$2:$A$42,0)),"ID?"))</f>
        <v/>
      </c>
      <c r="H1684" s="22" t="str">
        <f aca="false">IF(E1684="","",IFERROR(INDEX(02_INDICADORES!$D$2:$D$42,MATCH(E1684,02_INDICADORES!$A$2:$A$42,0)),""))</f>
        <v/>
      </c>
      <c r="I1684" s="9"/>
      <c r="J1684" s="16" t="str">
        <f aca="false">IF(OR(I1684="",H1684=""),"",I1684*H1684)</f>
        <v/>
      </c>
      <c r="K1684" s="9"/>
      <c r="L1684" s="9"/>
      <c r="M1684" s="9"/>
    </row>
    <row r="1685" customFormat="false" ht="15" hidden="false" customHeight="false" outlineLevel="0" collapsed="false">
      <c r="A1685" s="9"/>
      <c r="B1685" s="9"/>
      <c r="C1685" s="11"/>
      <c r="D1685" s="9"/>
      <c r="E1685" s="9"/>
      <c r="F1685" s="22" t="str">
        <f aca="false">IF(E1685="","",IFERROR(INDEX(02_INDICADORES!$B$2:$B$42,MATCH(E1685,02_INDICADORES!$A$2:$A$42,0)),"ID?"))</f>
        <v/>
      </c>
      <c r="G1685" s="21" t="str">
        <f aca="false">IF(E1685="","",IFERROR(INDEX(02_INDICADORES!$C$2:$C$42,MATCH(E1685,02_INDICADORES!$A$2:$A$42,0)),"ID?"))</f>
        <v/>
      </c>
      <c r="H1685" s="22" t="str">
        <f aca="false">IF(E1685="","",IFERROR(INDEX(02_INDICADORES!$D$2:$D$42,MATCH(E1685,02_INDICADORES!$A$2:$A$42,0)),""))</f>
        <v/>
      </c>
      <c r="I1685" s="9"/>
      <c r="J1685" s="16" t="str">
        <f aca="false">IF(OR(I1685="",H1685=""),"",I1685*H1685)</f>
        <v/>
      </c>
      <c r="K1685" s="9"/>
      <c r="L1685" s="9"/>
      <c r="M1685" s="9"/>
    </row>
    <row r="1686" customFormat="false" ht="15" hidden="false" customHeight="false" outlineLevel="0" collapsed="false">
      <c r="A1686" s="9"/>
      <c r="B1686" s="9"/>
      <c r="C1686" s="11"/>
      <c r="D1686" s="9"/>
      <c r="E1686" s="9"/>
      <c r="F1686" s="22" t="str">
        <f aca="false">IF(E1686="","",IFERROR(INDEX(02_INDICADORES!$B$2:$B$42,MATCH(E1686,02_INDICADORES!$A$2:$A$42,0)),"ID?"))</f>
        <v/>
      </c>
      <c r="G1686" s="21" t="str">
        <f aca="false">IF(E1686="","",IFERROR(INDEX(02_INDICADORES!$C$2:$C$42,MATCH(E1686,02_INDICADORES!$A$2:$A$42,0)),"ID?"))</f>
        <v/>
      </c>
      <c r="H1686" s="22" t="str">
        <f aca="false">IF(E1686="","",IFERROR(INDEX(02_INDICADORES!$D$2:$D$42,MATCH(E1686,02_INDICADORES!$A$2:$A$42,0)),""))</f>
        <v/>
      </c>
      <c r="I1686" s="9"/>
      <c r="J1686" s="16" t="str">
        <f aca="false">IF(OR(I1686="",H1686=""),"",I1686*H1686)</f>
        <v/>
      </c>
      <c r="K1686" s="9"/>
      <c r="L1686" s="9"/>
      <c r="M1686" s="9"/>
    </row>
    <row r="1687" customFormat="false" ht="15" hidden="false" customHeight="false" outlineLevel="0" collapsed="false">
      <c r="A1687" s="9"/>
      <c r="B1687" s="9"/>
      <c r="C1687" s="11"/>
      <c r="D1687" s="9"/>
      <c r="E1687" s="9"/>
      <c r="F1687" s="22" t="str">
        <f aca="false">IF(E1687="","",IFERROR(INDEX(02_INDICADORES!$B$2:$B$42,MATCH(E1687,02_INDICADORES!$A$2:$A$42,0)),"ID?"))</f>
        <v/>
      </c>
      <c r="G1687" s="21" t="str">
        <f aca="false">IF(E1687="","",IFERROR(INDEX(02_INDICADORES!$C$2:$C$42,MATCH(E1687,02_INDICADORES!$A$2:$A$42,0)),"ID?"))</f>
        <v/>
      </c>
      <c r="H1687" s="22" t="str">
        <f aca="false">IF(E1687="","",IFERROR(INDEX(02_INDICADORES!$D$2:$D$42,MATCH(E1687,02_INDICADORES!$A$2:$A$42,0)),""))</f>
        <v/>
      </c>
      <c r="I1687" s="9"/>
      <c r="J1687" s="16" t="str">
        <f aca="false">IF(OR(I1687="",H1687=""),"",I1687*H1687)</f>
        <v/>
      </c>
      <c r="K1687" s="9"/>
      <c r="L1687" s="9"/>
      <c r="M1687" s="9"/>
    </row>
    <row r="1688" customFormat="false" ht="15" hidden="false" customHeight="false" outlineLevel="0" collapsed="false">
      <c r="A1688" s="9"/>
      <c r="B1688" s="9"/>
      <c r="C1688" s="11"/>
      <c r="D1688" s="9"/>
      <c r="E1688" s="9"/>
      <c r="F1688" s="22" t="str">
        <f aca="false">IF(E1688="","",IFERROR(INDEX(02_INDICADORES!$B$2:$B$42,MATCH(E1688,02_INDICADORES!$A$2:$A$42,0)),"ID?"))</f>
        <v/>
      </c>
      <c r="G1688" s="21" t="str">
        <f aca="false">IF(E1688="","",IFERROR(INDEX(02_INDICADORES!$C$2:$C$42,MATCH(E1688,02_INDICADORES!$A$2:$A$42,0)),"ID?"))</f>
        <v/>
      </c>
      <c r="H1688" s="22" t="str">
        <f aca="false">IF(E1688="","",IFERROR(INDEX(02_INDICADORES!$D$2:$D$42,MATCH(E1688,02_INDICADORES!$A$2:$A$42,0)),""))</f>
        <v/>
      </c>
      <c r="I1688" s="9"/>
      <c r="J1688" s="16" t="str">
        <f aca="false">IF(OR(I1688="",H1688=""),"",I1688*H1688)</f>
        <v/>
      </c>
      <c r="K1688" s="9"/>
      <c r="L1688" s="9"/>
      <c r="M1688" s="9"/>
    </row>
    <row r="1689" customFormat="false" ht="15" hidden="false" customHeight="false" outlineLevel="0" collapsed="false">
      <c r="A1689" s="9"/>
      <c r="B1689" s="9"/>
      <c r="C1689" s="11"/>
      <c r="D1689" s="9"/>
      <c r="E1689" s="9"/>
      <c r="F1689" s="22" t="str">
        <f aca="false">IF(E1689="","",IFERROR(INDEX(02_INDICADORES!$B$2:$B$42,MATCH(E1689,02_INDICADORES!$A$2:$A$42,0)),"ID?"))</f>
        <v/>
      </c>
      <c r="G1689" s="21" t="str">
        <f aca="false">IF(E1689="","",IFERROR(INDEX(02_INDICADORES!$C$2:$C$42,MATCH(E1689,02_INDICADORES!$A$2:$A$42,0)),"ID?"))</f>
        <v/>
      </c>
      <c r="H1689" s="22" t="str">
        <f aca="false">IF(E1689="","",IFERROR(INDEX(02_INDICADORES!$D$2:$D$42,MATCH(E1689,02_INDICADORES!$A$2:$A$42,0)),""))</f>
        <v/>
      </c>
      <c r="I1689" s="9"/>
      <c r="J1689" s="16" t="str">
        <f aca="false">IF(OR(I1689="",H1689=""),"",I1689*H1689)</f>
        <v/>
      </c>
      <c r="K1689" s="9"/>
      <c r="L1689" s="9"/>
      <c r="M1689" s="9"/>
    </row>
    <row r="1690" customFormat="false" ht="15" hidden="false" customHeight="false" outlineLevel="0" collapsed="false">
      <c r="A1690" s="9"/>
      <c r="B1690" s="9"/>
      <c r="C1690" s="11"/>
      <c r="D1690" s="9"/>
      <c r="E1690" s="9"/>
      <c r="F1690" s="22" t="str">
        <f aca="false">IF(E1690="","",IFERROR(INDEX(02_INDICADORES!$B$2:$B$42,MATCH(E1690,02_INDICADORES!$A$2:$A$42,0)),"ID?"))</f>
        <v/>
      </c>
      <c r="G1690" s="21" t="str">
        <f aca="false">IF(E1690="","",IFERROR(INDEX(02_INDICADORES!$C$2:$C$42,MATCH(E1690,02_INDICADORES!$A$2:$A$42,0)),"ID?"))</f>
        <v/>
      </c>
      <c r="H1690" s="22" t="str">
        <f aca="false">IF(E1690="","",IFERROR(INDEX(02_INDICADORES!$D$2:$D$42,MATCH(E1690,02_INDICADORES!$A$2:$A$42,0)),""))</f>
        <v/>
      </c>
      <c r="I1690" s="9"/>
      <c r="J1690" s="16" t="str">
        <f aca="false">IF(OR(I1690="",H1690=""),"",I1690*H1690)</f>
        <v/>
      </c>
      <c r="K1690" s="9"/>
      <c r="L1690" s="9"/>
      <c r="M1690" s="9"/>
    </row>
    <row r="1691" customFormat="false" ht="15" hidden="false" customHeight="false" outlineLevel="0" collapsed="false">
      <c r="A1691" s="9"/>
      <c r="B1691" s="9"/>
      <c r="C1691" s="11"/>
      <c r="D1691" s="9"/>
      <c r="E1691" s="9"/>
      <c r="F1691" s="22" t="str">
        <f aca="false">IF(E1691="","",IFERROR(INDEX(02_INDICADORES!$B$2:$B$42,MATCH(E1691,02_INDICADORES!$A$2:$A$42,0)),"ID?"))</f>
        <v/>
      </c>
      <c r="G1691" s="21" t="str">
        <f aca="false">IF(E1691="","",IFERROR(INDEX(02_INDICADORES!$C$2:$C$42,MATCH(E1691,02_INDICADORES!$A$2:$A$42,0)),"ID?"))</f>
        <v/>
      </c>
      <c r="H1691" s="22" t="str">
        <f aca="false">IF(E1691="","",IFERROR(INDEX(02_INDICADORES!$D$2:$D$42,MATCH(E1691,02_INDICADORES!$A$2:$A$42,0)),""))</f>
        <v/>
      </c>
      <c r="I1691" s="9"/>
      <c r="J1691" s="16" t="str">
        <f aca="false">IF(OR(I1691="",H1691=""),"",I1691*H1691)</f>
        <v/>
      </c>
      <c r="K1691" s="9"/>
      <c r="L1691" s="9"/>
      <c r="M1691" s="9"/>
    </row>
    <row r="1692" customFormat="false" ht="15" hidden="false" customHeight="false" outlineLevel="0" collapsed="false">
      <c r="A1692" s="9"/>
      <c r="B1692" s="9"/>
      <c r="C1692" s="11"/>
      <c r="D1692" s="9"/>
      <c r="E1692" s="9"/>
      <c r="F1692" s="22" t="str">
        <f aca="false">IF(E1692="","",IFERROR(INDEX(02_INDICADORES!$B$2:$B$42,MATCH(E1692,02_INDICADORES!$A$2:$A$42,0)),"ID?"))</f>
        <v/>
      </c>
      <c r="G1692" s="21" t="str">
        <f aca="false">IF(E1692="","",IFERROR(INDEX(02_INDICADORES!$C$2:$C$42,MATCH(E1692,02_INDICADORES!$A$2:$A$42,0)),"ID?"))</f>
        <v/>
      </c>
      <c r="H1692" s="22" t="str">
        <f aca="false">IF(E1692="","",IFERROR(INDEX(02_INDICADORES!$D$2:$D$42,MATCH(E1692,02_INDICADORES!$A$2:$A$42,0)),""))</f>
        <v/>
      </c>
      <c r="I1692" s="9"/>
      <c r="J1692" s="16" t="str">
        <f aca="false">IF(OR(I1692="",H1692=""),"",I1692*H1692)</f>
        <v/>
      </c>
      <c r="K1692" s="9"/>
      <c r="L1692" s="9"/>
      <c r="M1692" s="9"/>
    </row>
    <row r="1693" customFormat="false" ht="15" hidden="false" customHeight="false" outlineLevel="0" collapsed="false">
      <c r="A1693" s="9"/>
      <c r="B1693" s="9"/>
      <c r="C1693" s="11"/>
      <c r="D1693" s="9"/>
      <c r="E1693" s="9"/>
      <c r="F1693" s="22" t="str">
        <f aca="false">IF(E1693="","",IFERROR(INDEX(02_INDICADORES!$B$2:$B$42,MATCH(E1693,02_INDICADORES!$A$2:$A$42,0)),"ID?"))</f>
        <v/>
      </c>
      <c r="G1693" s="21" t="str">
        <f aca="false">IF(E1693="","",IFERROR(INDEX(02_INDICADORES!$C$2:$C$42,MATCH(E1693,02_INDICADORES!$A$2:$A$42,0)),"ID?"))</f>
        <v/>
      </c>
      <c r="H1693" s="22" t="str">
        <f aca="false">IF(E1693="","",IFERROR(INDEX(02_INDICADORES!$D$2:$D$42,MATCH(E1693,02_INDICADORES!$A$2:$A$42,0)),""))</f>
        <v/>
      </c>
      <c r="I1693" s="9"/>
      <c r="J1693" s="16" t="str">
        <f aca="false">IF(OR(I1693="",H1693=""),"",I1693*H1693)</f>
        <v/>
      </c>
      <c r="K1693" s="9"/>
      <c r="L1693" s="9"/>
      <c r="M1693" s="9"/>
    </row>
    <row r="1694" customFormat="false" ht="15" hidden="false" customHeight="false" outlineLevel="0" collapsed="false">
      <c r="A1694" s="9"/>
      <c r="B1694" s="9"/>
      <c r="C1694" s="11"/>
      <c r="D1694" s="9"/>
      <c r="E1694" s="9"/>
      <c r="F1694" s="22" t="str">
        <f aca="false">IF(E1694="","",IFERROR(INDEX(02_INDICADORES!$B$2:$B$42,MATCH(E1694,02_INDICADORES!$A$2:$A$42,0)),"ID?"))</f>
        <v/>
      </c>
      <c r="G1694" s="21" t="str">
        <f aca="false">IF(E1694="","",IFERROR(INDEX(02_INDICADORES!$C$2:$C$42,MATCH(E1694,02_INDICADORES!$A$2:$A$42,0)),"ID?"))</f>
        <v/>
      </c>
      <c r="H1694" s="22" t="str">
        <f aca="false">IF(E1694="","",IFERROR(INDEX(02_INDICADORES!$D$2:$D$42,MATCH(E1694,02_INDICADORES!$A$2:$A$42,0)),""))</f>
        <v/>
      </c>
      <c r="I1694" s="9"/>
      <c r="J1694" s="16" t="str">
        <f aca="false">IF(OR(I1694="",H1694=""),"",I1694*H1694)</f>
        <v/>
      </c>
      <c r="K1694" s="9"/>
      <c r="L1694" s="9"/>
      <c r="M1694" s="9"/>
    </row>
    <row r="1695" customFormat="false" ht="15" hidden="false" customHeight="false" outlineLevel="0" collapsed="false">
      <c r="A1695" s="9"/>
      <c r="B1695" s="9"/>
      <c r="C1695" s="11"/>
      <c r="D1695" s="9"/>
      <c r="E1695" s="9"/>
      <c r="F1695" s="22" t="str">
        <f aca="false">IF(E1695="","",IFERROR(INDEX(02_INDICADORES!$B$2:$B$42,MATCH(E1695,02_INDICADORES!$A$2:$A$42,0)),"ID?"))</f>
        <v/>
      </c>
      <c r="G1695" s="21" t="str">
        <f aca="false">IF(E1695="","",IFERROR(INDEX(02_INDICADORES!$C$2:$C$42,MATCH(E1695,02_INDICADORES!$A$2:$A$42,0)),"ID?"))</f>
        <v/>
      </c>
      <c r="H1695" s="22" t="str">
        <f aca="false">IF(E1695="","",IFERROR(INDEX(02_INDICADORES!$D$2:$D$42,MATCH(E1695,02_INDICADORES!$A$2:$A$42,0)),""))</f>
        <v/>
      </c>
      <c r="I1695" s="9"/>
      <c r="J1695" s="16" t="str">
        <f aca="false">IF(OR(I1695="",H1695=""),"",I1695*H1695)</f>
        <v/>
      </c>
      <c r="K1695" s="9"/>
      <c r="L1695" s="9"/>
      <c r="M1695" s="9"/>
    </row>
    <row r="1696" customFormat="false" ht="15" hidden="false" customHeight="false" outlineLevel="0" collapsed="false">
      <c r="A1696" s="9"/>
      <c r="B1696" s="9"/>
      <c r="C1696" s="11"/>
      <c r="D1696" s="9"/>
      <c r="E1696" s="9"/>
      <c r="F1696" s="22" t="str">
        <f aca="false">IF(E1696="","",IFERROR(INDEX(02_INDICADORES!$B$2:$B$42,MATCH(E1696,02_INDICADORES!$A$2:$A$42,0)),"ID?"))</f>
        <v/>
      </c>
      <c r="G1696" s="21" t="str">
        <f aca="false">IF(E1696="","",IFERROR(INDEX(02_INDICADORES!$C$2:$C$42,MATCH(E1696,02_INDICADORES!$A$2:$A$42,0)),"ID?"))</f>
        <v/>
      </c>
      <c r="H1696" s="22" t="str">
        <f aca="false">IF(E1696="","",IFERROR(INDEX(02_INDICADORES!$D$2:$D$42,MATCH(E1696,02_INDICADORES!$A$2:$A$42,0)),""))</f>
        <v/>
      </c>
      <c r="I1696" s="9"/>
      <c r="J1696" s="16" t="str">
        <f aca="false">IF(OR(I1696="",H1696=""),"",I1696*H1696)</f>
        <v/>
      </c>
      <c r="K1696" s="9"/>
      <c r="L1696" s="9"/>
      <c r="M1696" s="9"/>
    </row>
    <row r="1697" customFormat="false" ht="15" hidden="false" customHeight="false" outlineLevel="0" collapsed="false">
      <c r="A1697" s="9"/>
      <c r="B1697" s="9"/>
      <c r="C1697" s="11"/>
      <c r="D1697" s="9"/>
      <c r="E1697" s="9"/>
      <c r="F1697" s="22" t="str">
        <f aca="false">IF(E1697="","",IFERROR(INDEX(02_INDICADORES!$B$2:$B$42,MATCH(E1697,02_INDICADORES!$A$2:$A$42,0)),"ID?"))</f>
        <v/>
      </c>
      <c r="G1697" s="21" t="str">
        <f aca="false">IF(E1697="","",IFERROR(INDEX(02_INDICADORES!$C$2:$C$42,MATCH(E1697,02_INDICADORES!$A$2:$A$42,0)),"ID?"))</f>
        <v/>
      </c>
      <c r="H1697" s="22" t="str">
        <f aca="false">IF(E1697="","",IFERROR(INDEX(02_INDICADORES!$D$2:$D$42,MATCH(E1697,02_INDICADORES!$A$2:$A$42,0)),""))</f>
        <v/>
      </c>
      <c r="I1697" s="9"/>
      <c r="J1697" s="16" t="str">
        <f aca="false">IF(OR(I1697="",H1697=""),"",I1697*H1697)</f>
        <v/>
      </c>
      <c r="K1697" s="9"/>
      <c r="L1697" s="9"/>
      <c r="M1697" s="9"/>
    </row>
    <row r="1698" customFormat="false" ht="15" hidden="false" customHeight="false" outlineLevel="0" collapsed="false">
      <c r="A1698" s="9"/>
      <c r="B1698" s="9"/>
      <c r="C1698" s="11"/>
      <c r="D1698" s="9"/>
      <c r="E1698" s="9"/>
      <c r="F1698" s="22" t="str">
        <f aca="false">IF(E1698="","",IFERROR(INDEX(02_INDICADORES!$B$2:$B$42,MATCH(E1698,02_INDICADORES!$A$2:$A$42,0)),"ID?"))</f>
        <v/>
      </c>
      <c r="G1698" s="21" t="str">
        <f aca="false">IF(E1698="","",IFERROR(INDEX(02_INDICADORES!$C$2:$C$42,MATCH(E1698,02_INDICADORES!$A$2:$A$42,0)),"ID?"))</f>
        <v/>
      </c>
      <c r="H1698" s="22" t="str">
        <f aca="false">IF(E1698="","",IFERROR(INDEX(02_INDICADORES!$D$2:$D$42,MATCH(E1698,02_INDICADORES!$A$2:$A$42,0)),""))</f>
        <v/>
      </c>
      <c r="I1698" s="9"/>
      <c r="J1698" s="16" t="str">
        <f aca="false">IF(OR(I1698="",H1698=""),"",I1698*H1698)</f>
        <v/>
      </c>
      <c r="K1698" s="9"/>
      <c r="L1698" s="9"/>
      <c r="M1698" s="9"/>
    </row>
    <row r="1699" customFormat="false" ht="15" hidden="false" customHeight="false" outlineLevel="0" collapsed="false">
      <c r="A1699" s="9"/>
      <c r="B1699" s="9"/>
      <c r="C1699" s="11"/>
      <c r="D1699" s="9"/>
      <c r="E1699" s="9"/>
      <c r="F1699" s="22" t="str">
        <f aca="false">IF(E1699="","",IFERROR(INDEX(02_INDICADORES!$B$2:$B$42,MATCH(E1699,02_INDICADORES!$A$2:$A$42,0)),"ID?"))</f>
        <v/>
      </c>
      <c r="G1699" s="21" t="str">
        <f aca="false">IF(E1699="","",IFERROR(INDEX(02_INDICADORES!$C$2:$C$42,MATCH(E1699,02_INDICADORES!$A$2:$A$42,0)),"ID?"))</f>
        <v/>
      </c>
      <c r="H1699" s="22" t="str">
        <f aca="false">IF(E1699="","",IFERROR(INDEX(02_INDICADORES!$D$2:$D$42,MATCH(E1699,02_INDICADORES!$A$2:$A$42,0)),""))</f>
        <v/>
      </c>
      <c r="I1699" s="9"/>
      <c r="J1699" s="16" t="str">
        <f aca="false">IF(OR(I1699="",H1699=""),"",I1699*H1699)</f>
        <v/>
      </c>
      <c r="K1699" s="9"/>
      <c r="L1699" s="9"/>
      <c r="M1699" s="9"/>
    </row>
    <row r="1700" customFormat="false" ht="15" hidden="false" customHeight="false" outlineLevel="0" collapsed="false">
      <c r="A1700" s="9"/>
      <c r="B1700" s="9"/>
      <c r="C1700" s="11"/>
      <c r="D1700" s="9"/>
      <c r="E1700" s="9"/>
      <c r="F1700" s="22" t="str">
        <f aca="false">IF(E1700="","",IFERROR(INDEX(02_INDICADORES!$B$2:$B$42,MATCH(E1700,02_INDICADORES!$A$2:$A$42,0)),"ID?"))</f>
        <v/>
      </c>
      <c r="G1700" s="21" t="str">
        <f aca="false">IF(E1700="","",IFERROR(INDEX(02_INDICADORES!$C$2:$C$42,MATCH(E1700,02_INDICADORES!$A$2:$A$42,0)),"ID?"))</f>
        <v/>
      </c>
      <c r="H1700" s="22" t="str">
        <f aca="false">IF(E1700="","",IFERROR(INDEX(02_INDICADORES!$D$2:$D$42,MATCH(E1700,02_INDICADORES!$A$2:$A$42,0)),""))</f>
        <v/>
      </c>
      <c r="I1700" s="9"/>
      <c r="J1700" s="16" t="str">
        <f aca="false">IF(OR(I1700="",H1700=""),"",I1700*H1700)</f>
        <v/>
      </c>
      <c r="K1700" s="9"/>
      <c r="L1700" s="9"/>
      <c r="M1700" s="9"/>
    </row>
    <row r="1701" customFormat="false" ht="15" hidden="false" customHeight="false" outlineLevel="0" collapsed="false">
      <c r="A1701" s="9"/>
      <c r="B1701" s="9"/>
      <c r="C1701" s="11"/>
      <c r="D1701" s="9"/>
      <c r="E1701" s="9"/>
      <c r="F1701" s="22" t="str">
        <f aca="false">IF(E1701="","",IFERROR(INDEX(02_INDICADORES!$B$2:$B$42,MATCH(E1701,02_INDICADORES!$A$2:$A$42,0)),"ID?"))</f>
        <v/>
      </c>
      <c r="G1701" s="21" t="str">
        <f aca="false">IF(E1701="","",IFERROR(INDEX(02_INDICADORES!$C$2:$C$42,MATCH(E1701,02_INDICADORES!$A$2:$A$42,0)),"ID?"))</f>
        <v/>
      </c>
      <c r="H1701" s="22" t="str">
        <f aca="false">IF(E1701="","",IFERROR(INDEX(02_INDICADORES!$D$2:$D$42,MATCH(E1701,02_INDICADORES!$A$2:$A$42,0)),""))</f>
        <v/>
      </c>
      <c r="I1701" s="9"/>
      <c r="J1701" s="16" t="str">
        <f aca="false">IF(OR(I1701="",H1701=""),"",I1701*H1701)</f>
        <v/>
      </c>
      <c r="K1701" s="9"/>
      <c r="L1701" s="9"/>
      <c r="M1701" s="9"/>
    </row>
    <row r="1702" customFormat="false" ht="15" hidden="false" customHeight="false" outlineLevel="0" collapsed="false">
      <c r="A1702" s="9"/>
      <c r="B1702" s="9"/>
      <c r="C1702" s="11"/>
      <c r="D1702" s="9"/>
      <c r="E1702" s="9"/>
      <c r="F1702" s="22" t="str">
        <f aca="false">IF(E1702="","",IFERROR(INDEX(02_INDICADORES!$B$2:$B$42,MATCH(E1702,02_INDICADORES!$A$2:$A$42,0)),"ID?"))</f>
        <v/>
      </c>
      <c r="G1702" s="21" t="str">
        <f aca="false">IF(E1702="","",IFERROR(INDEX(02_INDICADORES!$C$2:$C$42,MATCH(E1702,02_INDICADORES!$A$2:$A$42,0)),"ID?"))</f>
        <v/>
      </c>
      <c r="H1702" s="22" t="str">
        <f aca="false">IF(E1702="","",IFERROR(INDEX(02_INDICADORES!$D$2:$D$42,MATCH(E1702,02_INDICADORES!$A$2:$A$42,0)),""))</f>
        <v/>
      </c>
      <c r="I1702" s="9"/>
      <c r="J1702" s="16" t="str">
        <f aca="false">IF(OR(I1702="",H1702=""),"",I1702*H1702)</f>
        <v/>
      </c>
      <c r="K1702" s="9"/>
      <c r="L1702" s="9"/>
      <c r="M1702" s="9"/>
    </row>
    <row r="1703" customFormat="false" ht="15" hidden="false" customHeight="false" outlineLevel="0" collapsed="false">
      <c r="A1703" s="9"/>
      <c r="B1703" s="9"/>
      <c r="C1703" s="11"/>
      <c r="D1703" s="9"/>
      <c r="E1703" s="9"/>
      <c r="F1703" s="22" t="str">
        <f aca="false">IF(E1703="","",IFERROR(INDEX(02_INDICADORES!$B$2:$B$42,MATCH(E1703,02_INDICADORES!$A$2:$A$42,0)),"ID?"))</f>
        <v/>
      </c>
      <c r="G1703" s="21" t="str">
        <f aca="false">IF(E1703="","",IFERROR(INDEX(02_INDICADORES!$C$2:$C$42,MATCH(E1703,02_INDICADORES!$A$2:$A$42,0)),"ID?"))</f>
        <v/>
      </c>
      <c r="H1703" s="22" t="str">
        <f aca="false">IF(E1703="","",IFERROR(INDEX(02_INDICADORES!$D$2:$D$42,MATCH(E1703,02_INDICADORES!$A$2:$A$42,0)),""))</f>
        <v/>
      </c>
      <c r="I1703" s="9"/>
      <c r="J1703" s="16" t="str">
        <f aca="false">IF(OR(I1703="",H1703=""),"",I1703*H1703)</f>
        <v/>
      </c>
      <c r="K1703" s="9"/>
      <c r="L1703" s="9"/>
      <c r="M1703" s="9"/>
    </row>
    <row r="1704" customFormat="false" ht="15" hidden="false" customHeight="false" outlineLevel="0" collapsed="false">
      <c r="A1704" s="9"/>
      <c r="B1704" s="9"/>
      <c r="C1704" s="11"/>
      <c r="D1704" s="9"/>
      <c r="E1704" s="9"/>
      <c r="F1704" s="22" t="str">
        <f aca="false">IF(E1704="","",IFERROR(INDEX(02_INDICADORES!$B$2:$B$42,MATCH(E1704,02_INDICADORES!$A$2:$A$42,0)),"ID?"))</f>
        <v/>
      </c>
      <c r="G1704" s="21" t="str">
        <f aca="false">IF(E1704="","",IFERROR(INDEX(02_INDICADORES!$C$2:$C$42,MATCH(E1704,02_INDICADORES!$A$2:$A$42,0)),"ID?"))</f>
        <v/>
      </c>
      <c r="H1704" s="22" t="str">
        <f aca="false">IF(E1704="","",IFERROR(INDEX(02_INDICADORES!$D$2:$D$42,MATCH(E1704,02_INDICADORES!$A$2:$A$42,0)),""))</f>
        <v/>
      </c>
      <c r="I1704" s="9"/>
      <c r="J1704" s="16" t="str">
        <f aca="false">IF(OR(I1704="",H1704=""),"",I1704*H1704)</f>
        <v/>
      </c>
      <c r="K1704" s="9"/>
      <c r="L1704" s="9"/>
      <c r="M1704" s="9"/>
    </row>
    <row r="1705" customFormat="false" ht="15" hidden="false" customHeight="false" outlineLevel="0" collapsed="false">
      <c r="A1705" s="9"/>
      <c r="B1705" s="9"/>
      <c r="C1705" s="11"/>
      <c r="D1705" s="9"/>
      <c r="E1705" s="9"/>
      <c r="F1705" s="22" t="str">
        <f aca="false">IF(E1705="","",IFERROR(INDEX(02_INDICADORES!$B$2:$B$42,MATCH(E1705,02_INDICADORES!$A$2:$A$42,0)),"ID?"))</f>
        <v/>
      </c>
      <c r="G1705" s="21" t="str">
        <f aca="false">IF(E1705="","",IFERROR(INDEX(02_INDICADORES!$C$2:$C$42,MATCH(E1705,02_INDICADORES!$A$2:$A$42,0)),"ID?"))</f>
        <v/>
      </c>
      <c r="H1705" s="22" t="str">
        <f aca="false">IF(E1705="","",IFERROR(INDEX(02_INDICADORES!$D$2:$D$42,MATCH(E1705,02_INDICADORES!$A$2:$A$42,0)),""))</f>
        <v/>
      </c>
      <c r="I1705" s="9"/>
      <c r="J1705" s="16" t="str">
        <f aca="false">IF(OR(I1705="",H1705=""),"",I1705*H1705)</f>
        <v/>
      </c>
      <c r="K1705" s="9"/>
      <c r="L1705" s="9"/>
      <c r="M1705" s="9"/>
    </row>
    <row r="1706" customFormat="false" ht="15" hidden="false" customHeight="false" outlineLevel="0" collapsed="false">
      <c r="A1706" s="9"/>
      <c r="B1706" s="9"/>
      <c r="C1706" s="11"/>
      <c r="D1706" s="9"/>
      <c r="E1706" s="9"/>
      <c r="F1706" s="22" t="str">
        <f aca="false">IF(E1706="","",IFERROR(INDEX(02_INDICADORES!$B$2:$B$42,MATCH(E1706,02_INDICADORES!$A$2:$A$42,0)),"ID?"))</f>
        <v/>
      </c>
      <c r="G1706" s="21" t="str">
        <f aca="false">IF(E1706="","",IFERROR(INDEX(02_INDICADORES!$C$2:$C$42,MATCH(E1706,02_INDICADORES!$A$2:$A$42,0)),"ID?"))</f>
        <v/>
      </c>
      <c r="H1706" s="22" t="str">
        <f aca="false">IF(E1706="","",IFERROR(INDEX(02_INDICADORES!$D$2:$D$42,MATCH(E1706,02_INDICADORES!$A$2:$A$42,0)),""))</f>
        <v/>
      </c>
      <c r="I1706" s="9"/>
      <c r="J1706" s="16" t="str">
        <f aca="false">IF(OR(I1706="",H1706=""),"",I1706*H1706)</f>
        <v/>
      </c>
      <c r="K1706" s="9"/>
      <c r="L1706" s="9"/>
      <c r="M1706" s="9"/>
    </row>
    <row r="1707" customFormat="false" ht="15" hidden="false" customHeight="false" outlineLevel="0" collapsed="false">
      <c r="A1707" s="9"/>
      <c r="B1707" s="9"/>
      <c r="C1707" s="11"/>
      <c r="D1707" s="9"/>
      <c r="E1707" s="9"/>
      <c r="F1707" s="22" t="str">
        <f aca="false">IF(E1707="","",IFERROR(INDEX(02_INDICADORES!$B$2:$B$42,MATCH(E1707,02_INDICADORES!$A$2:$A$42,0)),"ID?"))</f>
        <v/>
      </c>
      <c r="G1707" s="21" t="str">
        <f aca="false">IF(E1707="","",IFERROR(INDEX(02_INDICADORES!$C$2:$C$42,MATCH(E1707,02_INDICADORES!$A$2:$A$42,0)),"ID?"))</f>
        <v/>
      </c>
      <c r="H1707" s="22" t="str">
        <f aca="false">IF(E1707="","",IFERROR(INDEX(02_INDICADORES!$D$2:$D$42,MATCH(E1707,02_INDICADORES!$A$2:$A$42,0)),""))</f>
        <v/>
      </c>
      <c r="I1707" s="9"/>
      <c r="J1707" s="16" t="str">
        <f aca="false">IF(OR(I1707="",H1707=""),"",I1707*H1707)</f>
        <v/>
      </c>
      <c r="K1707" s="9"/>
      <c r="L1707" s="9"/>
      <c r="M1707" s="9"/>
    </row>
    <row r="1708" customFormat="false" ht="15" hidden="false" customHeight="false" outlineLevel="0" collapsed="false">
      <c r="A1708" s="9"/>
      <c r="B1708" s="9"/>
      <c r="C1708" s="11"/>
      <c r="D1708" s="9"/>
      <c r="E1708" s="9"/>
      <c r="F1708" s="22" t="str">
        <f aca="false">IF(E1708="","",IFERROR(INDEX(02_INDICADORES!$B$2:$B$42,MATCH(E1708,02_INDICADORES!$A$2:$A$42,0)),"ID?"))</f>
        <v/>
      </c>
      <c r="G1708" s="21" t="str">
        <f aca="false">IF(E1708="","",IFERROR(INDEX(02_INDICADORES!$C$2:$C$42,MATCH(E1708,02_INDICADORES!$A$2:$A$42,0)),"ID?"))</f>
        <v/>
      </c>
      <c r="H1708" s="22" t="str">
        <f aca="false">IF(E1708="","",IFERROR(INDEX(02_INDICADORES!$D$2:$D$42,MATCH(E1708,02_INDICADORES!$A$2:$A$42,0)),""))</f>
        <v/>
      </c>
      <c r="I1708" s="9"/>
      <c r="J1708" s="16" t="str">
        <f aca="false">IF(OR(I1708="",H1708=""),"",I1708*H1708)</f>
        <v/>
      </c>
      <c r="K1708" s="9"/>
      <c r="L1708" s="9"/>
      <c r="M1708" s="9"/>
    </row>
    <row r="1709" customFormat="false" ht="15" hidden="false" customHeight="false" outlineLevel="0" collapsed="false">
      <c r="A1709" s="9"/>
      <c r="B1709" s="9"/>
      <c r="C1709" s="11"/>
      <c r="D1709" s="9"/>
      <c r="E1709" s="9"/>
      <c r="F1709" s="22" t="str">
        <f aca="false">IF(E1709="","",IFERROR(INDEX(02_INDICADORES!$B$2:$B$42,MATCH(E1709,02_INDICADORES!$A$2:$A$42,0)),"ID?"))</f>
        <v/>
      </c>
      <c r="G1709" s="21" t="str">
        <f aca="false">IF(E1709="","",IFERROR(INDEX(02_INDICADORES!$C$2:$C$42,MATCH(E1709,02_INDICADORES!$A$2:$A$42,0)),"ID?"))</f>
        <v/>
      </c>
      <c r="H1709" s="22" t="str">
        <f aca="false">IF(E1709="","",IFERROR(INDEX(02_INDICADORES!$D$2:$D$42,MATCH(E1709,02_INDICADORES!$A$2:$A$42,0)),""))</f>
        <v/>
      </c>
      <c r="I1709" s="9"/>
      <c r="J1709" s="16" t="str">
        <f aca="false">IF(OR(I1709="",H1709=""),"",I1709*H1709)</f>
        <v/>
      </c>
      <c r="K1709" s="9"/>
      <c r="L1709" s="9"/>
      <c r="M1709" s="9"/>
    </row>
    <row r="1710" customFormat="false" ht="15" hidden="false" customHeight="false" outlineLevel="0" collapsed="false">
      <c r="A1710" s="9"/>
      <c r="B1710" s="9"/>
      <c r="C1710" s="11"/>
      <c r="D1710" s="9"/>
      <c r="E1710" s="9"/>
      <c r="F1710" s="22" t="str">
        <f aca="false">IF(E1710="","",IFERROR(INDEX(02_INDICADORES!$B$2:$B$42,MATCH(E1710,02_INDICADORES!$A$2:$A$42,0)),"ID?"))</f>
        <v/>
      </c>
      <c r="G1710" s="21" t="str">
        <f aca="false">IF(E1710="","",IFERROR(INDEX(02_INDICADORES!$C$2:$C$42,MATCH(E1710,02_INDICADORES!$A$2:$A$42,0)),"ID?"))</f>
        <v/>
      </c>
      <c r="H1710" s="22" t="str">
        <f aca="false">IF(E1710="","",IFERROR(INDEX(02_INDICADORES!$D$2:$D$42,MATCH(E1710,02_INDICADORES!$A$2:$A$42,0)),""))</f>
        <v/>
      </c>
      <c r="I1710" s="9"/>
      <c r="J1710" s="16" t="str">
        <f aca="false">IF(OR(I1710="",H1710=""),"",I1710*H1710)</f>
        <v/>
      </c>
      <c r="K1710" s="9"/>
      <c r="L1710" s="9"/>
      <c r="M1710" s="9"/>
    </row>
    <row r="1711" customFormat="false" ht="15" hidden="false" customHeight="false" outlineLevel="0" collapsed="false">
      <c r="A1711" s="9"/>
      <c r="B1711" s="9"/>
      <c r="C1711" s="11"/>
      <c r="D1711" s="9"/>
      <c r="E1711" s="9"/>
      <c r="F1711" s="22" t="str">
        <f aca="false">IF(E1711="","",IFERROR(INDEX(02_INDICADORES!$B$2:$B$42,MATCH(E1711,02_INDICADORES!$A$2:$A$42,0)),"ID?"))</f>
        <v/>
      </c>
      <c r="G1711" s="21" t="str">
        <f aca="false">IF(E1711="","",IFERROR(INDEX(02_INDICADORES!$C$2:$C$42,MATCH(E1711,02_INDICADORES!$A$2:$A$42,0)),"ID?"))</f>
        <v/>
      </c>
      <c r="H1711" s="22" t="str">
        <f aca="false">IF(E1711="","",IFERROR(INDEX(02_INDICADORES!$D$2:$D$42,MATCH(E1711,02_INDICADORES!$A$2:$A$42,0)),""))</f>
        <v/>
      </c>
      <c r="I1711" s="9"/>
      <c r="J1711" s="16" t="str">
        <f aca="false">IF(OR(I1711="",H1711=""),"",I1711*H1711)</f>
        <v/>
      </c>
      <c r="K1711" s="9"/>
      <c r="L1711" s="9"/>
      <c r="M1711" s="9"/>
    </row>
    <row r="1712" customFormat="false" ht="15" hidden="false" customHeight="false" outlineLevel="0" collapsed="false">
      <c r="A1712" s="9"/>
      <c r="B1712" s="9"/>
      <c r="C1712" s="11"/>
      <c r="D1712" s="9"/>
      <c r="E1712" s="9"/>
      <c r="F1712" s="22" t="str">
        <f aca="false">IF(E1712="","",IFERROR(INDEX(02_INDICADORES!$B$2:$B$42,MATCH(E1712,02_INDICADORES!$A$2:$A$42,0)),"ID?"))</f>
        <v/>
      </c>
      <c r="G1712" s="21" t="str">
        <f aca="false">IF(E1712="","",IFERROR(INDEX(02_INDICADORES!$C$2:$C$42,MATCH(E1712,02_INDICADORES!$A$2:$A$42,0)),"ID?"))</f>
        <v/>
      </c>
      <c r="H1712" s="22" t="str">
        <f aca="false">IF(E1712="","",IFERROR(INDEX(02_INDICADORES!$D$2:$D$42,MATCH(E1712,02_INDICADORES!$A$2:$A$42,0)),""))</f>
        <v/>
      </c>
      <c r="I1712" s="9"/>
      <c r="J1712" s="16" t="str">
        <f aca="false">IF(OR(I1712="",H1712=""),"",I1712*H1712)</f>
        <v/>
      </c>
      <c r="K1712" s="9"/>
      <c r="L1712" s="9"/>
      <c r="M1712" s="9"/>
    </row>
    <row r="1713" customFormat="false" ht="15" hidden="false" customHeight="false" outlineLevel="0" collapsed="false">
      <c r="A1713" s="9"/>
      <c r="B1713" s="9"/>
      <c r="C1713" s="11"/>
      <c r="D1713" s="9"/>
      <c r="E1713" s="9"/>
      <c r="F1713" s="22" t="str">
        <f aca="false">IF(E1713="","",IFERROR(INDEX(02_INDICADORES!$B$2:$B$42,MATCH(E1713,02_INDICADORES!$A$2:$A$42,0)),"ID?"))</f>
        <v/>
      </c>
      <c r="G1713" s="21" t="str">
        <f aca="false">IF(E1713="","",IFERROR(INDEX(02_INDICADORES!$C$2:$C$42,MATCH(E1713,02_INDICADORES!$A$2:$A$42,0)),"ID?"))</f>
        <v/>
      </c>
      <c r="H1713" s="22" t="str">
        <f aca="false">IF(E1713="","",IFERROR(INDEX(02_INDICADORES!$D$2:$D$42,MATCH(E1713,02_INDICADORES!$A$2:$A$42,0)),""))</f>
        <v/>
      </c>
      <c r="I1713" s="9"/>
      <c r="J1713" s="16" t="str">
        <f aca="false">IF(OR(I1713="",H1713=""),"",I1713*H1713)</f>
        <v/>
      </c>
      <c r="K1713" s="9"/>
      <c r="L1713" s="9"/>
      <c r="M1713" s="9"/>
    </row>
    <row r="1714" customFormat="false" ht="15" hidden="false" customHeight="false" outlineLevel="0" collapsed="false">
      <c r="A1714" s="9"/>
      <c r="B1714" s="9"/>
      <c r="C1714" s="11"/>
      <c r="D1714" s="9"/>
      <c r="E1714" s="9"/>
      <c r="F1714" s="22" t="str">
        <f aca="false">IF(E1714="","",IFERROR(INDEX(02_INDICADORES!$B$2:$B$42,MATCH(E1714,02_INDICADORES!$A$2:$A$42,0)),"ID?"))</f>
        <v/>
      </c>
      <c r="G1714" s="21" t="str">
        <f aca="false">IF(E1714="","",IFERROR(INDEX(02_INDICADORES!$C$2:$C$42,MATCH(E1714,02_INDICADORES!$A$2:$A$42,0)),"ID?"))</f>
        <v/>
      </c>
      <c r="H1714" s="22" t="str">
        <f aca="false">IF(E1714="","",IFERROR(INDEX(02_INDICADORES!$D$2:$D$42,MATCH(E1714,02_INDICADORES!$A$2:$A$42,0)),""))</f>
        <v/>
      </c>
      <c r="I1714" s="9"/>
      <c r="J1714" s="16" t="str">
        <f aca="false">IF(OR(I1714="",H1714=""),"",I1714*H1714)</f>
        <v/>
      </c>
      <c r="K1714" s="9"/>
      <c r="L1714" s="9"/>
      <c r="M1714" s="9"/>
    </row>
    <row r="1715" customFormat="false" ht="15" hidden="false" customHeight="false" outlineLevel="0" collapsed="false">
      <c r="A1715" s="9"/>
      <c r="B1715" s="9"/>
      <c r="C1715" s="11"/>
      <c r="D1715" s="9"/>
      <c r="E1715" s="9"/>
      <c r="F1715" s="22" t="str">
        <f aca="false">IF(E1715="","",IFERROR(INDEX(02_INDICADORES!$B$2:$B$42,MATCH(E1715,02_INDICADORES!$A$2:$A$42,0)),"ID?"))</f>
        <v/>
      </c>
      <c r="G1715" s="21" t="str">
        <f aca="false">IF(E1715="","",IFERROR(INDEX(02_INDICADORES!$C$2:$C$42,MATCH(E1715,02_INDICADORES!$A$2:$A$42,0)),"ID?"))</f>
        <v/>
      </c>
      <c r="H1715" s="22" t="str">
        <f aca="false">IF(E1715="","",IFERROR(INDEX(02_INDICADORES!$D$2:$D$42,MATCH(E1715,02_INDICADORES!$A$2:$A$42,0)),""))</f>
        <v/>
      </c>
      <c r="I1715" s="9"/>
      <c r="J1715" s="16" t="str">
        <f aca="false">IF(OR(I1715="",H1715=""),"",I1715*H1715)</f>
        <v/>
      </c>
      <c r="K1715" s="9"/>
      <c r="L1715" s="9"/>
      <c r="M1715" s="9"/>
    </row>
    <row r="1716" customFormat="false" ht="15" hidden="false" customHeight="false" outlineLevel="0" collapsed="false">
      <c r="A1716" s="9"/>
      <c r="B1716" s="9"/>
      <c r="C1716" s="11"/>
      <c r="D1716" s="9"/>
      <c r="E1716" s="9"/>
      <c r="F1716" s="22" t="str">
        <f aca="false">IF(E1716="","",IFERROR(INDEX(02_INDICADORES!$B$2:$B$42,MATCH(E1716,02_INDICADORES!$A$2:$A$42,0)),"ID?"))</f>
        <v/>
      </c>
      <c r="G1716" s="21" t="str">
        <f aca="false">IF(E1716="","",IFERROR(INDEX(02_INDICADORES!$C$2:$C$42,MATCH(E1716,02_INDICADORES!$A$2:$A$42,0)),"ID?"))</f>
        <v/>
      </c>
      <c r="H1716" s="22" t="str">
        <f aca="false">IF(E1716="","",IFERROR(INDEX(02_INDICADORES!$D$2:$D$42,MATCH(E1716,02_INDICADORES!$A$2:$A$42,0)),""))</f>
        <v/>
      </c>
      <c r="I1716" s="9"/>
      <c r="J1716" s="16" t="str">
        <f aca="false">IF(OR(I1716="",H1716=""),"",I1716*H1716)</f>
        <v/>
      </c>
      <c r="K1716" s="9"/>
      <c r="L1716" s="9"/>
      <c r="M1716" s="9"/>
    </row>
    <row r="1717" customFormat="false" ht="15" hidden="false" customHeight="false" outlineLevel="0" collapsed="false">
      <c r="A1717" s="9"/>
      <c r="B1717" s="9"/>
      <c r="C1717" s="11"/>
      <c r="D1717" s="9"/>
      <c r="E1717" s="9"/>
      <c r="F1717" s="22" t="str">
        <f aca="false">IF(E1717="","",IFERROR(INDEX(02_INDICADORES!$B$2:$B$42,MATCH(E1717,02_INDICADORES!$A$2:$A$42,0)),"ID?"))</f>
        <v/>
      </c>
      <c r="G1717" s="21" t="str">
        <f aca="false">IF(E1717="","",IFERROR(INDEX(02_INDICADORES!$C$2:$C$42,MATCH(E1717,02_INDICADORES!$A$2:$A$42,0)),"ID?"))</f>
        <v/>
      </c>
      <c r="H1717" s="22" t="str">
        <f aca="false">IF(E1717="","",IFERROR(INDEX(02_INDICADORES!$D$2:$D$42,MATCH(E1717,02_INDICADORES!$A$2:$A$42,0)),""))</f>
        <v/>
      </c>
      <c r="I1717" s="9"/>
      <c r="J1717" s="16" t="str">
        <f aca="false">IF(OR(I1717="",H1717=""),"",I1717*H1717)</f>
        <v/>
      </c>
      <c r="K1717" s="9"/>
      <c r="L1717" s="9"/>
      <c r="M1717" s="9"/>
    </row>
    <row r="1718" customFormat="false" ht="15" hidden="false" customHeight="false" outlineLevel="0" collapsed="false">
      <c r="A1718" s="9"/>
      <c r="B1718" s="9"/>
      <c r="C1718" s="11"/>
      <c r="D1718" s="9"/>
      <c r="E1718" s="9"/>
      <c r="F1718" s="22" t="str">
        <f aca="false">IF(E1718="","",IFERROR(INDEX(02_INDICADORES!$B$2:$B$42,MATCH(E1718,02_INDICADORES!$A$2:$A$42,0)),"ID?"))</f>
        <v/>
      </c>
      <c r="G1718" s="21" t="str">
        <f aca="false">IF(E1718="","",IFERROR(INDEX(02_INDICADORES!$C$2:$C$42,MATCH(E1718,02_INDICADORES!$A$2:$A$42,0)),"ID?"))</f>
        <v/>
      </c>
      <c r="H1718" s="22" t="str">
        <f aca="false">IF(E1718="","",IFERROR(INDEX(02_INDICADORES!$D$2:$D$42,MATCH(E1718,02_INDICADORES!$A$2:$A$42,0)),""))</f>
        <v/>
      </c>
      <c r="I1718" s="9"/>
      <c r="J1718" s="16" t="str">
        <f aca="false">IF(OR(I1718="",H1718=""),"",I1718*H1718)</f>
        <v/>
      </c>
      <c r="K1718" s="9"/>
      <c r="L1718" s="9"/>
      <c r="M1718" s="9"/>
    </row>
    <row r="1719" customFormat="false" ht="15" hidden="false" customHeight="false" outlineLevel="0" collapsed="false">
      <c r="A1719" s="9"/>
      <c r="B1719" s="9"/>
      <c r="C1719" s="11"/>
      <c r="D1719" s="9"/>
      <c r="E1719" s="9"/>
      <c r="F1719" s="22" t="str">
        <f aca="false">IF(E1719="","",IFERROR(INDEX(02_INDICADORES!$B$2:$B$42,MATCH(E1719,02_INDICADORES!$A$2:$A$42,0)),"ID?"))</f>
        <v/>
      </c>
      <c r="G1719" s="21" t="str">
        <f aca="false">IF(E1719="","",IFERROR(INDEX(02_INDICADORES!$C$2:$C$42,MATCH(E1719,02_INDICADORES!$A$2:$A$42,0)),"ID?"))</f>
        <v/>
      </c>
      <c r="H1719" s="22" t="str">
        <f aca="false">IF(E1719="","",IFERROR(INDEX(02_INDICADORES!$D$2:$D$42,MATCH(E1719,02_INDICADORES!$A$2:$A$42,0)),""))</f>
        <v/>
      </c>
      <c r="I1719" s="9"/>
      <c r="J1719" s="16" t="str">
        <f aca="false">IF(OR(I1719="",H1719=""),"",I1719*H1719)</f>
        <v/>
      </c>
      <c r="K1719" s="9"/>
      <c r="L1719" s="9"/>
      <c r="M1719" s="9"/>
    </row>
    <row r="1720" customFormat="false" ht="15" hidden="false" customHeight="false" outlineLevel="0" collapsed="false">
      <c r="A1720" s="9"/>
      <c r="B1720" s="9"/>
      <c r="C1720" s="11"/>
      <c r="D1720" s="9"/>
      <c r="E1720" s="9"/>
      <c r="F1720" s="22" t="str">
        <f aca="false">IF(E1720="","",IFERROR(INDEX(02_INDICADORES!$B$2:$B$42,MATCH(E1720,02_INDICADORES!$A$2:$A$42,0)),"ID?"))</f>
        <v/>
      </c>
      <c r="G1720" s="21" t="str">
        <f aca="false">IF(E1720="","",IFERROR(INDEX(02_INDICADORES!$C$2:$C$42,MATCH(E1720,02_INDICADORES!$A$2:$A$42,0)),"ID?"))</f>
        <v/>
      </c>
      <c r="H1720" s="22" t="str">
        <f aca="false">IF(E1720="","",IFERROR(INDEX(02_INDICADORES!$D$2:$D$42,MATCH(E1720,02_INDICADORES!$A$2:$A$42,0)),""))</f>
        <v/>
      </c>
      <c r="I1720" s="9"/>
      <c r="J1720" s="16" t="str">
        <f aca="false">IF(OR(I1720="",H1720=""),"",I1720*H1720)</f>
        <v/>
      </c>
      <c r="K1720" s="9"/>
      <c r="L1720" s="9"/>
      <c r="M1720" s="9"/>
    </row>
    <row r="1721" customFormat="false" ht="15" hidden="false" customHeight="false" outlineLevel="0" collapsed="false">
      <c r="A1721" s="9"/>
      <c r="B1721" s="9"/>
      <c r="C1721" s="11"/>
      <c r="D1721" s="9"/>
      <c r="E1721" s="9"/>
      <c r="F1721" s="22" t="str">
        <f aca="false">IF(E1721="","",IFERROR(INDEX(02_INDICADORES!$B$2:$B$42,MATCH(E1721,02_INDICADORES!$A$2:$A$42,0)),"ID?"))</f>
        <v/>
      </c>
      <c r="G1721" s="21" t="str">
        <f aca="false">IF(E1721="","",IFERROR(INDEX(02_INDICADORES!$C$2:$C$42,MATCH(E1721,02_INDICADORES!$A$2:$A$42,0)),"ID?"))</f>
        <v/>
      </c>
      <c r="H1721" s="22" t="str">
        <f aca="false">IF(E1721="","",IFERROR(INDEX(02_INDICADORES!$D$2:$D$42,MATCH(E1721,02_INDICADORES!$A$2:$A$42,0)),""))</f>
        <v/>
      </c>
      <c r="I1721" s="9"/>
      <c r="J1721" s="16" t="str">
        <f aca="false">IF(OR(I1721="",H1721=""),"",I1721*H1721)</f>
        <v/>
      </c>
      <c r="K1721" s="9"/>
      <c r="L1721" s="9"/>
      <c r="M1721" s="9"/>
    </row>
    <row r="1722" customFormat="false" ht="15" hidden="false" customHeight="false" outlineLevel="0" collapsed="false">
      <c r="A1722" s="9"/>
      <c r="B1722" s="9"/>
      <c r="C1722" s="11"/>
      <c r="D1722" s="9"/>
      <c r="E1722" s="9"/>
      <c r="F1722" s="22" t="str">
        <f aca="false">IF(E1722="","",IFERROR(INDEX(02_INDICADORES!$B$2:$B$42,MATCH(E1722,02_INDICADORES!$A$2:$A$42,0)),"ID?"))</f>
        <v/>
      </c>
      <c r="G1722" s="21" t="str">
        <f aca="false">IF(E1722="","",IFERROR(INDEX(02_INDICADORES!$C$2:$C$42,MATCH(E1722,02_INDICADORES!$A$2:$A$42,0)),"ID?"))</f>
        <v/>
      </c>
      <c r="H1722" s="22" t="str">
        <f aca="false">IF(E1722="","",IFERROR(INDEX(02_INDICADORES!$D$2:$D$42,MATCH(E1722,02_INDICADORES!$A$2:$A$42,0)),""))</f>
        <v/>
      </c>
      <c r="I1722" s="9"/>
      <c r="J1722" s="16" t="str">
        <f aca="false">IF(OR(I1722="",H1722=""),"",I1722*H1722)</f>
        <v/>
      </c>
      <c r="K1722" s="9"/>
      <c r="L1722" s="9"/>
      <c r="M1722" s="9"/>
    </row>
    <row r="1723" customFormat="false" ht="15" hidden="false" customHeight="false" outlineLevel="0" collapsed="false">
      <c r="A1723" s="9"/>
      <c r="B1723" s="9"/>
      <c r="C1723" s="11"/>
      <c r="D1723" s="9"/>
      <c r="E1723" s="9"/>
      <c r="F1723" s="22" t="str">
        <f aca="false">IF(E1723="","",IFERROR(INDEX(02_INDICADORES!$B$2:$B$42,MATCH(E1723,02_INDICADORES!$A$2:$A$42,0)),"ID?"))</f>
        <v/>
      </c>
      <c r="G1723" s="21" t="str">
        <f aca="false">IF(E1723="","",IFERROR(INDEX(02_INDICADORES!$C$2:$C$42,MATCH(E1723,02_INDICADORES!$A$2:$A$42,0)),"ID?"))</f>
        <v/>
      </c>
      <c r="H1723" s="22" t="str">
        <f aca="false">IF(E1723="","",IFERROR(INDEX(02_INDICADORES!$D$2:$D$42,MATCH(E1723,02_INDICADORES!$A$2:$A$42,0)),""))</f>
        <v/>
      </c>
      <c r="I1723" s="9"/>
      <c r="J1723" s="16" t="str">
        <f aca="false">IF(OR(I1723="",H1723=""),"",I1723*H1723)</f>
        <v/>
      </c>
      <c r="K1723" s="9"/>
      <c r="L1723" s="9"/>
      <c r="M1723" s="9"/>
    </row>
    <row r="1724" customFormat="false" ht="15" hidden="false" customHeight="false" outlineLevel="0" collapsed="false">
      <c r="A1724" s="9"/>
      <c r="B1724" s="9"/>
      <c r="C1724" s="11"/>
      <c r="D1724" s="9"/>
      <c r="E1724" s="9"/>
      <c r="F1724" s="22" t="str">
        <f aca="false">IF(E1724="","",IFERROR(INDEX(02_INDICADORES!$B$2:$B$42,MATCH(E1724,02_INDICADORES!$A$2:$A$42,0)),"ID?"))</f>
        <v/>
      </c>
      <c r="G1724" s="21" t="str">
        <f aca="false">IF(E1724="","",IFERROR(INDEX(02_INDICADORES!$C$2:$C$42,MATCH(E1724,02_INDICADORES!$A$2:$A$42,0)),"ID?"))</f>
        <v/>
      </c>
      <c r="H1724" s="22" t="str">
        <f aca="false">IF(E1724="","",IFERROR(INDEX(02_INDICADORES!$D$2:$D$42,MATCH(E1724,02_INDICADORES!$A$2:$A$42,0)),""))</f>
        <v/>
      </c>
      <c r="I1724" s="9"/>
      <c r="J1724" s="16" t="str">
        <f aca="false">IF(OR(I1724="",H1724=""),"",I1724*H1724)</f>
        <v/>
      </c>
      <c r="K1724" s="9"/>
      <c r="L1724" s="9"/>
      <c r="M1724" s="9"/>
    </row>
    <row r="1725" customFormat="false" ht="15" hidden="false" customHeight="false" outlineLevel="0" collapsed="false">
      <c r="A1725" s="9"/>
      <c r="B1725" s="9"/>
      <c r="C1725" s="11"/>
      <c r="D1725" s="9"/>
      <c r="E1725" s="9"/>
      <c r="F1725" s="22" t="str">
        <f aca="false">IF(E1725="","",IFERROR(INDEX(02_INDICADORES!$B$2:$B$42,MATCH(E1725,02_INDICADORES!$A$2:$A$42,0)),"ID?"))</f>
        <v/>
      </c>
      <c r="G1725" s="21" t="str">
        <f aca="false">IF(E1725="","",IFERROR(INDEX(02_INDICADORES!$C$2:$C$42,MATCH(E1725,02_INDICADORES!$A$2:$A$42,0)),"ID?"))</f>
        <v/>
      </c>
      <c r="H1725" s="22" t="str">
        <f aca="false">IF(E1725="","",IFERROR(INDEX(02_INDICADORES!$D$2:$D$42,MATCH(E1725,02_INDICADORES!$A$2:$A$42,0)),""))</f>
        <v/>
      </c>
      <c r="I1725" s="9"/>
      <c r="J1725" s="16" t="str">
        <f aca="false">IF(OR(I1725="",H1725=""),"",I1725*H1725)</f>
        <v/>
      </c>
      <c r="K1725" s="9"/>
      <c r="L1725" s="9"/>
      <c r="M1725" s="9"/>
    </row>
    <row r="1726" customFormat="false" ht="15" hidden="false" customHeight="false" outlineLevel="0" collapsed="false">
      <c r="A1726" s="9"/>
      <c r="B1726" s="9"/>
      <c r="C1726" s="11"/>
      <c r="D1726" s="9"/>
      <c r="E1726" s="9"/>
      <c r="F1726" s="22" t="str">
        <f aca="false">IF(E1726="","",IFERROR(INDEX(02_INDICADORES!$B$2:$B$42,MATCH(E1726,02_INDICADORES!$A$2:$A$42,0)),"ID?"))</f>
        <v/>
      </c>
      <c r="G1726" s="21" t="str">
        <f aca="false">IF(E1726="","",IFERROR(INDEX(02_INDICADORES!$C$2:$C$42,MATCH(E1726,02_INDICADORES!$A$2:$A$42,0)),"ID?"))</f>
        <v/>
      </c>
      <c r="H1726" s="22" t="str">
        <f aca="false">IF(E1726="","",IFERROR(INDEX(02_INDICADORES!$D$2:$D$42,MATCH(E1726,02_INDICADORES!$A$2:$A$42,0)),""))</f>
        <v/>
      </c>
      <c r="I1726" s="9"/>
      <c r="J1726" s="16" t="str">
        <f aca="false">IF(OR(I1726="",H1726=""),"",I1726*H1726)</f>
        <v/>
      </c>
      <c r="K1726" s="9"/>
      <c r="L1726" s="9"/>
      <c r="M1726" s="9"/>
    </row>
    <row r="1727" customFormat="false" ht="15" hidden="false" customHeight="false" outlineLevel="0" collapsed="false">
      <c r="A1727" s="9"/>
      <c r="B1727" s="9"/>
      <c r="C1727" s="11"/>
      <c r="D1727" s="9"/>
      <c r="E1727" s="9"/>
      <c r="F1727" s="22" t="str">
        <f aca="false">IF(E1727="","",IFERROR(INDEX(02_INDICADORES!$B$2:$B$42,MATCH(E1727,02_INDICADORES!$A$2:$A$42,0)),"ID?"))</f>
        <v/>
      </c>
      <c r="G1727" s="21" t="str">
        <f aca="false">IF(E1727="","",IFERROR(INDEX(02_INDICADORES!$C$2:$C$42,MATCH(E1727,02_INDICADORES!$A$2:$A$42,0)),"ID?"))</f>
        <v/>
      </c>
      <c r="H1727" s="22" t="str">
        <f aca="false">IF(E1727="","",IFERROR(INDEX(02_INDICADORES!$D$2:$D$42,MATCH(E1727,02_INDICADORES!$A$2:$A$42,0)),""))</f>
        <v/>
      </c>
      <c r="I1727" s="9"/>
      <c r="J1727" s="16" t="str">
        <f aca="false">IF(OR(I1727="",H1727=""),"",I1727*H1727)</f>
        <v/>
      </c>
      <c r="K1727" s="9"/>
      <c r="L1727" s="9"/>
      <c r="M1727" s="9"/>
    </row>
    <row r="1728" customFormat="false" ht="15" hidden="false" customHeight="false" outlineLevel="0" collapsed="false">
      <c r="A1728" s="9"/>
      <c r="B1728" s="9"/>
      <c r="C1728" s="11"/>
      <c r="D1728" s="9"/>
      <c r="E1728" s="9"/>
      <c r="F1728" s="22" t="str">
        <f aca="false">IF(E1728="","",IFERROR(INDEX(02_INDICADORES!$B$2:$B$42,MATCH(E1728,02_INDICADORES!$A$2:$A$42,0)),"ID?"))</f>
        <v/>
      </c>
      <c r="G1728" s="21" t="str">
        <f aca="false">IF(E1728="","",IFERROR(INDEX(02_INDICADORES!$C$2:$C$42,MATCH(E1728,02_INDICADORES!$A$2:$A$42,0)),"ID?"))</f>
        <v/>
      </c>
      <c r="H1728" s="22" t="str">
        <f aca="false">IF(E1728="","",IFERROR(INDEX(02_INDICADORES!$D$2:$D$42,MATCH(E1728,02_INDICADORES!$A$2:$A$42,0)),""))</f>
        <v/>
      </c>
      <c r="I1728" s="9"/>
      <c r="J1728" s="16" t="str">
        <f aca="false">IF(OR(I1728="",H1728=""),"",I1728*H1728)</f>
        <v/>
      </c>
      <c r="K1728" s="9"/>
      <c r="L1728" s="9"/>
      <c r="M1728" s="9"/>
    </row>
    <row r="1729" customFormat="false" ht="15" hidden="false" customHeight="false" outlineLevel="0" collapsed="false">
      <c r="A1729" s="9"/>
      <c r="B1729" s="9"/>
      <c r="C1729" s="11"/>
      <c r="D1729" s="9"/>
      <c r="E1729" s="9"/>
      <c r="F1729" s="22" t="str">
        <f aca="false">IF(E1729="","",IFERROR(INDEX(02_INDICADORES!$B$2:$B$42,MATCH(E1729,02_INDICADORES!$A$2:$A$42,0)),"ID?"))</f>
        <v/>
      </c>
      <c r="G1729" s="21" t="str">
        <f aca="false">IF(E1729="","",IFERROR(INDEX(02_INDICADORES!$C$2:$C$42,MATCH(E1729,02_INDICADORES!$A$2:$A$42,0)),"ID?"))</f>
        <v/>
      </c>
      <c r="H1729" s="22" t="str">
        <f aca="false">IF(E1729="","",IFERROR(INDEX(02_INDICADORES!$D$2:$D$42,MATCH(E1729,02_INDICADORES!$A$2:$A$42,0)),""))</f>
        <v/>
      </c>
      <c r="I1729" s="9"/>
      <c r="J1729" s="16" t="str">
        <f aca="false">IF(OR(I1729="",H1729=""),"",I1729*H1729)</f>
        <v/>
      </c>
      <c r="K1729" s="9"/>
      <c r="L1729" s="9"/>
      <c r="M1729" s="9"/>
    </row>
    <row r="1730" customFormat="false" ht="15" hidden="false" customHeight="false" outlineLevel="0" collapsed="false">
      <c r="A1730" s="9"/>
      <c r="B1730" s="9"/>
      <c r="C1730" s="11"/>
      <c r="D1730" s="9"/>
      <c r="E1730" s="9"/>
      <c r="F1730" s="22" t="str">
        <f aca="false">IF(E1730="","",IFERROR(INDEX(02_INDICADORES!$B$2:$B$42,MATCH(E1730,02_INDICADORES!$A$2:$A$42,0)),"ID?"))</f>
        <v/>
      </c>
      <c r="G1730" s="21" t="str">
        <f aca="false">IF(E1730="","",IFERROR(INDEX(02_INDICADORES!$C$2:$C$42,MATCH(E1730,02_INDICADORES!$A$2:$A$42,0)),"ID?"))</f>
        <v/>
      </c>
      <c r="H1730" s="22" t="str">
        <f aca="false">IF(E1730="","",IFERROR(INDEX(02_INDICADORES!$D$2:$D$42,MATCH(E1730,02_INDICADORES!$A$2:$A$42,0)),""))</f>
        <v/>
      </c>
      <c r="I1730" s="9"/>
      <c r="J1730" s="16" t="str">
        <f aca="false">IF(OR(I1730="",H1730=""),"",I1730*H1730)</f>
        <v/>
      </c>
      <c r="K1730" s="9"/>
      <c r="L1730" s="9"/>
      <c r="M1730" s="9"/>
    </row>
    <row r="1731" customFormat="false" ht="15" hidden="false" customHeight="false" outlineLevel="0" collapsed="false">
      <c r="A1731" s="9"/>
      <c r="B1731" s="9"/>
      <c r="C1731" s="11"/>
      <c r="D1731" s="9"/>
      <c r="E1731" s="9"/>
      <c r="F1731" s="22" t="str">
        <f aca="false">IF(E1731="","",IFERROR(INDEX(02_INDICADORES!$B$2:$B$42,MATCH(E1731,02_INDICADORES!$A$2:$A$42,0)),"ID?"))</f>
        <v/>
      </c>
      <c r="G1731" s="21" t="str">
        <f aca="false">IF(E1731="","",IFERROR(INDEX(02_INDICADORES!$C$2:$C$42,MATCH(E1731,02_INDICADORES!$A$2:$A$42,0)),"ID?"))</f>
        <v/>
      </c>
      <c r="H1731" s="22" t="str">
        <f aca="false">IF(E1731="","",IFERROR(INDEX(02_INDICADORES!$D$2:$D$42,MATCH(E1731,02_INDICADORES!$A$2:$A$42,0)),""))</f>
        <v/>
      </c>
      <c r="I1731" s="9"/>
      <c r="J1731" s="16" t="str">
        <f aca="false">IF(OR(I1731="",H1731=""),"",I1731*H1731)</f>
        <v/>
      </c>
      <c r="K1731" s="9"/>
      <c r="L1731" s="9"/>
      <c r="M1731" s="9"/>
    </row>
    <row r="1732" customFormat="false" ht="15" hidden="false" customHeight="false" outlineLevel="0" collapsed="false">
      <c r="A1732" s="9"/>
      <c r="B1732" s="9"/>
      <c r="C1732" s="11"/>
      <c r="D1732" s="9"/>
      <c r="E1732" s="9"/>
      <c r="F1732" s="22" t="str">
        <f aca="false">IF(E1732="","",IFERROR(INDEX(02_INDICADORES!$B$2:$B$42,MATCH(E1732,02_INDICADORES!$A$2:$A$42,0)),"ID?"))</f>
        <v/>
      </c>
      <c r="G1732" s="21" t="str">
        <f aca="false">IF(E1732="","",IFERROR(INDEX(02_INDICADORES!$C$2:$C$42,MATCH(E1732,02_INDICADORES!$A$2:$A$42,0)),"ID?"))</f>
        <v/>
      </c>
      <c r="H1732" s="22" t="str">
        <f aca="false">IF(E1732="","",IFERROR(INDEX(02_INDICADORES!$D$2:$D$42,MATCH(E1732,02_INDICADORES!$A$2:$A$42,0)),""))</f>
        <v/>
      </c>
      <c r="I1732" s="9"/>
      <c r="J1732" s="16" t="str">
        <f aca="false">IF(OR(I1732="",H1732=""),"",I1732*H1732)</f>
        <v/>
      </c>
      <c r="K1732" s="9"/>
      <c r="L1732" s="9"/>
      <c r="M1732" s="9"/>
    </row>
    <row r="1733" customFormat="false" ht="15" hidden="false" customHeight="false" outlineLevel="0" collapsed="false">
      <c r="A1733" s="9"/>
      <c r="B1733" s="9"/>
      <c r="C1733" s="11"/>
      <c r="D1733" s="9"/>
      <c r="E1733" s="9"/>
      <c r="F1733" s="22" t="str">
        <f aca="false">IF(E1733="","",IFERROR(INDEX(02_INDICADORES!$B$2:$B$42,MATCH(E1733,02_INDICADORES!$A$2:$A$42,0)),"ID?"))</f>
        <v/>
      </c>
      <c r="G1733" s="21" t="str">
        <f aca="false">IF(E1733="","",IFERROR(INDEX(02_INDICADORES!$C$2:$C$42,MATCH(E1733,02_INDICADORES!$A$2:$A$42,0)),"ID?"))</f>
        <v/>
      </c>
      <c r="H1733" s="22" t="str">
        <f aca="false">IF(E1733="","",IFERROR(INDEX(02_INDICADORES!$D$2:$D$42,MATCH(E1733,02_INDICADORES!$A$2:$A$42,0)),""))</f>
        <v/>
      </c>
      <c r="I1733" s="9"/>
      <c r="J1733" s="16" t="str">
        <f aca="false">IF(OR(I1733="",H1733=""),"",I1733*H1733)</f>
        <v/>
      </c>
      <c r="K1733" s="9"/>
      <c r="L1733" s="9"/>
      <c r="M1733" s="9"/>
    </row>
    <row r="1734" customFormat="false" ht="15" hidden="false" customHeight="false" outlineLevel="0" collapsed="false">
      <c r="A1734" s="9"/>
      <c r="B1734" s="9"/>
      <c r="C1734" s="11"/>
      <c r="D1734" s="9"/>
      <c r="E1734" s="9"/>
      <c r="F1734" s="22" t="str">
        <f aca="false">IF(E1734="","",IFERROR(INDEX(02_INDICADORES!$B$2:$B$42,MATCH(E1734,02_INDICADORES!$A$2:$A$42,0)),"ID?"))</f>
        <v/>
      </c>
      <c r="G1734" s="21" t="str">
        <f aca="false">IF(E1734="","",IFERROR(INDEX(02_INDICADORES!$C$2:$C$42,MATCH(E1734,02_INDICADORES!$A$2:$A$42,0)),"ID?"))</f>
        <v/>
      </c>
      <c r="H1734" s="22" t="str">
        <f aca="false">IF(E1734="","",IFERROR(INDEX(02_INDICADORES!$D$2:$D$42,MATCH(E1734,02_INDICADORES!$A$2:$A$42,0)),""))</f>
        <v/>
      </c>
      <c r="I1734" s="9"/>
      <c r="J1734" s="16" t="str">
        <f aca="false">IF(OR(I1734="",H1734=""),"",I1734*H1734)</f>
        <v/>
      </c>
      <c r="K1734" s="9"/>
      <c r="L1734" s="9"/>
      <c r="M1734" s="9"/>
    </row>
    <row r="1735" customFormat="false" ht="15" hidden="false" customHeight="false" outlineLevel="0" collapsed="false">
      <c r="A1735" s="9"/>
      <c r="B1735" s="9"/>
      <c r="C1735" s="11"/>
      <c r="D1735" s="9"/>
      <c r="E1735" s="9"/>
      <c r="F1735" s="22" t="str">
        <f aca="false">IF(E1735="","",IFERROR(INDEX(02_INDICADORES!$B$2:$B$42,MATCH(E1735,02_INDICADORES!$A$2:$A$42,0)),"ID?"))</f>
        <v/>
      </c>
      <c r="G1735" s="21" t="str">
        <f aca="false">IF(E1735="","",IFERROR(INDEX(02_INDICADORES!$C$2:$C$42,MATCH(E1735,02_INDICADORES!$A$2:$A$42,0)),"ID?"))</f>
        <v/>
      </c>
      <c r="H1735" s="22" t="str">
        <f aca="false">IF(E1735="","",IFERROR(INDEX(02_INDICADORES!$D$2:$D$42,MATCH(E1735,02_INDICADORES!$A$2:$A$42,0)),""))</f>
        <v/>
      </c>
      <c r="I1735" s="9"/>
      <c r="J1735" s="16" t="str">
        <f aca="false">IF(OR(I1735="",H1735=""),"",I1735*H1735)</f>
        <v/>
      </c>
      <c r="K1735" s="9"/>
      <c r="L1735" s="9"/>
      <c r="M1735" s="9"/>
    </row>
    <row r="1736" customFormat="false" ht="15" hidden="false" customHeight="false" outlineLevel="0" collapsed="false">
      <c r="A1736" s="9"/>
      <c r="B1736" s="9"/>
      <c r="C1736" s="11"/>
      <c r="D1736" s="9"/>
      <c r="E1736" s="9"/>
      <c r="F1736" s="22" t="str">
        <f aca="false">IF(E1736="","",IFERROR(INDEX(02_INDICADORES!$B$2:$B$42,MATCH(E1736,02_INDICADORES!$A$2:$A$42,0)),"ID?"))</f>
        <v/>
      </c>
      <c r="G1736" s="21" t="str">
        <f aca="false">IF(E1736="","",IFERROR(INDEX(02_INDICADORES!$C$2:$C$42,MATCH(E1736,02_INDICADORES!$A$2:$A$42,0)),"ID?"))</f>
        <v/>
      </c>
      <c r="H1736" s="22" t="str">
        <f aca="false">IF(E1736="","",IFERROR(INDEX(02_INDICADORES!$D$2:$D$42,MATCH(E1736,02_INDICADORES!$A$2:$A$42,0)),""))</f>
        <v/>
      </c>
      <c r="I1736" s="9"/>
      <c r="J1736" s="16" t="str">
        <f aca="false">IF(OR(I1736="",H1736=""),"",I1736*H1736)</f>
        <v/>
      </c>
      <c r="K1736" s="9"/>
      <c r="L1736" s="9"/>
      <c r="M1736" s="9"/>
    </row>
    <row r="1737" customFormat="false" ht="15" hidden="false" customHeight="false" outlineLevel="0" collapsed="false">
      <c r="A1737" s="9"/>
      <c r="B1737" s="9"/>
      <c r="C1737" s="11"/>
      <c r="D1737" s="9"/>
      <c r="E1737" s="9"/>
      <c r="F1737" s="22" t="str">
        <f aca="false">IF(E1737="","",IFERROR(INDEX(02_INDICADORES!$B$2:$B$42,MATCH(E1737,02_INDICADORES!$A$2:$A$42,0)),"ID?"))</f>
        <v/>
      </c>
      <c r="G1737" s="21" t="str">
        <f aca="false">IF(E1737="","",IFERROR(INDEX(02_INDICADORES!$C$2:$C$42,MATCH(E1737,02_INDICADORES!$A$2:$A$42,0)),"ID?"))</f>
        <v/>
      </c>
      <c r="H1737" s="22" t="str">
        <f aca="false">IF(E1737="","",IFERROR(INDEX(02_INDICADORES!$D$2:$D$42,MATCH(E1737,02_INDICADORES!$A$2:$A$42,0)),""))</f>
        <v/>
      </c>
      <c r="I1737" s="9"/>
      <c r="J1737" s="16" t="str">
        <f aca="false">IF(OR(I1737="",H1737=""),"",I1737*H1737)</f>
        <v/>
      </c>
      <c r="K1737" s="9"/>
      <c r="L1737" s="9"/>
      <c r="M1737" s="9"/>
    </row>
    <row r="1738" customFormat="false" ht="15" hidden="false" customHeight="false" outlineLevel="0" collapsed="false">
      <c r="A1738" s="9"/>
      <c r="B1738" s="9"/>
      <c r="C1738" s="11"/>
      <c r="D1738" s="9"/>
      <c r="E1738" s="9"/>
      <c r="F1738" s="22" t="str">
        <f aca="false">IF(E1738="","",IFERROR(INDEX(02_INDICADORES!$B$2:$B$42,MATCH(E1738,02_INDICADORES!$A$2:$A$42,0)),"ID?"))</f>
        <v/>
      </c>
      <c r="G1738" s="21" t="str">
        <f aca="false">IF(E1738="","",IFERROR(INDEX(02_INDICADORES!$C$2:$C$42,MATCH(E1738,02_INDICADORES!$A$2:$A$42,0)),"ID?"))</f>
        <v/>
      </c>
      <c r="H1738" s="22" t="str">
        <f aca="false">IF(E1738="","",IFERROR(INDEX(02_INDICADORES!$D$2:$D$42,MATCH(E1738,02_INDICADORES!$A$2:$A$42,0)),""))</f>
        <v/>
      </c>
      <c r="I1738" s="9"/>
      <c r="J1738" s="16" t="str">
        <f aca="false">IF(OR(I1738="",H1738=""),"",I1738*H1738)</f>
        <v/>
      </c>
      <c r="K1738" s="9"/>
      <c r="L1738" s="9"/>
      <c r="M1738" s="9"/>
    </row>
    <row r="1739" customFormat="false" ht="15" hidden="false" customHeight="false" outlineLevel="0" collapsed="false">
      <c r="A1739" s="9"/>
      <c r="B1739" s="9"/>
      <c r="C1739" s="11"/>
      <c r="D1739" s="9"/>
      <c r="E1739" s="9"/>
      <c r="F1739" s="22" t="str">
        <f aca="false">IF(E1739="","",IFERROR(INDEX(02_INDICADORES!$B$2:$B$42,MATCH(E1739,02_INDICADORES!$A$2:$A$42,0)),"ID?"))</f>
        <v/>
      </c>
      <c r="G1739" s="21" t="str">
        <f aca="false">IF(E1739="","",IFERROR(INDEX(02_INDICADORES!$C$2:$C$42,MATCH(E1739,02_INDICADORES!$A$2:$A$42,0)),"ID?"))</f>
        <v/>
      </c>
      <c r="H1739" s="22" t="str">
        <f aca="false">IF(E1739="","",IFERROR(INDEX(02_INDICADORES!$D$2:$D$42,MATCH(E1739,02_INDICADORES!$A$2:$A$42,0)),""))</f>
        <v/>
      </c>
      <c r="I1739" s="9"/>
      <c r="J1739" s="16" t="str">
        <f aca="false">IF(OR(I1739="",H1739=""),"",I1739*H1739)</f>
        <v/>
      </c>
      <c r="K1739" s="9"/>
      <c r="L1739" s="9"/>
      <c r="M1739" s="9"/>
    </row>
    <row r="1740" customFormat="false" ht="15" hidden="false" customHeight="false" outlineLevel="0" collapsed="false">
      <c r="A1740" s="9"/>
      <c r="B1740" s="9"/>
      <c r="C1740" s="11"/>
      <c r="D1740" s="9"/>
      <c r="E1740" s="9"/>
      <c r="F1740" s="22" t="str">
        <f aca="false">IF(E1740="","",IFERROR(INDEX(02_INDICADORES!$B$2:$B$42,MATCH(E1740,02_INDICADORES!$A$2:$A$42,0)),"ID?"))</f>
        <v/>
      </c>
      <c r="G1740" s="21" t="str">
        <f aca="false">IF(E1740="","",IFERROR(INDEX(02_INDICADORES!$C$2:$C$42,MATCH(E1740,02_INDICADORES!$A$2:$A$42,0)),"ID?"))</f>
        <v/>
      </c>
      <c r="H1740" s="22" t="str">
        <f aca="false">IF(E1740="","",IFERROR(INDEX(02_INDICADORES!$D$2:$D$42,MATCH(E1740,02_INDICADORES!$A$2:$A$42,0)),""))</f>
        <v/>
      </c>
      <c r="I1740" s="9"/>
      <c r="J1740" s="16" t="str">
        <f aca="false">IF(OR(I1740="",H1740=""),"",I1740*H1740)</f>
        <v/>
      </c>
      <c r="K1740" s="9"/>
      <c r="L1740" s="9"/>
      <c r="M1740" s="9"/>
    </row>
    <row r="1741" customFormat="false" ht="15" hidden="false" customHeight="false" outlineLevel="0" collapsed="false">
      <c r="A1741" s="9"/>
      <c r="B1741" s="9"/>
      <c r="C1741" s="11"/>
      <c r="D1741" s="9"/>
      <c r="E1741" s="9"/>
      <c r="F1741" s="22" t="str">
        <f aca="false">IF(E1741="","",IFERROR(INDEX(02_INDICADORES!$B$2:$B$42,MATCH(E1741,02_INDICADORES!$A$2:$A$42,0)),"ID?"))</f>
        <v/>
      </c>
      <c r="G1741" s="21" t="str">
        <f aca="false">IF(E1741="","",IFERROR(INDEX(02_INDICADORES!$C$2:$C$42,MATCH(E1741,02_INDICADORES!$A$2:$A$42,0)),"ID?"))</f>
        <v/>
      </c>
      <c r="H1741" s="22" t="str">
        <f aca="false">IF(E1741="","",IFERROR(INDEX(02_INDICADORES!$D$2:$D$42,MATCH(E1741,02_INDICADORES!$A$2:$A$42,0)),""))</f>
        <v/>
      </c>
      <c r="I1741" s="9"/>
      <c r="J1741" s="16" t="str">
        <f aca="false">IF(OR(I1741="",H1741=""),"",I1741*H1741)</f>
        <v/>
      </c>
      <c r="K1741" s="9"/>
      <c r="L1741" s="9"/>
      <c r="M1741" s="9"/>
    </row>
    <row r="1742" customFormat="false" ht="15" hidden="false" customHeight="false" outlineLevel="0" collapsed="false">
      <c r="A1742" s="9"/>
      <c r="B1742" s="9"/>
      <c r="C1742" s="11"/>
      <c r="D1742" s="9"/>
      <c r="E1742" s="9"/>
      <c r="F1742" s="22" t="str">
        <f aca="false">IF(E1742="","",IFERROR(INDEX(02_INDICADORES!$B$2:$B$42,MATCH(E1742,02_INDICADORES!$A$2:$A$42,0)),"ID?"))</f>
        <v/>
      </c>
      <c r="G1742" s="21" t="str">
        <f aca="false">IF(E1742="","",IFERROR(INDEX(02_INDICADORES!$C$2:$C$42,MATCH(E1742,02_INDICADORES!$A$2:$A$42,0)),"ID?"))</f>
        <v/>
      </c>
      <c r="H1742" s="22" t="str">
        <f aca="false">IF(E1742="","",IFERROR(INDEX(02_INDICADORES!$D$2:$D$42,MATCH(E1742,02_INDICADORES!$A$2:$A$42,0)),""))</f>
        <v/>
      </c>
      <c r="I1742" s="9"/>
      <c r="J1742" s="16" t="str">
        <f aca="false">IF(OR(I1742="",H1742=""),"",I1742*H1742)</f>
        <v/>
      </c>
      <c r="K1742" s="9"/>
      <c r="L1742" s="9"/>
      <c r="M1742" s="9"/>
    </row>
    <row r="1743" customFormat="false" ht="15" hidden="false" customHeight="false" outlineLevel="0" collapsed="false">
      <c r="A1743" s="9"/>
      <c r="B1743" s="9"/>
      <c r="C1743" s="11"/>
      <c r="D1743" s="9"/>
      <c r="E1743" s="9"/>
      <c r="F1743" s="22" t="str">
        <f aca="false">IF(E1743="","",IFERROR(INDEX(02_INDICADORES!$B$2:$B$42,MATCH(E1743,02_INDICADORES!$A$2:$A$42,0)),"ID?"))</f>
        <v/>
      </c>
      <c r="G1743" s="21" t="str">
        <f aca="false">IF(E1743="","",IFERROR(INDEX(02_INDICADORES!$C$2:$C$42,MATCH(E1743,02_INDICADORES!$A$2:$A$42,0)),"ID?"))</f>
        <v/>
      </c>
      <c r="H1743" s="22" t="str">
        <f aca="false">IF(E1743="","",IFERROR(INDEX(02_INDICADORES!$D$2:$D$42,MATCH(E1743,02_INDICADORES!$A$2:$A$42,0)),""))</f>
        <v/>
      </c>
      <c r="I1743" s="9"/>
      <c r="J1743" s="16" t="str">
        <f aca="false">IF(OR(I1743="",H1743=""),"",I1743*H1743)</f>
        <v/>
      </c>
      <c r="K1743" s="9"/>
      <c r="L1743" s="9"/>
      <c r="M1743" s="9"/>
    </row>
    <row r="1744" customFormat="false" ht="15" hidden="false" customHeight="false" outlineLevel="0" collapsed="false">
      <c r="A1744" s="9"/>
      <c r="B1744" s="9"/>
      <c r="C1744" s="11"/>
      <c r="D1744" s="9"/>
      <c r="E1744" s="9"/>
      <c r="F1744" s="22" t="str">
        <f aca="false">IF(E1744="","",IFERROR(INDEX(02_INDICADORES!$B$2:$B$42,MATCH(E1744,02_INDICADORES!$A$2:$A$42,0)),"ID?"))</f>
        <v/>
      </c>
      <c r="G1744" s="21" t="str">
        <f aca="false">IF(E1744="","",IFERROR(INDEX(02_INDICADORES!$C$2:$C$42,MATCH(E1744,02_INDICADORES!$A$2:$A$42,0)),"ID?"))</f>
        <v/>
      </c>
      <c r="H1744" s="22" t="str">
        <f aca="false">IF(E1744="","",IFERROR(INDEX(02_INDICADORES!$D$2:$D$42,MATCH(E1744,02_INDICADORES!$A$2:$A$42,0)),""))</f>
        <v/>
      </c>
      <c r="I1744" s="9"/>
      <c r="J1744" s="16" t="str">
        <f aca="false">IF(OR(I1744="",H1744=""),"",I1744*H1744)</f>
        <v/>
      </c>
      <c r="K1744" s="9"/>
      <c r="L1744" s="9"/>
      <c r="M1744" s="9"/>
    </row>
    <row r="1745" customFormat="false" ht="15" hidden="false" customHeight="false" outlineLevel="0" collapsed="false">
      <c r="A1745" s="9"/>
      <c r="B1745" s="9"/>
      <c r="C1745" s="11"/>
      <c r="D1745" s="9"/>
      <c r="E1745" s="9"/>
      <c r="F1745" s="22" t="str">
        <f aca="false">IF(E1745="","",IFERROR(INDEX(02_INDICADORES!$B$2:$B$42,MATCH(E1745,02_INDICADORES!$A$2:$A$42,0)),"ID?"))</f>
        <v/>
      </c>
      <c r="G1745" s="21" t="str">
        <f aca="false">IF(E1745="","",IFERROR(INDEX(02_INDICADORES!$C$2:$C$42,MATCH(E1745,02_INDICADORES!$A$2:$A$42,0)),"ID?"))</f>
        <v/>
      </c>
      <c r="H1745" s="22" t="str">
        <f aca="false">IF(E1745="","",IFERROR(INDEX(02_INDICADORES!$D$2:$D$42,MATCH(E1745,02_INDICADORES!$A$2:$A$42,0)),""))</f>
        <v/>
      </c>
      <c r="I1745" s="9"/>
      <c r="J1745" s="16" t="str">
        <f aca="false">IF(OR(I1745="",H1745=""),"",I1745*H1745)</f>
        <v/>
      </c>
      <c r="K1745" s="9"/>
      <c r="L1745" s="9"/>
      <c r="M1745" s="9"/>
    </row>
    <row r="1746" customFormat="false" ht="15" hidden="false" customHeight="false" outlineLevel="0" collapsed="false">
      <c r="A1746" s="9"/>
      <c r="B1746" s="9"/>
      <c r="C1746" s="11"/>
      <c r="D1746" s="9"/>
      <c r="E1746" s="9"/>
      <c r="F1746" s="22" t="str">
        <f aca="false">IF(E1746="","",IFERROR(INDEX(02_INDICADORES!$B$2:$B$42,MATCH(E1746,02_INDICADORES!$A$2:$A$42,0)),"ID?"))</f>
        <v/>
      </c>
      <c r="G1746" s="21" t="str">
        <f aca="false">IF(E1746="","",IFERROR(INDEX(02_INDICADORES!$C$2:$C$42,MATCH(E1746,02_INDICADORES!$A$2:$A$42,0)),"ID?"))</f>
        <v/>
      </c>
      <c r="H1746" s="22" t="str">
        <f aca="false">IF(E1746="","",IFERROR(INDEX(02_INDICADORES!$D$2:$D$42,MATCH(E1746,02_INDICADORES!$A$2:$A$42,0)),""))</f>
        <v/>
      </c>
      <c r="I1746" s="9"/>
      <c r="J1746" s="16" t="str">
        <f aca="false">IF(OR(I1746="",H1746=""),"",I1746*H1746)</f>
        <v/>
      </c>
      <c r="K1746" s="9"/>
      <c r="L1746" s="9"/>
      <c r="M1746" s="9"/>
    </row>
    <row r="1747" customFormat="false" ht="15" hidden="false" customHeight="false" outlineLevel="0" collapsed="false">
      <c r="A1747" s="9"/>
      <c r="B1747" s="9"/>
      <c r="C1747" s="11"/>
      <c r="D1747" s="9"/>
      <c r="E1747" s="9"/>
      <c r="F1747" s="22" t="str">
        <f aca="false">IF(E1747="","",IFERROR(INDEX(02_INDICADORES!$B$2:$B$42,MATCH(E1747,02_INDICADORES!$A$2:$A$42,0)),"ID?"))</f>
        <v/>
      </c>
      <c r="G1747" s="21" t="str">
        <f aca="false">IF(E1747="","",IFERROR(INDEX(02_INDICADORES!$C$2:$C$42,MATCH(E1747,02_INDICADORES!$A$2:$A$42,0)),"ID?"))</f>
        <v/>
      </c>
      <c r="H1747" s="22" t="str">
        <f aca="false">IF(E1747="","",IFERROR(INDEX(02_INDICADORES!$D$2:$D$42,MATCH(E1747,02_INDICADORES!$A$2:$A$42,0)),""))</f>
        <v/>
      </c>
      <c r="I1747" s="9"/>
      <c r="J1747" s="16" t="str">
        <f aca="false">IF(OR(I1747="",H1747=""),"",I1747*H1747)</f>
        <v/>
      </c>
      <c r="K1747" s="9"/>
      <c r="L1747" s="9"/>
      <c r="M1747" s="9"/>
    </row>
    <row r="1748" customFormat="false" ht="15" hidden="false" customHeight="false" outlineLevel="0" collapsed="false">
      <c r="A1748" s="9"/>
      <c r="B1748" s="9"/>
      <c r="C1748" s="11"/>
      <c r="D1748" s="9"/>
      <c r="E1748" s="9"/>
      <c r="F1748" s="22" t="str">
        <f aca="false">IF(E1748="","",IFERROR(INDEX(02_INDICADORES!$B$2:$B$42,MATCH(E1748,02_INDICADORES!$A$2:$A$42,0)),"ID?"))</f>
        <v/>
      </c>
      <c r="G1748" s="21" t="str">
        <f aca="false">IF(E1748="","",IFERROR(INDEX(02_INDICADORES!$C$2:$C$42,MATCH(E1748,02_INDICADORES!$A$2:$A$42,0)),"ID?"))</f>
        <v/>
      </c>
      <c r="H1748" s="22" t="str">
        <f aca="false">IF(E1748="","",IFERROR(INDEX(02_INDICADORES!$D$2:$D$42,MATCH(E1748,02_INDICADORES!$A$2:$A$42,0)),""))</f>
        <v/>
      </c>
      <c r="I1748" s="9"/>
      <c r="J1748" s="16" t="str">
        <f aca="false">IF(OR(I1748="",H1748=""),"",I1748*H1748)</f>
        <v/>
      </c>
      <c r="K1748" s="9"/>
      <c r="L1748" s="9"/>
      <c r="M1748" s="9"/>
    </row>
    <row r="1749" customFormat="false" ht="15" hidden="false" customHeight="false" outlineLevel="0" collapsed="false">
      <c r="A1749" s="9"/>
      <c r="B1749" s="9"/>
      <c r="C1749" s="11"/>
      <c r="D1749" s="9"/>
      <c r="E1749" s="9"/>
      <c r="F1749" s="22" t="str">
        <f aca="false">IF(E1749="","",IFERROR(INDEX(02_INDICADORES!$B$2:$B$42,MATCH(E1749,02_INDICADORES!$A$2:$A$42,0)),"ID?"))</f>
        <v/>
      </c>
      <c r="G1749" s="21" t="str">
        <f aca="false">IF(E1749="","",IFERROR(INDEX(02_INDICADORES!$C$2:$C$42,MATCH(E1749,02_INDICADORES!$A$2:$A$42,0)),"ID?"))</f>
        <v/>
      </c>
      <c r="H1749" s="22" t="str">
        <f aca="false">IF(E1749="","",IFERROR(INDEX(02_INDICADORES!$D$2:$D$42,MATCH(E1749,02_INDICADORES!$A$2:$A$42,0)),""))</f>
        <v/>
      </c>
      <c r="I1749" s="9"/>
      <c r="J1749" s="16" t="str">
        <f aca="false">IF(OR(I1749="",H1749=""),"",I1749*H1749)</f>
        <v/>
      </c>
      <c r="K1749" s="9"/>
      <c r="L1749" s="9"/>
      <c r="M1749" s="9"/>
    </row>
    <row r="1750" customFormat="false" ht="15" hidden="false" customHeight="false" outlineLevel="0" collapsed="false">
      <c r="A1750" s="9"/>
      <c r="B1750" s="9"/>
      <c r="C1750" s="11"/>
      <c r="D1750" s="9"/>
      <c r="E1750" s="9"/>
      <c r="F1750" s="22" t="str">
        <f aca="false">IF(E1750="","",IFERROR(INDEX(02_INDICADORES!$B$2:$B$42,MATCH(E1750,02_INDICADORES!$A$2:$A$42,0)),"ID?"))</f>
        <v/>
      </c>
      <c r="G1750" s="21" t="str">
        <f aca="false">IF(E1750="","",IFERROR(INDEX(02_INDICADORES!$C$2:$C$42,MATCH(E1750,02_INDICADORES!$A$2:$A$42,0)),"ID?"))</f>
        <v/>
      </c>
      <c r="H1750" s="22" t="str">
        <f aca="false">IF(E1750="","",IFERROR(INDEX(02_INDICADORES!$D$2:$D$42,MATCH(E1750,02_INDICADORES!$A$2:$A$42,0)),""))</f>
        <v/>
      </c>
      <c r="I1750" s="9"/>
      <c r="J1750" s="16" t="str">
        <f aca="false">IF(OR(I1750="",H1750=""),"",I1750*H1750)</f>
        <v/>
      </c>
      <c r="K1750" s="9"/>
      <c r="L1750" s="9"/>
      <c r="M1750" s="9"/>
    </row>
    <row r="1751" customFormat="false" ht="15" hidden="false" customHeight="false" outlineLevel="0" collapsed="false">
      <c r="A1751" s="9"/>
      <c r="B1751" s="9"/>
      <c r="C1751" s="11"/>
      <c r="D1751" s="9"/>
      <c r="E1751" s="9"/>
      <c r="F1751" s="22" t="str">
        <f aca="false">IF(E1751="","",IFERROR(INDEX(02_INDICADORES!$B$2:$B$42,MATCH(E1751,02_INDICADORES!$A$2:$A$42,0)),"ID?"))</f>
        <v/>
      </c>
      <c r="G1751" s="21" t="str">
        <f aca="false">IF(E1751="","",IFERROR(INDEX(02_INDICADORES!$C$2:$C$42,MATCH(E1751,02_INDICADORES!$A$2:$A$42,0)),"ID?"))</f>
        <v/>
      </c>
      <c r="H1751" s="22" t="str">
        <f aca="false">IF(E1751="","",IFERROR(INDEX(02_INDICADORES!$D$2:$D$42,MATCH(E1751,02_INDICADORES!$A$2:$A$42,0)),""))</f>
        <v/>
      </c>
      <c r="I1751" s="9"/>
      <c r="J1751" s="16" t="str">
        <f aca="false">IF(OR(I1751="",H1751=""),"",I1751*H1751)</f>
        <v/>
      </c>
      <c r="K1751" s="9"/>
      <c r="L1751" s="9"/>
      <c r="M1751" s="9"/>
    </row>
    <row r="1752" customFormat="false" ht="15" hidden="false" customHeight="false" outlineLevel="0" collapsed="false">
      <c r="A1752" s="9"/>
      <c r="B1752" s="9"/>
      <c r="C1752" s="11"/>
      <c r="D1752" s="9"/>
      <c r="E1752" s="9"/>
      <c r="F1752" s="22" t="str">
        <f aca="false">IF(E1752="","",IFERROR(INDEX(02_INDICADORES!$B$2:$B$42,MATCH(E1752,02_INDICADORES!$A$2:$A$42,0)),"ID?"))</f>
        <v/>
      </c>
      <c r="G1752" s="21" t="str">
        <f aca="false">IF(E1752="","",IFERROR(INDEX(02_INDICADORES!$C$2:$C$42,MATCH(E1752,02_INDICADORES!$A$2:$A$42,0)),"ID?"))</f>
        <v/>
      </c>
      <c r="H1752" s="22" t="str">
        <f aca="false">IF(E1752="","",IFERROR(INDEX(02_INDICADORES!$D$2:$D$42,MATCH(E1752,02_INDICADORES!$A$2:$A$42,0)),""))</f>
        <v/>
      </c>
      <c r="I1752" s="9"/>
      <c r="J1752" s="16" t="str">
        <f aca="false">IF(OR(I1752="",H1752=""),"",I1752*H1752)</f>
        <v/>
      </c>
      <c r="K1752" s="9"/>
      <c r="L1752" s="9"/>
      <c r="M1752" s="9"/>
    </row>
    <row r="1753" customFormat="false" ht="15" hidden="false" customHeight="false" outlineLevel="0" collapsed="false">
      <c r="A1753" s="9"/>
      <c r="B1753" s="9"/>
      <c r="C1753" s="11"/>
      <c r="D1753" s="9"/>
      <c r="E1753" s="9"/>
      <c r="F1753" s="22" t="str">
        <f aca="false">IF(E1753="","",IFERROR(INDEX(02_INDICADORES!$B$2:$B$42,MATCH(E1753,02_INDICADORES!$A$2:$A$42,0)),"ID?"))</f>
        <v/>
      </c>
      <c r="G1753" s="21" t="str">
        <f aca="false">IF(E1753="","",IFERROR(INDEX(02_INDICADORES!$C$2:$C$42,MATCH(E1753,02_INDICADORES!$A$2:$A$42,0)),"ID?"))</f>
        <v/>
      </c>
      <c r="H1753" s="22" t="str">
        <f aca="false">IF(E1753="","",IFERROR(INDEX(02_INDICADORES!$D$2:$D$42,MATCH(E1753,02_INDICADORES!$A$2:$A$42,0)),""))</f>
        <v/>
      </c>
      <c r="I1753" s="9"/>
      <c r="J1753" s="16" t="str">
        <f aca="false">IF(OR(I1753="",H1753=""),"",I1753*H1753)</f>
        <v/>
      </c>
      <c r="K1753" s="9"/>
      <c r="L1753" s="9"/>
      <c r="M1753" s="9"/>
    </row>
    <row r="1754" customFormat="false" ht="15" hidden="false" customHeight="false" outlineLevel="0" collapsed="false">
      <c r="A1754" s="9"/>
      <c r="B1754" s="9"/>
      <c r="C1754" s="11"/>
      <c r="D1754" s="9"/>
      <c r="E1754" s="9"/>
      <c r="F1754" s="22" t="str">
        <f aca="false">IF(E1754="","",IFERROR(INDEX(02_INDICADORES!$B$2:$B$42,MATCH(E1754,02_INDICADORES!$A$2:$A$42,0)),"ID?"))</f>
        <v/>
      </c>
      <c r="G1754" s="21" t="str">
        <f aca="false">IF(E1754="","",IFERROR(INDEX(02_INDICADORES!$C$2:$C$42,MATCH(E1754,02_INDICADORES!$A$2:$A$42,0)),"ID?"))</f>
        <v/>
      </c>
      <c r="H1754" s="22" t="str">
        <f aca="false">IF(E1754="","",IFERROR(INDEX(02_INDICADORES!$D$2:$D$42,MATCH(E1754,02_INDICADORES!$A$2:$A$42,0)),""))</f>
        <v/>
      </c>
      <c r="I1754" s="9"/>
      <c r="J1754" s="16" t="str">
        <f aca="false">IF(OR(I1754="",H1754=""),"",I1754*H1754)</f>
        <v/>
      </c>
      <c r="K1754" s="9"/>
      <c r="L1754" s="9"/>
      <c r="M1754" s="9"/>
    </row>
    <row r="1755" customFormat="false" ht="15" hidden="false" customHeight="false" outlineLevel="0" collapsed="false">
      <c r="A1755" s="9"/>
      <c r="B1755" s="9"/>
      <c r="C1755" s="11"/>
      <c r="D1755" s="9"/>
      <c r="E1755" s="9"/>
      <c r="F1755" s="22" t="str">
        <f aca="false">IF(E1755="","",IFERROR(INDEX(02_INDICADORES!$B$2:$B$42,MATCH(E1755,02_INDICADORES!$A$2:$A$42,0)),"ID?"))</f>
        <v/>
      </c>
      <c r="G1755" s="21" t="str">
        <f aca="false">IF(E1755="","",IFERROR(INDEX(02_INDICADORES!$C$2:$C$42,MATCH(E1755,02_INDICADORES!$A$2:$A$42,0)),"ID?"))</f>
        <v/>
      </c>
      <c r="H1755" s="22" t="str">
        <f aca="false">IF(E1755="","",IFERROR(INDEX(02_INDICADORES!$D$2:$D$42,MATCH(E1755,02_INDICADORES!$A$2:$A$42,0)),""))</f>
        <v/>
      </c>
      <c r="I1755" s="9"/>
      <c r="J1755" s="16" t="str">
        <f aca="false">IF(OR(I1755="",H1755=""),"",I1755*H1755)</f>
        <v/>
      </c>
      <c r="K1755" s="9"/>
      <c r="L1755" s="9"/>
      <c r="M1755" s="9"/>
    </row>
    <row r="1756" customFormat="false" ht="15" hidden="false" customHeight="false" outlineLevel="0" collapsed="false">
      <c r="A1756" s="9"/>
      <c r="B1756" s="9"/>
      <c r="C1756" s="11"/>
      <c r="D1756" s="9"/>
      <c r="E1756" s="9"/>
      <c r="F1756" s="22" t="str">
        <f aca="false">IF(E1756="","",IFERROR(INDEX(02_INDICADORES!$B$2:$B$42,MATCH(E1756,02_INDICADORES!$A$2:$A$42,0)),"ID?"))</f>
        <v/>
      </c>
      <c r="G1756" s="21" t="str">
        <f aca="false">IF(E1756="","",IFERROR(INDEX(02_INDICADORES!$C$2:$C$42,MATCH(E1756,02_INDICADORES!$A$2:$A$42,0)),"ID?"))</f>
        <v/>
      </c>
      <c r="H1756" s="22" t="str">
        <f aca="false">IF(E1756="","",IFERROR(INDEX(02_INDICADORES!$D$2:$D$42,MATCH(E1756,02_INDICADORES!$A$2:$A$42,0)),""))</f>
        <v/>
      </c>
      <c r="I1756" s="9"/>
      <c r="J1756" s="16" t="str">
        <f aca="false">IF(OR(I1756="",H1756=""),"",I1756*H1756)</f>
        <v/>
      </c>
      <c r="K1756" s="9"/>
      <c r="L1756" s="9"/>
      <c r="M1756" s="9"/>
    </row>
    <row r="1757" customFormat="false" ht="15" hidden="false" customHeight="false" outlineLevel="0" collapsed="false">
      <c r="A1757" s="9"/>
      <c r="B1757" s="9"/>
      <c r="C1757" s="11"/>
      <c r="D1757" s="9"/>
      <c r="E1757" s="9"/>
      <c r="F1757" s="22" t="str">
        <f aca="false">IF(E1757="","",IFERROR(INDEX(02_INDICADORES!$B$2:$B$42,MATCH(E1757,02_INDICADORES!$A$2:$A$42,0)),"ID?"))</f>
        <v/>
      </c>
      <c r="G1757" s="21" t="str">
        <f aca="false">IF(E1757="","",IFERROR(INDEX(02_INDICADORES!$C$2:$C$42,MATCH(E1757,02_INDICADORES!$A$2:$A$42,0)),"ID?"))</f>
        <v/>
      </c>
      <c r="H1757" s="22" t="str">
        <f aca="false">IF(E1757="","",IFERROR(INDEX(02_INDICADORES!$D$2:$D$42,MATCH(E1757,02_INDICADORES!$A$2:$A$42,0)),""))</f>
        <v/>
      </c>
      <c r="I1757" s="9"/>
      <c r="J1757" s="16" t="str">
        <f aca="false">IF(OR(I1757="",H1757=""),"",I1757*H1757)</f>
        <v/>
      </c>
      <c r="K1757" s="9"/>
      <c r="L1757" s="9"/>
      <c r="M1757" s="9"/>
    </row>
    <row r="1758" customFormat="false" ht="15" hidden="false" customHeight="false" outlineLevel="0" collapsed="false">
      <c r="A1758" s="9"/>
      <c r="B1758" s="9"/>
      <c r="C1758" s="11"/>
      <c r="D1758" s="9"/>
      <c r="E1758" s="9"/>
      <c r="F1758" s="22" t="str">
        <f aca="false">IF(E1758="","",IFERROR(INDEX(02_INDICADORES!$B$2:$B$42,MATCH(E1758,02_INDICADORES!$A$2:$A$42,0)),"ID?"))</f>
        <v/>
      </c>
      <c r="G1758" s="21" t="str">
        <f aca="false">IF(E1758="","",IFERROR(INDEX(02_INDICADORES!$C$2:$C$42,MATCH(E1758,02_INDICADORES!$A$2:$A$42,0)),"ID?"))</f>
        <v/>
      </c>
      <c r="H1758" s="22" t="str">
        <f aca="false">IF(E1758="","",IFERROR(INDEX(02_INDICADORES!$D$2:$D$42,MATCH(E1758,02_INDICADORES!$A$2:$A$42,0)),""))</f>
        <v/>
      </c>
      <c r="I1758" s="9"/>
      <c r="J1758" s="16" t="str">
        <f aca="false">IF(OR(I1758="",H1758=""),"",I1758*H1758)</f>
        <v/>
      </c>
      <c r="K1758" s="9"/>
      <c r="L1758" s="9"/>
      <c r="M1758" s="9"/>
    </row>
    <row r="1759" customFormat="false" ht="15" hidden="false" customHeight="false" outlineLevel="0" collapsed="false">
      <c r="A1759" s="9"/>
      <c r="B1759" s="9"/>
      <c r="C1759" s="11"/>
      <c r="D1759" s="9"/>
      <c r="E1759" s="9"/>
      <c r="F1759" s="22" t="str">
        <f aca="false">IF(E1759="","",IFERROR(INDEX(02_INDICADORES!$B$2:$B$42,MATCH(E1759,02_INDICADORES!$A$2:$A$42,0)),"ID?"))</f>
        <v/>
      </c>
      <c r="G1759" s="21" t="str">
        <f aca="false">IF(E1759="","",IFERROR(INDEX(02_INDICADORES!$C$2:$C$42,MATCH(E1759,02_INDICADORES!$A$2:$A$42,0)),"ID?"))</f>
        <v/>
      </c>
      <c r="H1759" s="22" t="str">
        <f aca="false">IF(E1759="","",IFERROR(INDEX(02_INDICADORES!$D$2:$D$42,MATCH(E1759,02_INDICADORES!$A$2:$A$42,0)),""))</f>
        <v/>
      </c>
      <c r="I1759" s="9"/>
      <c r="J1759" s="16" t="str">
        <f aca="false">IF(OR(I1759="",H1759=""),"",I1759*H1759)</f>
        <v/>
      </c>
      <c r="K1759" s="9"/>
      <c r="L1759" s="9"/>
      <c r="M1759" s="9"/>
    </row>
    <row r="1760" customFormat="false" ht="15" hidden="false" customHeight="false" outlineLevel="0" collapsed="false">
      <c r="A1760" s="9"/>
      <c r="B1760" s="9"/>
      <c r="C1760" s="11"/>
      <c r="D1760" s="9"/>
      <c r="E1760" s="9"/>
      <c r="F1760" s="22" t="str">
        <f aca="false">IF(E1760="","",IFERROR(INDEX(02_INDICADORES!$B$2:$B$42,MATCH(E1760,02_INDICADORES!$A$2:$A$42,0)),"ID?"))</f>
        <v/>
      </c>
      <c r="G1760" s="21" t="str">
        <f aca="false">IF(E1760="","",IFERROR(INDEX(02_INDICADORES!$C$2:$C$42,MATCH(E1760,02_INDICADORES!$A$2:$A$42,0)),"ID?"))</f>
        <v/>
      </c>
      <c r="H1760" s="22" t="str">
        <f aca="false">IF(E1760="","",IFERROR(INDEX(02_INDICADORES!$D$2:$D$42,MATCH(E1760,02_INDICADORES!$A$2:$A$42,0)),""))</f>
        <v/>
      </c>
      <c r="I1760" s="9"/>
      <c r="J1760" s="16" t="str">
        <f aca="false">IF(OR(I1760="",H1760=""),"",I1760*H1760)</f>
        <v/>
      </c>
      <c r="K1760" s="9"/>
      <c r="L1760" s="9"/>
      <c r="M1760" s="9"/>
    </row>
    <row r="1761" customFormat="false" ht="15" hidden="false" customHeight="false" outlineLevel="0" collapsed="false">
      <c r="A1761" s="9"/>
      <c r="B1761" s="9"/>
      <c r="C1761" s="11"/>
      <c r="D1761" s="9"/>
      <c r="E1761" s="9"/>
      <c r="F1761" s="22" t="str">
        <f aca="false">IF(E1761="","",IFERROR(INDEX(02_INDICADORES!$B$2:$B$42,MATCH(E1761,02_INDICADORES!$A$2:$A$42,0)),"ID?"))</f>
        <v/>
      </c>
      <c r="G1761" s="21" t="str">
        <f aca="false">IF(E1761="","",IFERROR(INDEX(02_INDICADORES!$C$2:$C$42,MATCH(E1761,02_INDICADORES!$A$2:$A$42,0)),"ID?"))</f>
        <v/>
      </c>
      <c r="H1761" s="22" t="str">
        <f aca="false">IF(E1761="","",IFERROR(INDEX(02_INDICADORES!$D$2:$D$42,MATCH(E1761,02_INDICADORES!$A$2:$A$42,0)),""))</f>
        <v/>
      </c>
      <c r="I1761" s="9"/>
      <c r="J1761" s="16" t="str">
        <f aca="false">IF(OR(I1761="",H1761=""),"",I1761*H1761)</f>
        <v/>
      </c>
      <c r="K1761" s="9"/>
      <c r="L1761" s="9"/>
      <c r="M1761" s="9"/>
    </row>
    <row r="1762" customFormat="false" ht="15" hidden="false" customHeight="false" outlineLevel="0" collapsed="false">
      <c r="A1762" s="9"/>
      <c r="B1762" s="9"/>
      <c r="C1762" s="11"/>
      <c r="D1762" s="9"/>
      <c r="E1762" s="9"/>
      <c r="F1762" s="22" t="str">
        <f aca="false">IF(E1762="","",IFERROR(INDEX(02_INDICADORES!$B$2:$B$42,MATCH(E1762,02_INDICADORES!$A$2:$A$42,0)),"ID?"))</f>
        <v/>
      </c>
      <c r="G1762" s="21" t="str">
        <f aca="false">IF(E1762="","",IFERROR(INDEX(02_INDICADORES!$C$2:$C$42,MATCH(E1762,02_INDICADORES!$A$2:$A$42,0)),"ID?"))</f>
        <v/>
      </c>
      <c r="H1762" s="22" t="str">
        <f aca="false">IF(E1762="","",IFERROR(INDEX(02_INDICADORES!$D$2:$D$42,MATCH(E1762,02_INDICADORES!$A$2:$A$42,0)),""))</f>
        <v/>
      </c>
      <c r="I1762" s="9"/>
      <c r="J1762" s="16" t="str">
        <f aca="false">IF(OR(I1762="",H1762=""),"",I1762*H1762)</f>
        <v/>
      </c>
      <c r="K1762" s="9"/>
      <c r="L1762" s="9"/>
      <c r="M1762" s="9"/>
    </row>
    <row r="1763" customFormat="false" ht="15" hidden="false" customHeight="false" outlineLevel="0" collapsed="false">
      <c r="A1763" s="9"/>
      <c r="B1763" s="9"/>
      <c r="C1763" s="11"/>
      <c r="D1763" s="9"/>
      <c r="E1763" s="9"/>
      <c r="F1763" s="22" t="str">
        <f aca="false">IF(E1763="","",IFERROR(INDEX(02_INDICADORES!$B$2:$B$42,MATCH(E1763,02_INDICADORES!$A$2:$A$42,0)),"ID?"))</f>
        <v/>
      </c>
      <c r="G1763" s="21" t="str">
        <f aca="false">IF(E1763="","",IFERROR(INDEX(02_INDICADORES!$C$2:$C$42,MATCH(E1763,02_INDICADORES!$A$2:$A$42,0)),"ID?"))</f>
        <v/>
      </c>
      <c r="H1763" s="22" t="str">
        <f aca="false">IF(E1763="","",IFERROR(INDEX(02_INDICADORES!$D$2:$D$42,MATCH(E1763,02_INDICADORES!$A$2:$A$42,0)),""))</f>
        <v/>
      </c>
      <c r="I1763" s="9"/>
      <c r="J1763" s="16" t="str">
        <f aca="false">IF(OR(I1763="",H1763=""),"",I1763*H1763)</f>
        <v/>
      </c>
      <c r="K1763" s="9"/>
      <c r="L1763" s="9"/>
      <c r="M1763" s="9"/>
    </row>
    <row r="1764" customFormat="false" ht="15" hidden="false" customHeight="false" outlineLevel="0" collapsed="false">
      <c r="A1764" s="9"/>
      <c r="B1764" s="9"/>
      <c r="C1764" s="11"/>
      <c r="D1764" s="9"/>
      <c r="E1764" s="9"/>
      <c r="F1764" s="22" t="str">
        <f aca="false">IF(E1764="","",IFERROR(INDEX(02_INDICADORES!$B$2:$B$42,MATCH(E1764,02_INDICADORES!$A$2:$A$42,0)),"ID?"))</f>
        <v/>
      </c>
      <c r="G1764" s="21" t="str">
        <f aca="false">IF(E1764="","",IFERROR(INDEX(02_INDICADORES!$C$2:$C$42,MATCH(E1764,02_INDICADORES!$A$2:$A$42,0)),"ID?"))</f>
        <v/>
      </c>
      <c r="H1764" s="22" t="str">
        <f aca="false">IF(E1764="","",IFERROR(INDEX(02_INDICADORES!$D$2:$D$42,MATCH(E1764,02_INDICADORES!$A$2:$A$42,0)),""))</f>
        <v/>
      </c>
      <c r="I1764" s="9"/>
      <c r="J1764" s="16" t="str">
        <f aca="false">IF(OR(I1764="",H1764=""),"",I1764*H1764)</f>
        <v/>
      </c>
      <c r="K1764" s="9"/>
      <c r="L1764" s="9"/>
      <c r="M1764" s="9"/>
    </row>
    <row r="1765" customFormat="false" ht="15" hidden="false" customHeight="false" outlineLevel="0" collapsed="false">
      <c r="A1765" s="9"/>
      <c r="B1765" s="9"/>
      <c r="C1765" s="11"/>
      <c r="D1765" s="9"/>
      <c r="E1765" s="9"/>
      <c r="F1765" s="22" t="str">
        <f aca="false">IF(E1765="","",IFERROR(INDEX(02_INDICADORES!$B$2:$B$42,MATCH(E1765,02_INDICADORES!$A$2:$A$42,0)),"ID?"))</f>
        <v/>
      </c>
      <c r="G1765" s="21" t="str">
        <f aca="false">IF(E1765="","",IFERROR(INDEX(02_INDICADORES!$C$2:$C$42,MATCH(E1765,02_INDICADORES!$A$2:$A$42,0)),"ID?"))</f>
        <v/>
      </c>
      <c r="H1765" s="22" t="str">
        <f aca="false">IF(E1765="","",IFERROR(INDEX(02_INDICADORES!$D$2:$D$42,MATCH(E1765,02_INDICADORES!$A$2:$A$42,0)),""))</f>
        <v/>
      </c>
      <c r="I1765" s="9"/>
      <c r="J1765" s="16" t="str">
        <f aca="false">IF(OR(I1765="",H1765=""),"",I1765*H1765)</f>
        <v/>
      </c>
      <c r="K1765" s="9"/>
      <c r="L1765" s="9"/>
      <c r="M1765" s="9"/>
    </row>
    <row r="1766" customFormat="false" ht="15" hidden="false" customHeight="false" outlineLevel="0" collapsed="false">
      <c r="A1766" s="9"/>
      <c r="B1766" s="9"/>
      <c r="C1766" s="11"/>
      <c r="D1766" s="9"/>
      <c r="E1766" s="9"/>
      <c r="F1766" s="22" t="str">
        <f aca="false">IF(E1766="","",IFERROR(INDEX(02_INDICADORES!$B$2:$B$42,MATCH(E1766,02_INDICADORES!$A$2:$A$42,0)),"ID?"))</f>
        <v/>
      </c>
      <c r="G1766" s="21" t="str">
        <f aca="false">IF(E1766="","",IFERROR(INDEX(02_INDICADORES!$C$2:$C$42,MATCH(E1766,02_INDICADORES!$A$2:$A$42,0)),"ID?"))</f>
        <v/>
      </c>
      <c r="H1766" s="22" t="str">
        <f aca="false">IF(E1766="","",IFERROR(INDEX(02_INDICADORES!$D$2:$D$42,MATCH(E1766,02_INDICADORES!$A$2:$A$42,0)),""))</f>
        <v/>
      </c>
      <c r="I1766" s="9"/>
      <c r="J1766" s="16" t="str">
        <f aca="false">IF(OR(I1766="",H1766=""),"",I1766*H1766)</f>
        <v/>
      </c>
      <c r="K1766" s="9"/>
      <c r="L1766" s="9"/>
      <c r="M1766" s="9"/>
    </row>
    <row r="1767" customFormat="false" ht="15" hidden="false" customHeight="false" outlineLevel="0" collapsed="false">
      <c r="A1767" s="9"/>
      <c r="B1767" s="9"/>
      <c r="C1767" s="11"/>
      <c r="D1767" s="9"/>
      <c r="E1767" s="9"/>
      <c r="F1767" s="22" t="str">
        <f aca="false">IF(E1767="","",IFERROR(INDEX(02_INDICADORES!$B$2:$B$42,MATCH(E1767,02_INDICADORES!$A$2:$A$42,0)),"ID?"))</f>
        <v/>
      </c>
      <c r="G1767" s="21" t="str">
        <f aca="false">IF(E1767="","",IFERROR(INDEX(02_INDICADORES!$C$2:$C$42,MATCH(E1767,02_INDICADORES!$A$2:$A$42,0)),"ID?"))</f>
        <v/>
      </c>
      <c r="H1767" s="22" t="str">
        <f aca="false">IF(E1767="","",IFERROR(INDEX(02_INDICADORES!$D$2:$D$42,MATCH(E1767,02_INDICADORES!$A$2:$A$42,0)),""))</f>
        <v/>
      </c>
      <c r="I1767" s="9"/>
      <c r="J1767" s="16" t="str">
        <f aca="false">IF(OR(I1767="",H1767=""),"",I1767*H1767)</f>
        <v/>
      </c>
      <c r="K1767" s="9"/>
      <c r="L1767" s="9"/>
      <c r="M1767" s="9"/>
    </row>
    <row r="1768" customFormat="false" ht="15" hidden="false" customHeight="false" outlineLevel="0" collapsed="false">
      <c r="A1768" s="9"/>
      <c r="B1768" s="9"/>
      <c r="C1768" s="11"/>
      <c r="D1768" s="9"/>
      <c r="E1768" s="9"/>
      <c r="F1768" s="22" t="str">
        <f aca="false">IF(E1768="","",IFERROR(INDEX(02_INDICADORES!$B$2:$B$42,MATCH(E1768,02_INDICADORES!$A$2:$A$42,0)),"ID?"))</f>
        <v/>
      </c>
      <c r="G1768" s="21" t="str">
        <f aca="false">IF(E1768="","",IFERROR(INDEX(02_INDICADORES!$C$2:$C$42,MATCH(E1768,02_INDICADORES!$A$2:$A$42,0)),"ID?"))</f>
        <v/>
      </c>
      <c r="H1768" s="22" t="str">
        <f aca="false">IF(E1768="","",IFERROR(INDEX(02_INDICADORES!$D$2:$D$42,MATCH(E1768,02_INDICADORES!$A$2:$A$42,0)),""))</f>
        <v/>
      </c>
      <c r="I1768" s="9"/>
      <c r="J1768" s="16" t="str">
        <f aca="false">IF(OR(I1768="",H1768=""),"",I1768*H1768)</f>
        <v/>
      </c>
      <c r="K1768" s="9"/>
      <c r="L1768" s="9"/>
      <c r="M1768" s="9"/>
    </row>
    <row r="1769" customFormat="false" ht="15" hidden="false" customHeight="false" outlineLevel="0" collapsed="false">
      <c r="A1769" s="9"/>
      <c r="B1769" s="9"/>
      <c r="C1769" s="11"/>
      <c r="D1769" s="9"/>
      <c r="E1769" s="9"/>
      <c r="F1769" s="22" t="str">
        <f aca="false">IF(E1769="","",IFERROR(INDEX(02_INDICADORES!$B$2:$B$42,MATCH(E1769,02_INDICADORES!$A$2:$A$42,0)),"ID?"))</f>
        <v/>
      </c>
      <c r="G1769" s="21" t="str">
        <f aca="false">IF(E1769="","",IFERROR(INDEX(02_INDICADORES!$C$2:$C$42,MATCH(E1769,02_INDICADORES!$A$2:$A$42,0)),"ID?"))</f>
        <v/>
      </c>
      <c r="H1769" s="22" t="str">
        <f aca="false">IF(E1769="","",IFERROR(INDEX(02_INDICADORES!$D$2:$D$42,MATCH(E1769,02_INDICADORES!$A$2:$A$42,0)),""))</f>
        <v/>
      </c>
      <c r="I1769" s="9"/>
      <c r="J1769" s="16" t="str">
        <f aca="false">IF(OR(I1769="",H1769=""),"",I1769*H1769)</f>
        <v/>
      </c>
      <c r="K1769" s="9"/>
      <c r="L1769" s="9"/>
      <c r="M1769" s="9"/>
    </row>
    <row r="1770" customFormat="false" ht="15" hidden="false" customHeight="false" outlineLevel="0" collapsed="false">
      <c r="A1770" s="9"/>
      <c r="B1770" s="9"/>
      <c r="C1770" s="11"/>
      <c r="D1770" s="9"/>
      <c r="E1770" s="9"/>
      <c r="F1770" s="22" t="str">
        <f aca="false">IF(E1770="","",IFERROR(INDEX(02_INDICADORES!$B$2:$B$42,MATCH(E1770,02_INDICADORES!$A$2:$A$42,0)),"ID?"))</f>
        <v/>
      </c>
      <c r="G1770" s="21" t="str">
        <f aca="false">IF(E1770="","",IFERROR(INDEX(02_INDICADORES!$C$2:$C$42,MATCH(E1770,02_INDICADORES!$A$2:$A$42,0)),"ID?"))</f>
        <v/>
      </c>
      <c r="H1770" s="22" t="str">
        <f aca="false">IF(E1770="","",IFERROR(INDEX(02_INDICADORES!$D$2:$D$42,MATCH(E1770,02_INDICADORES!$A$2:$A$42,0)),""))</f>
        <v/>
      </c>
      <c r="I1770" s="9"/>
      <c r="J1770" s="16" t="str">
        <f aca="false">IF(OR(I1770="",H1770=""),"",I1770*H1770)</f>
        <v/>
      </c>
      <c r="K1770" s="9"/>
      <c r="L1770" s="9"/>
      <c r="M1770" s="9"/>
    </row>
    <row r="1771" customFormat="false" ht="15" hidden="false" customHeight="false" outlineLevel="0" collapsed="false">
      <c r="A1771" s="9"/>
      <c r="B1771" s="9"/>
      <c r="C1771" s="11"/>
      <c r="D1771" s="9"/>
      <c r="E1771" s="9"/>
      <c r="F1771" s="22" t="str">
        <f aca="false">IF(E1771="","",IFERROR(INDEX(02_INDICADORES!$B$2:$B$42,MATCH(E1771,02_INDICADORES!$A$2:$A$42,0)),"ID?"))</f>
        <v/>
      </c>
      <c r="G1771" s="21" t="str">
        <f aca="false">IF(E1771="","",IFERROR(INDEX(02_INDICADORES!$C$2:$C$42,MATCH(E1771,02_INDICADORES!$A$2:$A$42,0)),"ID?"))</f>
        <v/>
      </c>
      <c r="H1771" s="22" t="str">
        <f aca="false">IF(E1771="","",IFERROR(INDEX(02_INDICADORES!$D$2:$D$42,MATCH(E1771,02_INDICADORES!$A$2:$A$42,0)),""))</f>
        <v/>
      </c>
      <c r="I1771" s="9"/>
      <c r="J1771" s="16" t="str">
        <f aca="false">IF(OR(I1771="",H1771=""),"",I1771*H1771)</f>
        <v/>
      </c>
      <c r="K1771" s="9"/>
      <c r="L1771" s="9"/>
      <c r="M1771" s="9"/>
    </row>
    <row r="1772" customFormat="false" ht="15" hidden="false" customHeight="false" outlineLevel="0" collapsed="false">
      <c r="A1772" s="9"/>
      <c r="B1772" s="9"/>
      <c r="C1772" s="11"/>
      <c r="D1772" s="9"/>
      <c r="E1772" s="9"/>
      <c r="F1772" s="22" t="str">
        <f aca="false">IF(E1772="","",IFERROR(INDEX(02_INDICADORES!$B$2:$B$42,MATCH(E1772,02_INDICADORES!$A$2:$A$42,0)),"ID?"))</f>
        <v/>
      </c>
      <c r="G1772" s="21" t="str">
        <f aca="false">IF(E1772="","",IFERROR(INDEX(02_INDICADORES!$C$2:$C$42,MATCH(E1772,02_INDICADORES!$A$2:$A$42,0)),"ID?"))</f>
        <v/>
      </c>
      <c r="H1772" s="22" t="str">
        <f aca="false">IF(E1772="","",IFERROR(INDEX(02_INDICADORES!$D$2:$D$42,MATCH(E1772,02_INDICADORES!$A$2:$A$42,0)),""))</f>
        <v/>
      </c>
      <c r="I1772" s="9"/>
      <c r="J1772" s="16" t="str">
        <f aca="false">IF(OR(I1772="",H1772=""),"",I1772*H1772)</f>
        <v/>
      </c>
      <c r="K1772" s="9"/>
      <c r="L1772" s="9"/>
      <c r="M1772" s="9"/>
    </row>
    <row r="1773" customFormat="false" ht="15" hidden="false" customHeight="false" outlineLevel="0" collapsed="false">
      <c r="A1773" s="9"/>
      <c r="B1773" s="9"/>
      <c r="C1773" s="11"/>
      <c r="D1773" s="9"/>
      <c r="E1773" s="9"/>
      <c r="F1773" s="22" t="str">
        <f aca="false">IF(E1773="","",IFERROR(INDEX(02_INDICADORES!$B$2:$B$42,MATCH(E1773,02_INDICADORES!$A$2:$A$42,0)),"ID?"))</f>
        <v/>
      </c>
      <c r="G1773" s="21" t="str">
        <f aca="false">IF(E1773="","",IFERROR(INDEX(02_INDICADORES!$C$2:$C$42,MATCH(E1773,02_INDICADORES!$A$2:$A$42,0)),"ID?"))</f>
        <v/>
      </c>
      <c r="H1773" s="22" t="str">
        <f aca="false">IF(E1773="","",IFERROR(INDEX(02_INDICADORES!$D$2:$D$42,MATCH(E1773,02_INDICADORES!$A$2:$A$42,0)),""))</f>
        <v/>
      </c>
      <c r="I1773" s="9"/>
      <c r="J1773" s="16" t="str">
        <f aca="false">IF(OR(I1773="",H1773=""),"",I1773*H1773)</f>
        <v/>
      </c>
      <c r="K1773" s="9"/>
      <c r="L1773" s="9"/>
      <c r="M1773" s="9"/>
    </row>
    <row r="1774" customFormat="false" ht="15" hidden="false" customHeight="false" outlineLevel="0" collapsed="false">
      <c r="A1774" s="9"/>
      <c r="B1774" s="9"/>
      <c r="C1774" s="11"/>
      <c r="D1774" s="9"/>
      <c r="E1774" s="9"/>
      <c r="F1774" s="22" t="str">
        <f aca="false">IF(E1774="","",IFERROR(INDEX(02_INDICADORES!$B$2:$B$42,MATCH(E1774,02_INDICADORES!$A$2:$A$42,0)),"ID?"))</f>
        <v/>
      </c>
      <c r="G1774" s="21" t="str">
        <f aca="false">IF(E1774="","",IFERROR(INDEX(02_INDICADORES!$C$2:$C$42,MATCH(E1774,02_INDICADORES!$A$2:$A$42,0)),"ID?"))</f>
        <v/>
      </c>
      <c r="H1774" s="22" t="str">
        <f aca="false">IF(E1774="","",IFERROR(INDEX(02_INDICADORES!$D$2:$D$42,MATCH(E1774,02_INDICADORES!$A$2:$A$42,0)),""))</f>
        <v/>
      </c>
      <c r="I1774" s="9"/>
      <c r="J1774" s="16" t="str">
        <f aca="false">IF(OR(I1774="",H1774=""),"",I1774*H1774)</f>
        <v/>
      </c>
      <c r="K1774" s="9"/>
      <c r="L1774" s="9"/>
      <c r="M1774" s="9"/>
    </row>
    <row r="1775" customFormat="false" ht="15" hidden="false" customHeight="false" outlineLevel="0" collapsed="false">
      <c r="A1775" s="9"/>
      <c r="B1775" s="9"/>
      <c r="C1775" s="11"/>
      <c r="D1775" s="9"/>
      <c r="E1775" s="9"/>
      <c r="F1775" s="22" t="str">
        <f aca="false">IF(E1775="","",IFERROR(INDEX(02_INDICADORES!$B$2:$B$42,MATCH(E1775,02_INDICADORES!$A$2:$A$42,0)),"ID?"))</f>
        <v/>
      </c>
      <c r="G1775" s="21" t="str">
        <f aca="false">IF(E1775="","",IFERROR(INDEX(02_INDICADORES!$C$2:$C$42,MATCH(E1775,02_INDICADORES!$A$2:$A$42,0)),"ID?"))</f>
        <v/>
      </c>
      <c r="H1775" s="22" t="str">
        <f aca="false">IF(E1775="","",IFERROR(INDEX(02_INDICADORES!$D$2:$D$42,MATCH(E1775,02_INDICADORES!$A$2:$A$42,0)),""))</f>
        <v/>
      </c>
      <c r="I1775" s="9"/>
      <c r="J1775" s="16" t="str">
        <f aca="false">IF(OR(I1775="",H1775=""),"",I1775*H1775)</f>
        <v/>
      </c>
      <c r="K1775" s="9"/>
      <c r="L1775" s="9"/>
      <c r="M1775" s="9"/>
    </row>
    <row r="1776" customFormat="false" ht="15" hidden="false" customHeight="false" outlineLevel="0" collapsed="false">
      <c r="A1776" s="9"/>
      <c r="B1776" s="9"/>
      <c r="C1776" s="11"/>
      <c r="D1776" s="9"/>
      <c r="E1776" s="9"/>
      <c r="F1776" s="22" t="str">
        <f aca="false">IF(E1776="","",IFERROR(INDEX(02_INDICADORES!$B$2:$B$42,MATCH(E1776,02_INDICADORES!$A$2:$A$42,0)),"ID?"))</f>
        <v/>
      </c>
      <c r="G1776" s="21" t="str">
        <f aca="false">IF(E1776="","",IFERROR(INDEX(02_INDICADORES!$C$2:$C$42,MATCH(E1776,02_INDICADORES!$A$2:$A$42,0)),"ID?"))</f>
        <v/>
      </c>
      <c r="H1776" s="22" t="str">
        <f aca="false">IF(E1776="","",IFERROR(INDEX(02_INDICADORES!$D$2:$D$42,MATCH(E1776,02_INDICADORES!$A$2:$A$42,0)),""))</f>
        <v/>
      </c>
      <c r="I1776" s="9"/>
      <c r="J1776" s="16" t="str">
        <f aca="false">IF(OR(I1776="",H1776=""),"",I1776*H1776)</f>
        <v/>
      </c>
      <c r="K1776" s="9"/>
      <c r="L1776" s="9"/>
      <c r="M1776" s="9"/>
    </row>
    <row r="1777" customFormat="false" ht="15" hidden="false" customHeight="false" outlineLevel="0" collapsed="false">
      <c r="A1777" s="9"/>
      <c r="B1777" s="9"/>
      <c r="C1777" s="11"/>
      <c r="D1777" s="9"/>
      <c r="E1777" s="9"/>
      <c r="F1777" s="22" t="str">
        <f aca="false">IF(E1777="","",IFERROR(INDEX(02_INDICADORES!$B$2:$B$42,MATCH(E1777,02_INDICADORES!$A$2:$A$42,0)),"ID?"))</f>
        <v/>
      </c>
      <c r="G1777" s="21" t="str">
        <f aca="false">IF(E1777="","",IFERROR(INDEX(02_INDICADORES!$C$2:$C$42,MATCH(E1777,02_INDICADORES!$A$2:$A$42,0)),"ID?"))</f>
        <v/>
      </c>
      <c r="H1777" s="22" t="str">
        <f aca="false">IF(E1777="","",IFERROR(INDEX(02_INDICADORES!$D$2:$D$42,MATCH(E1777,02_INDICADORES!$A$2:$A$42,0)),""))</f>
        <v/>
      </c>
      <c r="I1777" s="9"/>
      <c r="J1777" s="16" t="str">
        <f aca="false">IF(OR(I1777="",H1777=""),"",I1777*H1777)</f>
        <v/>
      </c>
      <c r="K1777" s="9"/>
      <c r="L1777" s="9"/>
      <c r="M1777" s="9"/>
    </row>
    <row r="1778" customFormat="false" ht="15" hidden="false" customHeight="false" outlineLevel="0" collapsed="false">
      <c r="A1778" s="9"/>
      <c r="B1778" s="9"/>
      <c r="C1778" s="11"/>
      <c r="D1778" s="9"/>
      <c r="E1778" s="9"/>
      <c r="F1778" s="22" t="str">
        <f aca="false">IF(E1778="","",IFERROR(INDEX(02_INDICADORES!$B$2:$B$42,MATCH(E1778,02_INDICADORES!$A$2:$A$42,0)),"ID?"))</f>
        <v/>
      </c>
      <c r="G1778" s="21" t="str">
        <f aca="false">IF(E1778="","",IFERROR(INDEX(02_INDICADORES!$C$2:$C$42,MATCH(E1778,02_INDICADORES!$A$2:$A$42,0)),"ID?"))</f>
        <v/>
      </c>
      <c r="H1778" s="22" t="str">
        <f aca="false">IF(E1778="","",IFERROR(INDEX(02_INDICADORES!$D$2:$D$42,MATCH(E1778,02_INDICADORES!$A$2:$A$42,0)),""))</f>
        <v/>
      </c>
      <c r="I1778" s="9"/>
      <c r="J1778" s="16" t="str">
        <f aca="false">IF(OR(I1778="",H1778=""),"",I1778*H1778)</f>
        <v/>
      </c>
      <c r="K1778" s="9"/>
      <c r="L1778" s="9"/>
      <c r="M1778" s="9"/>
    </row>
    <row r="1779" customFormat="false" ht="15" hidden="false" customHeight="false" outlineLevel="0" collapsed="false">
      <c r="A1779" s="9"/>
      <c r="B1779" s="9"/>
      <c r="C1779" s="11"/>
      <c r="D1779" s="9"/>
      <c r="E1779" s="9"/>
      <c r="F1779" s="22" t="str">
        <f aca="false">IF(E1779="","",IFERROR(INDEX(02_INDICADORES!$B$2:$B$42,MATCH(E1779,02_INDICADORES!$A$2:$A$42,0)),"ID?"))</f>
        <v/>
      </c>
      <c r="G1779" s="21" t="str">
        <f aca="false">IF(E1779="","",IFERROR(INDEX(02_INDICADORES!$C$2:$C$42,MATCH(E1779,02_INDICADORES!$A$2:$A$42,0)),"ID?"))</f>
        <v/>
      </c>
      <c r="H1779" s="22" t="str">
        <f aca="false">IF(E1779="","",IFERROR(INDEX(02_INDICADORES!$D$2:$D$42,MATCH(E1779,02_INDICADORES!$A$2:$A$42,0)),""))</f>
        <v/>
      </c>
      <c r="I1779" s="9"/>
      <c r="J1779" s="16" t="str">
        <f aca="false">IF(OR(I1779="",H1779=""),"",I1779*H1779)</f>
        <v/>
      </c>
      <c r="K1779" s="9"/>
      <c r="L1779" s="9"/>
      <c r="M1779" s="9"/>
    </row>
    <row r="1780" customFormat="false" ht="15" hidden="false" customHeight="false" outlineLevel="0" collapsed="false">
      <c r="A1780" s="9"/>
      <c r="B1780" s="9"/>
      <c r="C1780" s="11"/>
      <c r="D1780" s="9"/>
      <c r="E1780" s="9"/>
      <c r="F1780" s="22" t="str">
        <f aca="false">IF(E1780="","",IFERROR(INDEX(02_INDICADORES!$B$2:$B$42,MATCH(E1780,02_INDICADORES!$A$2:$A$42,0)),"ID?"))</f>
        <v/>
      </c>
      <c r="G1780" s="21" t="str">
        <f aca="false">IF(E1780="","",IFERROR(INDEX(02_INDICADORES!$C$2:$C$42,MATCH(E1780,02_INDICADORES!$A$2:$A$42,0)),"ID?"))</f>
        <v/>
      </c>
      <c r="H1780" s="22" t="str">
        <f aca="false">IF(E1780="","",IFERROR(INDEX(02_INDICADORES!$D$2:$D$42,MATCH(E1780,02_INDICADORES!$A$2:$A$42,0)),""))</f>
        <v/>
      </c>
      <c r="I1780" s="9"/>
      <c r="J1780" s="16" t="str">
        <f aca="false">IF(OR(I1780="",H1780=""),"",I1780*H1780)</f>
        <v/>
      </c>
      <c r="K1780" s="9"/>
      <c r="L1780" s="9"/>
      <c r="M1780" s="9"/>
    </row>
    <row r="1781" customFormat="false" ht="15" hidden="false" customHeight="false" outlineLevel="0" collapsed="false">
      <c r="A1781" s="9"/>
      <c r="B1781" s="9"/>
      <c r="C1781" s="11"/>
      <c r="D1781" s="9"/>
      <c r="E1781" s="9"/>
      <c r="F1781" s="22" t="str">
        <f aca="false">IF(E1781="","",IFERROR(INDEX(02_INDICADORES!$B$2:$B$42,MATCH(E1781,02_INDICADORES!$A$2:$A$42,0)),"ID?"))</f>
        <v/>
      </c>
      <c r="G1781" s="21" t="str">
        <f aca="false">IF(E1781="","",IFERROR(INDEX(02_INDICADORES!$C$2:$C$42,MATCH(E1781,02_INDICADORES!$A$2:$A$42,0)),"ID?"))</f>
        <v/>
      </c>
      <c r="H1781" s="22" t="str">
        <f aca="false">IF(E1781="","",IFERROR(INDEX(02_INDICADORES!$D$2:$D$42,MATCH(E1781,02_INDICADORES!$A$2:$A$42,0)),""))</f>
        <v/>
      </c>
      <c r="I1781" s="9"/>
      <c r="J1781" s="16" t="str">
        <f aca="false">IF(OR(I1781="",H1781=""),"",I1781*H1781)</f>
        <v/>
      </c>
      <c r="K1781" s="9"/>
      <c r="L1781" s="9"/>
      <c r="M1781" s="9"/>
    </row>
    <row r="1782" customFormat="false" ht="15" hidden="false" customHeight="false" outlineLevel="0" collapsed="false">
      <c r="A1782" s="9"/>
      <c r="B1782" s="9"/>
      <c r="C1782" s="11"/>
      <c r="D1782" s="9"/>
      <c r="E1782" s="9"/>
      <c r="F1782" s="22" t="str">
        <f aca="false">IF(E1782="","",IFERROR(INDEX(02_INDICADORES!$B$2:$B$42,MATCH(E1782,02_INDICADORES!$A$2:$A$42,0)),"ID?"))</f>
        <v/>
      </c>
      <c r="G1782" s="21" t="str">
        <f aca="false">IF(E1782="","",IFERROR(INDEX(02_INDICADORES!$C$2:$C$42,MATCH(E1782,02_INDICADORES!$A$2:$A$42,0)),"ID?"))</f>
        <v/>
      </c>
      <c r="H1782" s="22" t="str">
        <f aca="false">IF(E1782="","",IFERROR(INDEX(02_INDICADORES!$D$2:$D$42,MATCH(E1782,02_INDICADORES!$A$2:$A$42,0)),""))</f>
        <v/>
      </c>
      <c r="I1782" s="9"/>
      <c r="J1782" s="16" t="str">
        <f aca="false">IF(OR(I1782="",H1782=""),"",I1782*H1782)</f>
        <v/>
      </c>
      <c r="K1782" s="9"/>
      <c r="L1782" s="9"/>
      <c r="M1782" s="9"/>
    </row>
    <row r="1783" customFormat="false" ht="15" hidden="false" customHeight="false" outlineLevel="0" collapsed="false">
      <c r="A1783" s="9"/>
      <c r="B1783" s="9"/>
      <c r="C1783" s="11"/>
      <c r="D1783" s="9"/>
      <c r="E1783" s="9"/>
      <c r="F1783" s="22" t="str">
        <f aca="false">IF(E1783="","",IFERROR(INDEX(02_INDICADORES!$B$2:$B$42,MATCH(E1783,02_INDICADORES!$A$2:$A$42,0)),"ID?"))</f>
        <v/>
      </c>
      <c r="G1783" s="21" t="str">
        <f aca="false">IF(E1783="","",IFERROR(INDEX(02_INDICADORES!$C$2:$C$42,MATCH(E1783,02_INDICADORES!$A$2:$A$42,0)),"ID?"))</f>
        <v/>
      </c>
      <c r="H1783" s="22" t="str">
        <f aca="false">IF(E1783="","",IFERROR(INDEX(02_INDICADORES!$D$2:$D$42,MATCH(E1783,02_INDICADORES!$A$2:$A$42,0)),""))</f>
        <v/>
      </c>
      <c r="I1783" s="9"/>
      <c r="J1783" s="16" t="str">
        <f aca="false">IF(OR(I1783="",H1783=""),"",I1783*H1783)</f>
        <v/>
      </c>
      <c r="K1783" s="9"/>
      <c r="L1783" s="9"/>
      <c r="M1783" s="9"/>
    </row>
    <row r="1784" customFormat="false" ht="15" hidden="false" customHeight="false" outlineLevel="0" collapsed="false">
      <c r="A1784" s="9"/>
      <c r="B1784" s="9"/>
      <c r="C1784" s="11"/>
      <c r="D1784" s="9"/>
      <c r="E1784" s="9"/>
      <c r="F1784" s="22" t="str">
        <f aca="false">IF(E1784="","",IFERROR(INDEX(02_INDICADORES!$B$2:$B$42,MATCH(E1784,02_INDICADORES!$A$2:$A$42,0)),"ID?"))</f>
        <v/>
      </c>
      <c r="G1784" s="21" t="str">
        <f aca="false">IF(E1784="","",IFERROR(INDEX(02_INDICADORES!$C$2:$C$42,MATCH(E1784,02_INDICADORES!$A$2:$A$42,0)),"ID?"))</f>
        <v/>
      </c>
      <c r="H1784" s="22" t="str">
        <f aca="false">IF(E1784="","",IFERROR(INDEX(02_INDICADORES!$D$2:$D$42,MATCH(E1784,02_INDICADORES!$A$2:$A$42,0)),""))</f>
        <v/>
      </c>
      <c r="I1784" s="9"/>
      <c r="J1784" s="16" t="str">
        <f aca="false">IF(OR(I1784="",H1784=""),"",I1784*H1784)</f>
        <v/>
      </c>
      <c r="K1784" s="9"/>
      <c r="L1784" s="9"/>
      <c r="M1784" s="9"/>
    </row>
    <row r="1785" customFormat="false" ht="15" hidden="false" customHeight="false" outlineLevel="0" collapsed="false">
      <c r="A1785" s="9"/>
      <c r="B1785" s="9"/>
      <c r="C1785" s="11"/>
      <c r="D1785" s="9"/>
      <c r="E1785" s="9"/>
      <c r="F1785" s="22" t="str">
        <f aca="false">IF(E1785="","",IFERROR(INDEX(02_INDICADORES!$B$2:$B$42,MATCH(E1785,02_INDICADORES!$A$2:$A$42,0)),"ID?"))</f>
        <v/>
      </c>
      <c r="G1785" s="21" t="str">
        <f aca="false">IF(E1785="","",IFERROR(INDEX(02_INDICADORES!$C$2:$C$42,MATCH(E1785,02_INDICADORES!$A$2:$A$42,0)),"ID?"))</f>
        <v/>
      </c>
      <c r="H1785" s="22" t="str">
        <f aca="false">IF(E1785="","",IFERROR(INDEX(02_INDICADORES!$D$2:$D$42,MATCH(E1785,02_INDICADORES!$A$2:$A$42,0)),""))</f>
        <v/>
      </c>
      <c r="I1785" s="9"/>
      <c r="J1785" s="16" t="str">
        <f aca="false">IF(OR(I1785="",H1785=""),"",I1785*H1785)</f>
        <v/>
      </c>
      <c r="K1785" s="9"/>
      <c r="L1785" s="9"/>
      <c r="M1785" s="9"/>
    </row>
    <row r="1786" customFormat="false" ht="15" hidden="false" customHeight="false" outlineLevel="0" collapsed="false">
      <c r="A1786" s="9"/>
      <c r="B1786" s="9"/>
      <c r="C1786" s="11"/>
      <c r="D1786" s="9"/>
      <c r="E1786" s="9"/>
      <c r="F1786" s="22" t="str">
        <f aca="false">IF(E1786="","",IFERROR(INDEX(02_INDICADORES!$B$2:$B$42,MATCH(E1786,02_INDICADORES!$A$2:$A$42,0)),"ID?"))</f>
        <v/>
      </c>
      <c r="G1786" s="21" t="str">
        <f aca="false">IF(E1786="","",IFERROR(INDEX(02_INDICADORES!$C$2:$C$42,MATCH(E1786,02_INDICADORES!$A$2:$A$42,0)),"ID?"))</f>
        <v/>
      </c>
      <c r="H1786" s="22" t="str">
        <f aca="false">IF(E1786="","",IFERROR(INDEX(02_INDICADORES!$D$2:$D$42,MATCH(E1786,02_INDICADORES!$A$2:$A$42,0)),""))</f>
        <v/>
      </c>
      <c r="I1786" s="9"/>
      <c r="J1786" s="16" t="str">
        <f aca="false">IF(OR(I1786="",H1786=""),"",I1786*H1786)</f>
        <v/>
      </c>
      <c r="K1786" s="9"/>
      <c r="L1786" s="9"/>
      <c r="M1786" s="9"/>
    </row>
    <row r="1787" customFormat="false" ht="15" hidden="false" customHeight="false" outlineLevel="0" collapsed="false">
      <c r="A1787" s="9"/>
      <c r="B1787" s="9"/>
      <c r="C1787" s="11"/>
      <c r="D1787" s="9"/>
      <c r="E1787" s="9"/>
      <c r="F1787" s="22" t="str">
        <f aca="false">IF(E1787="","",IFERROR(INDEX(02_INDICADORES!$B$2:$B$42,MATCH(E1787,02_INDICADORES!$A$2:$A$42,0)),"ID?"))</f>
        <v/>
      </c>
      <c r="G1787" s="21" t="str">
        <f aca="false">IF(E1787="","",IFERROR(INDEX(02_INDICADORES!$C$2:$C$42,MATCH(E1787,02_INDICADORES!$A$2:$A$42,0)),"ID?"))</f>
        <v/>
      </c>
      <c r="H1787" s="22" t="str">
        <f aca="false">IF(E1787="","",IFERROR(INDEX(02_INDICADORES!$D$2:$D$42,MATCH(E1787,02_INDICADORES!$A$2:$A$42,0)),""))</f>
        <v/>
      </c>
      <c r="I1787" s="9"/>
      <c r="J1787" s="16" t="str">
        <f aca="false">IF(OR(I1787="",H1787=""),"",I1787*H1787)</f>
        <v/>
      </c>
      <c r="K1787" s="9"/>
      <c r="L1787" s="9"/>
      <c r="M1787" s="9"/>
    </row>
    <row r="1788" customFormat="false" ht="15" hidden="false" customHeight="false" outlineLevel="0" collapsed="false">
      <c r="A1788" s="9"/>
      <c r="B1788" s="9"/>
      <c r="C1788" s="11"/>
      <c r="D1788" s="9"/>
      <c r="E1788" s="9"/>
      <c r="F1788" s="22" t="str">
        <f aca="false">IF(E1788="","",IFERROR(INDEX(02_INDICADORES!$B$2:$B$42,MATCH(E1788,02_INDICADORES!$A$2:$A$42,0)),"ID?"))</f>
        <v/>
      </c>
      <c r="G1788" s="21" t="str">
        <f aca="false">IF(E1788="","",IFERROR(INDEX(02_INDICADORES!$C$2:$C$42,MATCH(E1788,02_INDICADORES!$A$2:$A$42,0)),"ID?"))</f>
        <v/>
      </c>
      <c r="H1788" s="22" t="str">
        <f aca="false">IF(E1788="","",IFERROR(INDEX(02_INDICADORES!$D$2:$D$42,MATCH(E1788,02_INDICADORES!$A$2:$A$42,0)),""))</f>
        <v/>
      </c>
      <c r="I1788" s="9"/>
      <c r="J1788" s="16" t="str">
        <f aca="false">IF(OR(I1788="",H1788=""),"",I1788*H1788)</f>
        <v/>
      </c>
      <c r="K1788" s="9"/>
      <c r="L1788" s="9"/>
      <c r="M1788" s="9"/>
    </row>
    <row r="1789" customFormat="false" ht="15" hidden="false" customHeight="false" outlineLevel="0" collapsed="false">
      <c r="A1789" s="9"/>
      <c r="B1789" s="9"/>
      <c r="C1789" s="11"/>
      <c r="D1789" s="9"/>
      <c r="E1789" s="9"/>
      <c r="F1789" s="22" t="str">
        <f aca="false">IF(E1789="","",IFERROR(INDEX(02_INDICADORES!$B$2:$B$42,MATCH(E1789,02_INDICADORES!$A$2:$A$42,0)),"ID?"))</f>
        <v/>
      </c>
      <c r="G1789" s="21" t="str">
        <f aca="false">IF(E1789="","",IFERROR(INDEX(02_INDICADORES!$C$2:$C$42,MATCH(E1789,02_INDICADORES!$A$2:$A$42,0)),"ID?"))</f>
        <v/>
      </c>
      <c r="H1789" s="22" t="str">
        <f aca="false">IF(E1789="","",IFERROR(INDEX(02_INDICADORES!$D$2:$D$42,MATCH(E1789,02_INDICADORES!$A$2:$A$42,0)),""))</f>
        <v/>
      </c>
      <c r="I1789" s="9"/>
      <c r="J1789" s="16" t="str">
        <f aca="false">IF(OR(I1789="",H1789=""),"",I1789*H1789)</f>
        <v/>
      </c>
      <c r="K1789" s="9"/>
      <c r="L1789" s="9"/>
      <c r="M1789" s="9"/>
    </row>
    <row r="1790" customFormat="false" ht="15" hidden="false" customHeight="false" outlineLevel="0" collapsed="false">
      <c r="A1790" s="9"/>
      <c r="B1790" s="9"/>
      <c r="C1790" s="11"/>
      <c r="D1790" s="9"/>
      <c r="E1790" s="9"/>
      <c r="F1790" s="22" t="str">
        <f aca="false">IF(E1790="","",IFERROR(INDEX(02_INDICADORES!$B$2:$B$42,MATCH(E1790,02_INDICADORES!$A$2:$A$42,0)),"ID?"))</f>
        <v/>
      </c>
      <c r="G1790" s="21" t="str">
        <f aca="false">IF(E1790="","",IFERROR(INDEX(02_INDICADORES!$C$2:$C$42,MATCH(E1790,02_INDICADORES!$A$2:$A$42,0)),"ID?"))</f>
        <v/>
      </c>
      <c r="H1790" s="22" t="str">
        <f aca="false">IF(E1790="","",IFERROR(INDEX(02_INDICADORES!$D$2:$D$42,MATCH(E1790,02_INDICADORES!$A$2:$A$42,0)),""))</f>
        <v/>
      </c>
      <c r="I1790" s="9"/>
      <c r="J1790" s="16" t="str">
        <f aca="false">IF(OR(I1790="",H1790=""),"",I1790*H1790)</f>
        <v/>
      </c>
      <c r="K1790" s="9"/>
      <c r="L1790" s="9"/>
      <c r="M1790" s="9"/>
    </row>
    <row r="1791" customFormat="false" ht="15" hidden="false" customHeight="false" outlineLevel="0" collapsed="false">
      <c r="A1791" s="9"/>
      <c r="B1791" s="9"/>
      <c r="C1791" s="11"/>
      <c r="D1791" s="9"/>
      <c r="E1791" s="9"/>
      <c r="F1791" s="22" t="str">
        <f aca="false">IF(E1791="","",IFERROR(INDEX(02_INDICADORES!$B$2:$B$42,MATCH(E1791,02_INDICADORES!$A$2:$A$42,0)),"ID?"))</f>
        <v/>
      </c>
      <c r="G1791" s="21" t="str">
        <f aca="false">IF(E1791="","",IFERROR(INDEX(02_INDICADORES!$C$2:$C$42,MATCH(E1791,02_INDICADORES!$A$2:$A$42,0)),"ID?"))</f>
        <v/>
      </c>
      <c r="H1791" s="22" t="str">
        <f aca="false">IF(E1791="","",IFERROR(INDEX(02_INDICADORES!$D$2:$D$42,MATCH(E1791,02_INDICADORES!$A$2:$A$42,0)),""))</f>
        <v/>
      </c>
      <c r="I1791" s="9"/>
      <c r="J1791" s="16" t="str">
        <f aca="false">IF(OR(I1791="",H1791=""),"",I1791*H1791)</f>
        <v/>
      </c>
      <c r="K1791" s="9"/>
      <c r="L1791" s="9"/>
      <c r="M1791" s="9"/>
    </row>
    <row r="1792" customFormat="false" ht="15" hidden="false" customHeight="false" outlineLevel="0" collapsed="false">
      <c r="A1792" s="9"/>
      <c r="B1792" s="9"/>
      <c r="C1792" s="11"/>
      <c r="D1792" s="9"/>
      <c r="E1792" s="9"/>
      <c r="F1792" s="22" t="str">
        <f aca="false">IF(E1792="","",IFERROR(INDEX(02_INDICADORES!$B$2:$B$42,MATCH(E1792,02_INDICADORES!$A$2:$A$42,0)),"ID?"))</f>
        <v/>
      </c>
      <c r="G1792" s="21" t="str">
        <f aca="false">IF(E1792="","",IFERROR(INDEX(02_INDICADORES!$C$2:$C$42,MATCH(E1792,02_INDICADORES!$A$2:$A$42,0)),"ID?"))</f>
        <v/>
      </c>
      <c r="H1792" s="22" t="str">
        <f aca="false">IF(E1792="","",IFERROR(INDEX(02_INDICADORES!$D$2:$D$42,MATCH(E1792,02_INDICADORES!$A$2:$A$42,0)),""))</f>
        <v/>
      </c>
      <c r="I1792" s="9"/>
      <c r="J1792" s="16" t="str">
        <f aca="false">IF(OR(I1792="",H1792=""),"",I1792*H1792)</f>
        <v/>
      </c>
      <c r="K1792" s="9"/>
      <c r="L1792" s="9"/>
      <c r="M1792" s="9"/>
    </row>
    <row r="1793" customFormat="false" ht="15" hidden="false" customHeight="false" outlineLevel="0" collapsed="false">
      <c r="A1793" s="9"/>
      <c r="B1793" s="9"/>
      <c r="C1793" s="11"/>
      <c r="D1793" s="9"/>
      <c r="E1793" s="9"/>
      <c r="F1793" s="22" t="str">
        <f aca="false">IF(E1793="","",IFERROR(INDEX(02_INDICADORES!$B$2:$B$42,MATCH(E1793,02_INDICADORES!$A$2:$A$42,0)),"ID?"))</f>
        <v/>
      </c>
      <c r="G1793" s="21" t="str">
        <f aca="false">IF(E1793="","",IFERROR(INDEX(02_INDICADORES!$C$2:$C$42,MATCH(E1793,02_INDICADORES!$A$2:$A$42,0)),"ID?"))</f>
        <v/>
      </c>
      <c r="H1793" s="22" t="str">
        <f aca="false">IF(E1793="","",IFERROR(INDEX(02_INDICADORES!$D$2:$D$42,MATCH(E1793,02_INDICADORES!$A$2:$A$42,0)),""))</f>
        <v/>
      </c>
      <c r="I1793" s="9"/>
      <c r="J1793" s="16" t="str">
        <f aca="false">IF(OR(I1793="",H1793=""),"",I1793*H1793)</f>
        <v/>
      </c>
      <c r="K1793" s="9"/>
      <c r="L1793" s="9"/>
      <c r="M1793" s="9"/>
    </row>
    <row r="1794" customFormat="false" ht="15" hidden="false" customHeight="false" outlineLevel="0" collapsed="false">
      <c r="A1794" s="9"/>
      <c r="B1794" s="9"/>
      <c r="C1794" s="11"/>
      <c r="D1794" s="9"/>
      <c r="E1794" s="9"/>
      <c r="F1794" s="22" t="str">
        <f aca="false">IF(E1794="","",IFERROR(INDEX(02_INDICADORES!$B$2:$B$42,MATCH(E1794,02_INDICADORES!$A$2:$A$42,0)),"ID?"))</f>
        <v/>
      </c>
      <c r="G1794" s="21" t="str">
        <f aca="false">IF(E1794="","",IFERROR(INDEX(02_INDICADORES!$C$2:$C$42,MATCH(E1794,02_INDICADORES!$A$2:$A$42,0)),"ID?"))</f>
        <v/>
      </c>
      <c r="H1794" s="22" t="str">
        <f aca="false">IF(E1794="","",IFERROR(INDEX(02_INDICADORES!$D$2:$D$42,MATCH(E1794,02_INDICADORES!$A$2:$A$42,0)),""))</f>
        <v/>
      </c>
      <c r="I1794" s="9"/>
      <c r="J1794" s="16" t="str">
        <f aca="false">IF(OR(I1794="",H1794=""),"",I1794*H1794)</f>
        <v/>
      </c>
      <c r="K1794" s="9"/>
      <c r="L1794" s="9"/>
      <c r="M1794" s="9"/>
    </row>
    <row r="1795" customFormat="false" ht="15" hidden="false" customHeight="false" outlineLevel="0" collapsed="false">
      <c r="A1795" s="9"/>
      <c r="B1795" s="9"/>
      <c r="C1795" s="11"/>
      <c r="D1795" s="9"/>
      <c r="E1795" s="9"/>
      <c r="F1795" s="22" t="str">
        <f aca="false">IF(E1795="","",IFERROR(INDEX(02_INDICADORES!$B$2:$B$42,MATCH(E1795,02_INDICADORES!$A$2:$A$42,0)),"ID?"))</f>
        <v/>
      </c>
      <c r="G1795" s="21" t="str">
        <f aca="false">IF(E1795="","",IFERROR(INDEX(02_INDICADORES!$C$2:$C$42,MATCH(E1795,02_INDICADORES!$A$2:$A$42,0)),"ID?"))</f>
        <v/>
      </c>
      <c r="H1795" s="22" t="str">
        <f aca="false">IF(E1795="","",IFERROR(INDEX(02_INDICADORES!$D$2:$D$42,MATCH(E1795,02_INDICADORES!$A$2:$A$42,0)),""))</f>
        <v/>
      </c>
      <c r="I1795" s="9"/>
      <c r="J1795" s="16" t="str">
        <f aca="false">IF(OR(I1795="",H1795=""),"",I1795*H1795)</f>
        <v/>
      </c>
      <c r="K1795" s="9"/>
      <c r="L1795" s="9"/>
      <c r="M1795" s="9"/>
    </row>
    <row r="1796" customFormat="false" ht="15" hidden="false" customHeight="false" outlineLevel="0" collapsed="false">
      <c r="A1796" s="9"/>
      <c r="B1796" s="9"/>
      <c r="C1796" s="11"/>
      <c r="D1796" s="9"/>
      <c r="E1796" s="9"/>
      <c r="F1796" s="22" t="str">
        <f aca="false">IF(E1796="","",IFERROR(INDEX(02_INDICADORES!$B$2:$B$42,MATCH(E1796,02_INDICADORES!$A$2:$A$42,0)),"ID?"))</f>
        <v/>
      </c>
      <c r="G1796" s="21" t="str">
        <f aca="false">IF(E1796="","",IFERROR(INDEX(02_INDICADORES!$C$2:$C$42,MATCH(E1796,02_INDICADORES!$A$2:$A$42,0)),"ID?"))</f>
        <v/>
      </c>
      <c r="H1796" s="22" t="str">
        <f aca="false">IF(E1796="","",IFERROR(INDEX(02_INDICADORES!$D$2:$D$42,MATCH(E1796,02_INDICADORES!$A$2:$A$42,0)),""))</f>
        <v/>
      </c>
      <c r="I1796" s="9"/>
      <c r="J1796" s="16" t="str">
        <f aca="false">IF(OR(I1796="",H1796=""),"",I1796*H1796)</f>
        <v/>
      </c>
      <c r="K1796" s="9"/>
      <c r="L1796" s="9"/>
      <c r="M1796" s="9"/>
    </row>
    <row r="1797" customFormat="false" ht="15" hidden="false" customHeight="false" outlineLevel="0" collapsed="false">
      <c r="A1797" s="9"/>
      <c r="B1797" s="9"/>
      <c r="C1797" s="11"/>
      <c r="D1797" s="9"/>
      <c r="E1797" s="9"/>
      <c r="F1797" s="22" t="str">
        <f aca="false">IF(E1797="","",IFERROR(INDEX(02_INDICADORES!$B$2:$B$42,MATCH(E1797,02_INDICADORES!$A$2:$A$42,0)),"ID?"))</f>
        <v/>
      </c>
      <c r="G1797" s="21" t="str">
        <f aca="false">IF(E1797="","",IFERROR(INDEX(02_INDICADORES!$C$2:$C$42,MATCH(E1797,02_INDICADORES!$A$2:$A$42,0)),"ID?"))</f>
        <v/>
      </c>
      <c r="H1797" s="22" t="str">
        <f aca="false">IF(E1797="","",IFERROR(INDEX(02_INDICADORES!$D$2:$D$42,MATCH(E1797,02_INDICADORES!$A$2:$A$42,0)),""))</f>
        <v/>
      </c>
      <c r="I1797" s="9"/>
      <c r="J1797" s="16" t="str">
        <f aca="false">IF(OR(I1797="",H1797=""),"",I1797*H1797)</f>
        <v/>
      </c>
      <c r="K1797" s="9"/>
      <c r="L1797" s="9"/>
      <c r="M1797" s="9"/>
    </row>
    <row r="1798" customFormat="false" ht="15" hidden="false" customHeight="false" outlineLevel="0" collapsed="false">
      <c r="A1798" s="9"/>
      <c r="B1798" s="9"/>
      <c r="C1798" s="11"/>
      <c r="D1798" s="9"/>
      <c r="E1798" s="9"/>
      <c r="F1798" s="22" t="str">
        <f aca="false">IF(E1798="","",IFERROR(INDEX(02_INDICADORES!$B$2:$B$42,MATCH(E1798,02_INDICADORES!$A$2:$A$42,0)),"ID?"))</f>
        <v/>
      </c>
      <c r="G1798" s="21" t="str">
        <f aca="false">IF(E1798="","",IFERROR(INDEX(02_INDICADORES!$C$2:$C$42,MATCH(E1798,02_INDICADORES!$A$2:$A$42,0)),"ID?"))</f>
        <v/>
      </c>
      <c r="H1798" s="22" t="str">
        <f aca="false">IF(E1798="","",IFERROR(INDEX(02_INDICADORES!$D$2:$D$42,MATCH(E1798,02_INDICADORES!$A$2:$A$42,0)),""))</f>
        <v/>
      </c>
      <c r="I1798" s="9"/>
      <c r="J1798" s="16" t="str">
        <f aca="false">IF(OR(I1798="",H1798=""),"",I1798*H1798)</f>
        <v/>
      </c>
      <c r="K1798" s="9"/>
      <c r="L1798" s="9"/>
      <c r="M1798" s="9"/>
    </row>
    <row r="1799" customFormat="false" ht="15" hidden="false" customHeight="false" outlineLevel="0" collapsed="false">
      <c r="A1799" s="9"/>
      <c r="B1799" s="9"/>
      <c r="C1799" s="11"/>
      <c r="D1799" s="9"/>
      <c r="E1799" s="9"/>
      <c r="F1799" s="22" t="str">
        <f aca="false">IF(E1799="","",IFERROR(INDEX(02_INDICADORES!$B$2:$B$42,MATCH(E1799,02_INDICADORES!$A$2:$A$42,0)),"ID?"))</f>
        <v/>
      </c>
      <c r="G1799" s="21" t="str">
        <f aca="false">IF(E1799="","",IFERROR(INDEX(02_INDICADORES!$C$2:$C$42,MATCH(E1799,02_INDICADORES!$A$2:$A$42,0)),"ID?"))</f>
        <v/>
      </c>
      <c r="H1799" s="22" t="str">
        <f aca="false">IF(E1799="","",IFERROR(INDEX(02_INDICADORES!$D$2:$D$42,MATCH(E1799,02_INDICADORES!$A$2:$A$42,0)),""))</f>
        <v/>
      </c>
      <c r="I1799" s="9"/>
      <c r="J1799" s="16" t="str">
        <f aca="false">IF(OR(I1799="",H1799=""),"",I1799*H1799)</f>
        <v/>
      </c>
      <c r="K1799" s="9"/>
      <c r="L1799" s="9"/>
      <c r="M1799" s="9"/>
    </row>
    <row r="1800" customFormat="false" ht="15" hidden="false" customHeight="false" outlineLevel="0" collapsed="false">
      <c r="A1800" s="9"/>
      <c r="B1800" s="9"/>
      <c r="C1800" s="11"/>
      <c r="D1800" s="9"/>
      <c r="E1800" s="9"/>
      <c r="F1800" s="22" t="str">
        <f aca="false">IF(E1800="","",IFERROR(INDEX(02_INDICADORES!$B$2:$B$42,MATCH(E1800,02_INDICADORES!$A$2:$A$42,0)),"ID?"))</f>
        <v/>
      </c>
      <c r="G1800" s="21" t="str">
        <f aca="false">IF(E1800="","",IFERROR(INDEX(02_INDICADORES!$C$2:$C$42,MATCH(E1800,02_INDICADORES!$A$2:$A$42,0)),"ID?"))</f>
        <v/>
      </c>
      <c r="H1800" s="22" t="str">
        <f aca="false">IF(E1800="","",IFERROR(INDEX(02_INDICADORES!$D$2:$D$42,MATCH(E1800,02_INDICADORES!$A$2:$A$42,0)),""))</f>
        <v/>
      </c>
      <c r="I1800" s="9"/>
      <c r="J1800" s="16" t="str">
        <f aca="false">IF(OR(I1800="",H1800=""),"",I1800*H1800)</f>
        <v/>
      </c>
      <c r="K1800" s="9"/>
      <c r="L1800" s="9"/>
      <c r="M1800" s="9"/>
    </row>
    <row r="1801" customFormat="false" ht="15" hidden="false" customHeight="false" outlineLevel="0" collapsed="false">
      <c r="A1801" s="9"/>
      <c r="B1801" s="9"/>
      <c r="C1801" s="11"/>
      <c r="D1801" s="9"/>
      <c r="E1801" s="9"/>
      <c r="F1801" s="22" t="str">
        <f aca="false">IF(E1801="","",IFERROR(INDEX(02_INDICADORES!$B$2:$B$42,MATCH(E1801,02_INDICADORES!$A$2:$A$42,0)),"ID?"))</f>
        <v/>
      </c>
      <c r="G1801" s="21" t="str">
        <f aca="false">IF(E1801="","",IFERROR(INDEX(02_INDICADORES!$C$2:$C$42,MATCH(E1801,02_INDICADORES!$A$2:$A$42,0)),"ID?"))</f>
        <v/>
      </c>
      <c r="H1801" s="22" t="str">
        <f aca="false">IF(E1801="","",IFERROR(INDEX(02_INDICADORES!$D$2:$D$42,MATCH(E1801,02_INDICADORES!$A$2:$A$42,0)),""))</f>
        <v/>
      </c>
      <c r="I1801" s="9"/>
      <c r="J1801" s="16" t="str">
        <f aca="false">IF(OR(I1801="",H1801=""),"",I1801*H1801)</f>
        <v/>
      </c>
      <c r="K1801" s="9"/>
      <c r="L1801" s="9"/>
      <c r="M1801" s="9"/>
    </row>
    <row r="1802" customFormat="false" ht="15" hidden="false" customHeight="false" outlineLevel="0" collapsed="false">
      <c r="A1802" s="9"/>
      <c r="B1802" s="9"/>
      <c r="C1802" s="11"/>
      <c r="D1802" s="9"/>
      <c r="E1802" s="9"/>
      <c r="F1802" s="22" t="str">
        <f aca="false">IF(E1802="","",IFERROR(INDEX(02_INDICADORES!$B$2:$B$42,MATCH(E1802,02_INDICADORES!$A$2:$A$42,0)),"ID?"))</f>
        <v/>
      </c>
      <c r="G1802" s="21" t="str">
        <f aca="false">IF(E1802="","",IFERROR(INDEX(02_INDICADORES!$C$2:$C$42,MATCH(E1802,02_INDICADORES!$A$2:$A$42,0)),"ID?"))</f>
        <v/>
      </c>
      <c r="H1802" s="22" t="str">
        <f aca="false">IF(E1802="","",IFERROR(INDEX(02_INDICADORES!$D$2:$D$42,MATCH(E1802,02_INDICADORES!$A$2:$A$42,0)),""))</f>
        <v/>
      </c>
      <c r="I1802" s="9"/>
      <c r="J1802" s="16" t="str">
        <f aca="false">IF(OR(I1802="",H1802=""),"",I1802*H1802)</f>
        <v/>
      </c>
      <c r="K1802" s="9"/>
      <c r="L1802" s="9"/>
      <c r="M1802" s="9"/>
    </row>
    <row r="1803" customFormat="false" ht="15" hidden="false" customHeight="false" outlineLevel="0" collapsed="false">
      <c r="A1803" s="9"/>
      <c r="B1803" s="9"/>
      <c r="C1803" s="11"/>
      <c r="D1803" s="9"/>
      <c r="E1803" s="9"/>
      <c r="F1803" s="22" t="str">
        <f aca="false">IF(E1803="","",IFERROR(INDEX(02_INDICADORES!$B$2:$B$42,MATCH(E1803,02_INDICADORES!$A$2:$A$42,0)),"ID?"))</f>
        <v/>
      </c>
      <c r="G1803" s="21" t="str">
        <f aca="false">IF(E1803="","",IFERROR(INDEX(02_INDICADORES!$C$2:$C$42,MATCH(E1803,02_INDICADORES!$A$2:$A$42,0)),"ID?"))</f>
        <v/>
      </c>
      <c r="H1803" s="22" t="str">
        <f aca="false">IF(E1803="","",IFERROR(INDEX(02_INDICADORES!$D$2:$D$42,MATCH(E1803,02_INDICADORES!$A$2:$A$42,0)),""))</f>
        <v/>
      </c>
      <c r="I1803" s="9"/>
      <c r="J1803" s="16" t="str">
        <f aca="false">IF(OR(I1803="",H1803=""),"",I1803*H1803)</f>
        <v/>
      </c>
      <c r="K1803" s="9"/>
      <c r="L1803" s="9"/>
      <c r="M1803" s="9"/>
    </row>
    <row r="1804" customFormat="false" ht="15" hidden="false" customHeight="false" outlineLevel="0" collapsed="false">
      <c r="A1804" s="9"/>
      <c r="B1804" s="9"/>
      <c r="C1804" s="11"/>
      <c r="D1804" s="9"/>
      <c r="E1804" s="9"/>
      <c r="F1804" s="22" t="str">
        <f aca="false">IF(E1804="","",IFERROR(INDEX(02_INDICADORES!$B$2:$B$42,MATCH(E1804,02_INDICADORES!$A$2:$A$42,0)),"ID?"))</f>
        <v/>
      </c>
      <c r="G1804" s="21" t="str">
        <f aca="false">IF(E1804="","",IFERROR(INDEX(02_INDICADORES!$C$2:$C$42,MATCH(E1804,02_INDICADORES!$A$2:$A$42,0)),"ID?"))</f>
        <v/>
      </c>
      <c r="H1804" s="22" t="str">
        <f aca="false">IF(E1804="","",IFERROR(INDEX(02_INDICADORES!$D$2:$D$42,MATCH(E1804,02_INDICADORES!$A$2:$A$42,0)),""))</f>
        <v/>
      </c>
      <c r="I1804" s="9"/>
      <c r="J1804" s="16" t="str">
        <f aca="false">IF(OR(I1804="",H1804=""),"",I1804*H1804)</f>
        <v/>
      </c>
      <c r="K1804" s="9"/>
      <c r="L1804" s="9"/>
      <c r="M1804" s="9"/>
    </row>
    <row r="1805" customFormat="false" ht="15" hidden="false" customHeight="false" outlineLevel="0" collapsed="false">
      <c r="A1805" s="9"/>
      <c r="B1805" s="9"/>
      <c r="C1805" s="11"/>
      <c r="D1805" s="9"/>
      <c r="E1805" s="9"/>
      <c r="F1805" s="22" t="str">
        <f aca="false">IF(E1805="","",IFERROR(INDEX(02_INDICADORES!$B$2:$B$42,MATCH(E1805,02_INDICADORES!$A$2:$A$42,0)),"ID?"))</f>
        <v/>
      </c>
      <c r="G1805" s="21" t="str">
        <f aca="false">IF(E1805="","",IFERROR(INDEX(02_INDICADORES!$C$2:$C$42,MATCH(E1805,02_INDICADORES!$A$2:$A$42,0)),"ID?"))</f>
        <v/>
      </c>
      <c r="H1805" s="22" t="str">
        <f aca="false">IF(E1805="","",IFERROR(INDEX(02_INDICADORES!$D$2:$D$42,MATCH(E1805,02_INDICADORES!$A$2:$A$42,0)),""))</f>
        <v/>
      </c>
      <c r="I1805" s="9"/>
      <c r="J1805" s="16" t="str">
        <f aca="false">IF(OR(I1805="",H1805=""),"",I1805*H1805)</f>
        <v/>
      </c>
      <c r="K1805" s="9"/>
      <c r="L1805" s="9"/>
      <c r="M1805" s="9"/>
    </row>
    <row r="1806" customFormat="false" ht="15" hidden="false" customHeight="false" outlineLevel="0" collapsed="false">
      <c r="A1806" s="9"/>
      <c r="B1806" s="9"/>
      <c r="C1806" s="11"/>
      <c r="D1806" s="9"/>
      <c r="E1806" s="9"/>
      <c r="F1806" s="22" t="str">
        <f aca="false">IF(E1806="","",IFERROR(INDEX(02_INDICADORES!$B$2:$B$42,MATCH(E1806,02_INDICADORES!$A$2:$A$42,0)),"ID?"))</f>
        <v/>
      </c>
      <c r="G1806" s="21" t="str">
        <f aca="false">IF(E1806="","",IFERROR(INDEX(02_INDICADORES!$C$2:$C$42,MATCH(E1806,02_INDICADORES!$A$2:$A$42,0)),"ID?"))</f>
        <v/>
      </c>
      <c r="H1806" s="22" t="str">
        <f aca="false">IF(E1806="","",IFERROR(INDEX(02_INDICADORES!$D$2:$D$42,MATCH(E1806,02_INDICADORES!$A$2:$A$42,0)),""))</f>
        <v/>
      </c>
      <c r="I1806" s="9"/>
      <c r="J1806" s="16" t="str">
        <f aca="false">IF(OR(I1806="",H1806=""),"",I1806*H1806)</f>
        <v/>
      </c>
      <c r="K1806" s="9"/>
      <c r="L1806" s="9"/>
      <c r="M1806" s="9"/>
    </row>
    <row r="1807" customFormat="false" ht="15" hidden="false" customHeight="false" outlineLevel="0" collapsed="false">
      <c r="A1807" s="9"/>
      <c r="B1807" s="9"/>
      <c r="C1807" s="11"/>
      <c r="D1807" s="9"/>
      <c r="E1807" s="9"/>
      <c r="F1807" s="22" t="str">
        <f aca="false">IF(E1807="","",IFERROR(INDEX(02_INDICADORES!$B$2:$B$42,MATCH(E1807,02_INDICADORES!$A$2:$A$42,0)),"ID?"))</f>
        <v/>
      </c>
      <c r="G1807" s="21" t="str">
        <f aca="false">IF(E1807="","",IFERROR(INDEX(02_INDICADORES!$C$2:$C$42,MATCH(E1807,02_INDICADORES!$A$2:$A$42,0)),"ID?"))</f>
        <v/>
      </c>
      <c r="H1807" s="22" t="str">
        <f aca="false">IF(E1807="","",IFERROR(INDEX(02_INDICADORES!$D$2:$D$42,MATCH(E1807,02_INDICADORES!$A$2:$A$42,0)),""))</f>
        <v/>
      </c>
      <c r="I1807" s="9"/>
      <c r="J1807" s="16" t="str">
        <f aca="false">IF(OR(I1807="",H1807=""),"",I1807*H1807)</f>
        <v/>
      </c>
      <c r="K1807" s="9"/>
      <c r="L1807" s="9"/>
      <c r="M1807" s="9"/>
    </row>
    <row r="1808" customFormat="false" ht="15" hidden="false" customHeight="false" outlineLevel="0" collapsed="false">
      <c r="A1808" s="9"/>
      <c r="B1808" s="9"/>
      <c r="C1808" s="11"/>
      <c r="D1808" s="9"/>
      <c r="E1808" s="9"/>
      <c r="F1808" s="22" t="str">
        <f aca="false">IF(E1808="","",IFERROR(INDEX(02_INDICADORES!$B$2:$B$42,MATCH(E1808,02_INDICADORES!$A$2:$A$42,0)),"ID?"))</f>
        <v/>
      </c>
      <c r="G1808" s="21" t="str">
        <f aca="false">IF(E1808="","",IFERROR(INDEX(02_INDICADORES!$C$2:$C$42,MATCH(E1808,02_INDICADORES!$A$2:$A$42,0)),"ID?"))</f>
        <v/>
      </c>
      <c r="H1808" s="22" t="str">
        <f aca="false">IF(E1808="","",IFERROR(INDEX(02_INDICADORES!$D$2:$D$42,MATCH(E1808,02_INDICADORES!$A$2:$A$42,0)),""))</f>
        <v/>
      </c>
      <c r="I1808" s="9"/>
      <c r="J1808" s="16" t="str">
        <f aca="false">IF(OR(I1808="",H1808=""),"",I1808*H1808)</f>
        <v/>
      </c>
      <c r="K1808" s="9"/>
      <c r="L1808" s="9"/>
      <c r="M1808" s="9"/>
    </row>
    <row r="1809" customFormat="false" ht="15" hidden="false" customHeight="false" outlineLevel="0" collapsed="false">
      <c r="A1809" s="9"/>
      <c r="B1809" s="9"/>
      <c r="C1809" s="11"/>
      <c r="D1809" s="9"/>
      <c r="E1809" s="9"/>
      <c r="F1809" s="22" t="str">
        <f aca="false">IF(E1809="","",IFERROR(INDEX(02_INDICADORES!$B$2:$B$42,MATCH(E1809,02_INDICADORES!$A$2:$A$42,0)),"ID?"))</f>
        <v/>
      </c>
      <c r="G1809" s="21" t="str">
        <f aca="false">IF(E1809="","",IFERROR(INDEX(02_INDICADORES!$C$2:$C$42,MATCH(E1809,02_INDICADORES!$A$2:$A$42,0)),"ID?"))</f>
        <v/>
      </c>
      <c r="H1809" s="22" t="str">
        <f aca="false">IF(E1809="","",IFERROR(INDEX(02_INDICADORES!$D$2:$D$42,MATCH(E1809,02_INDICADORES!$A$2:$A$42,0)),""))</f>
        <v/>
      </c>
      <c r="I1809" s="9"/>
      <c r="J1809" s="16" t="str">
        <f aca="false">IF(OR(I1809="",H1809=""),"",I1809*H1809)</f>
        <v/>
      </c>
      <c r="K1809" s="9"/>
      <c r="L1809" s="9"/>
      <c r="M1809" s="9"/>
    </row>
    <row r="1810" customFormat="false" ht="15" hidden="false" customHeight="false" outlineLevel="0" collapsed="false">
      <c r="A1810" s="9"/>
      <c r="B1810" s="9"/>
      <c r="C1810" s="11"/>
      <c r="D1810" s="9"/>
      <c r="E1810" s="9"/>
      <c r="F1810" s="22" t="str">
        <f aca="false">IF(E1810="","",IFERROR(INDEX(02_INDICADORES!$B$2:$B$42,MATCH(E1810,02_INDICADORES!$A$2:$A$42,0)),"ID?"))</f>
        <v/>
      </c>
      <c r="G1810" s="21" t="str">
        <f aca="false">IF(E1810="","",IFERROR(INDEX(02_INDICADORES!$C$2:$C$42,MATCH(E1810,02_INDICADORES!$A$2:$A$42,0)),"ID?"))</f>
        <v/>
      </c>
      <c r="H1810" s="22" t="str">
        <f aca="false">IF(E1810="","",IFERROR(INDEX(02_INDICADORES!$D$2:$D$42,MATCH(E1810,02_INDICADORES!$A$2:$A$42,0)),""))</f>
        <v/>
      </c>
      <c r="I1810" s="9"/>
      <c r="J1810" s="16" t="str">
        <f aca="false">IF(OR(I1810="",H1810=""),"",I1810*H1810)</f>
        <v/>
      </c>
      <c r="K1810" s="9"/>
      <c r="L1810" s="9"/>
      <c r="M1810" s="9"/>
    </row>
    <row r="1811" customFormat="false" ht="15" hidden="false" customHeight="false" outlineLevel="0" collapsed="false">
      <c r="A1811" s="9"/>
      <c r="B1811" s="9"/>
      <c r="C1811" s="11"/>
      <c r="D1811" s="9"/>
      <c r="E1811" s="9"/>
      <c r="F1811" s="22" t="str">
        <f aca="false">IF(E1811="","",IFERROR(INDEX(02_INDICADORES!$B$2:$B$42,MATCH(E1811,02_INDICADORES!$A$2:$A$42,0)),"ID?"))</f>
        <v/>
      </c>
      <c r="G1811" s="21" t="str">
        <f aca="false">IF(E1811="","",IFERROR(INDEX(02_INDICADORES!$C$2:$C$42,MATCH(E1811,02_INDICADORES!$A$2:$A$42,0)),"ID?"))</f>
        <v/>
      </c>
      <c r="H1811" s="22" t="str">
        <f aca="false">IF(E1811="","",IFERROR(INDEX(02_INDICADORES!$D$2:$D$42,MATCH(E1811,02_INDICADORES!$A$2:$A$42,0)),""))</f>
        <v/>
      </c>
      <c r="I1811" s="9"/>
      <c r="J1811" s="16" t="str">
        <f aca="false">IF(OR(I1811="",H1811=""),"",I1811*H1811)</f>
        <v/>
      </c>
      <c r="K1811" s="9"/>
      <c r="L1811" s="9"/>
      <c r="M1811" s="9"/>
    </row>
    <row r="1812" customFormat="false" ht="15" hidden="false" customHeight="false" outlineLevel="0" collapsed="false">
      <c r="A1812" s="9"/>
      <c r="B1812" s="9"/>
      <c r="C1812" s="11"/>
      <c r="D1812" s="9"/>
      <c r="E1812" s="9"/>
      <c r="F1812" s="22" t="str">
        <f aca="false">IF(E1812="","",IFERROR(INDEX(02_INDICADORES!$B$2:$B$42,MATCH(E1812,02_INDICADORES!$A$2:$A$42,0)),"ID?"))</f>
        <v/>
      </c>
      <c r="G1812" s="21" t="str">
        <f aca="false">IF(E1812="","",IFERROR(INDEX(02_INDICADORES!$C$2:$C$42,MATCH(E1812,02_INDICADORES!$A$2:$A$42,0)),"ID?"))</f>
        <v/>
      </c>
      <c r="H1812" s="22" t="str">
        <f aca="false">IF(E1812="","",IFERROR(INDEX(02_INDICADORES!$D$2:$D$42,MATCH(E1812,02_INDICADORES!$A$2:$A$42,0)),""))</f>
        <v/>
      </c>
      <c r="I1812" s="9"/>
      <c r="J1812" s="16" t="str">
        <f aca="false">IF(OR(I1812="",H1812=""),"",I1812*H1812)</f>
        <v/>
      </c>
      <c r="K1812" s="9"/>
      <c r="L1812" s="9"/>
      <c r="M1812" s="9"/>
    </row>
    <row r="1813" customFormat="false" ht="15" hidden="false" customHeight="false" outlineLevel="0" collapsed="false">
      <c r="A1813" s="9"/>
      <c r="B1813" s="9"/>
      <c r="C1813" s="11"/>
      <c r="D1813" s="9"/>
      <c r="E1813" s="9"/>
      <c r="F1813" s="22" t="str">
        <f aca="false">IF(E1813="","",IFERROR(INDEX(02_INDICADORES!$B$2:$B$42,MATCH(E1813,02_INDICADORES!$A$2:$A$42,0)),"ID?"))</f>
        <v/>
      </c>
      <c r="G1813" s="21" t="str">
        <f aca="false">IF(E1813="","",IFERROR(INDEX(02_INDICADORES!$C$2:$C$42,MATCH(E1813,02_INDICADORES!$A$2:$A$42,0)),"ID?"))</f>
        <v/>
      </c>
      <c r="H1813" s="22" t="str">
        <f aca="false">IF(E1813="","",IFERROR(INDEX(02_INDICADORES!$D$2:$D$42,MATCH(E1813,02_INDICADORES!$A$2:$A$42,0)),""))</f>
        <v/>
      </c>
      <c r="I1813" s="9"/>
      <c r="J1813" s="16" t="str">
        <f aca="false">IF(OR(I1813="",H1813=""),"",I1813*H1813)</f>
        <v/>
      </c>
      <c r="K1813" s="9"/>
      <c r="L1813" s="9"/>
      <c r="M1813" s="9"/>
    </row>
    <row r="1814" customFormat="false" ht="15" hidden="false" customHeight="false" outlineLevel="0" collapsed="false">
      <c r="A1814" s="9"/>
      <c r="B1814" s="9"/>
      <c r="C1814" s="11"/>
      <c r="D1814" s="9"/>
      <c r="E1814" s="9"/>
      <c r="F1814" s="22" t="str">
        <f aca="false">IF(E1814="","",IFERROR(INDEX(02_INDICADORES!$B$2:$B$42,MATCH(E1814,02_INDICADORES!$A$2:$A$42,0)),"ID?"))</f>
        <v/>
      </c>
      <c r="G1814" s="21" t="str">
        <f aca="false">IF(E1814="","",IFERROR(INDEX(02_INDICADORES!$C$2:$C$42,MATCH(E1814,02_INDICADORES!$A$2:$A$42,0)),"ID?"))</f>
        <v/>
      </c>
      <c r="H1814" s="22" t="str">
        <f aca="false">IF(E1814="","",IFERROR(INDEX(02_INDICADORES!$D$2:$D$42,MATCH(E1814,02_INDICADORES!$A$2:$A$42,0)),""))</f>
        <v/>
      </c>
      <c r="I1814" s="9"/>
      <c r="J1814" s="16" t="str">
        <f aca="false">IF(OR(I1814="",H1814=""),"",I1814*H1814)</f>
        <v/>
      </c>
      <c r="K1814" s="9"/>
      <c r="L1814" s="9"/>
      <c r="M1814" s="9"/>
    </row>
    <row r="1815" customFormat="false" ht="15" hidden="false" customHeight="false" outlineLevel="0" collapsed="false">
      <c r="A1815" s="9"/>
      <c r="B1815" s="9"/>
      <c r="C1815" s="11"/>
      <c r="D1815" s="9"/>
      <c r="E1815" s="9"/>
      <c r="F1815" s="22" t="str">
        <f aca="false">IF(E1815="","",IFERROR(INDEX(02_INDICADORES!$B$2:$B$42,MATCH(E1815,02_INDICADORES!$A$2:$A$42,0)),"ID?"))</f>
        <v/>
      </c>
      <c r="G1815" s="21" t="str">
        <f aca="false">IF(E1815="","",IFERROR(INDEX(02_INDICADORES!$C$2:$C$42,MATCH(E1815,02_INDICADORES!$A$2:$A$42,0)),"ID?"))</f>
        <v/>
      </c>
      <c r="H1815" s="22" t="str">
        <f aca="false">IF(E1815="","",IFERROR(INDEX(02_INDICADORES!$D$2:$D$42,MATCH(E1815,02_INDICADORES!$A$2:$A$42,0)),""))</f>
        <v/>
      </c>
      <c r="I1815" s="9"/>
      <c r="J1815" s="16" t="str">
        <f aca="false">IF(OR(I1815="",H1815=""),"",I1815*H1815)</f>
        <v/>
      </c>
      <c r="K1815" s="9"/>
      <c r="L1815" s="9"/>
      <c r="M1815" s="9"/>
    </row>
    <row r="1816" customFormat="false" ht="15" hidden="false" customHeight="false" outlineLevel="0" collapsed="false">
      <c r="A1816" s="9"/>
      <c r="B1816" s="9"/>
      <c r="C1816" s="11"/>
      <c r="D1816" s="9"/>
      <c r="E1816" s="9"/>
      <c r="F1816" s="22" t="str">
        <f aca="false">IF(E1816="","",IFERROR(INDEX(02_INDICADORES!$B$2:$B$42,MATCH(E1816,02_INDICADORES!$A$2:$A$42,0)),"ID?"))</f>
        <v/>
      </c>
      <c r="G1816" s="21" t="str">
        <f aca="false">IF(E1816="","",IFERROR(INDEX(02_INDICADORES!$C$2:$C$42,MATCH(E1816,02_INDICADORES!$A$2:$A$42,0)),"ID?"))</f>
        <v/>
      </c>
      <c r="H1816" s="22" t="str">
        <f aca="false">IF(E1816="","",IFERROR(INDEX(02_INDICADORES!$D$2:$D$42,MATCH(E1816,02_INDICADORES!$A$2:$A$42,0)),""))</f>
        <v/>
      </c>
      <c r="I1816" s="9"/>
      <c r="J1816" s="16" t="str">
        <f aca="false">IF(OR(I1816="",H1816=""),"",I1816*H1816)</f>
        <v/>
      </c>
      <c r="K1816" s="9"/>
      <c r="L1816" s="9"/>
      <c r="M1816" s="9"/>
    </row>
    <row r="1817" customFormat="false" ht="15" hidden="false" customHeight="false" outlineLevel="0" collapsed="false">
      <c r="A1817" s="9"/>
      <c r="B1817" s="9"/>
      <c r="C1817" s="11"/>
      <c r="D1817" s="9"/>
      <c r="E1817" s="9"/>
      <c r="F1817" s="22" t="str">
        <f aca="false">IF(E1817="","",IFERROR(INDEX(02_INDICADORES!$B$2:$B$42,MATCH(E1817,02_INDICADORES!$A$2:$A$42,0)),"ID?"))</f>
        <v/>
      </c>
      <c r="G1817" s="21" t="str">
        <f aca="false">IF(E1817="","",IFERROR(INDEX(02_INDICADORES!$C$2:$C$42,MATCH(E1817,02_INDICADORES!$A$2:$A$42,0)),"ID?"))</f>
        <v/>
      </c>
      <c r="H1817" s="22" t="str">
        <f aca="false">IF(E1817="","",IFERROR(INDEX(02_INDICADORES!$D$2:$D$42,MATCH(E1817,02_INDICADORES!$A$2:$A$42,0)),""))</f>
        <v/>
      </c>
      <c r="I1817" s="9"/>
      <c r="J1817" s="16" t="str">
        <f aca="false">IF(OR(I1817="",H1817=""),"",I1817*H1817)</f>
        <v/>
      </c>
      <c r="K1817" s="9"/>
      <c r="L1817" s="9"/>
      <c r="M1817" s="9"/>
    </row>
    <row r="1818" customFormat="false" ht="15" hidden="false" customHeight="false" outlineLevel="0" collapsed="false">
      <c r="A1818" s="9"/>
      <c r="B1818" s="9"/>
      <c r="C1818" s="11"/>
      <c r="D1818" s="9"/>
      <c r="E1818" s="9"/>
      <c r="F1818" s="22" t="str">
        <f aca="false">IF(E1818="","",IFERROR(INDEX(02_INDICADORES!$B$2:$B$42,MATCH(E1818,02_INDICADORES!$A$2:$A$42,0)),"ID?"))</f>
        <v/>
      </c>
      <c r="G1818" s="21" t="str">
        <f aca="false">IF(E1818="","",IFERROR(INDEX(02_INDICADORES!$C$2:$C$42,MATCH(E1818,02_INDICADORES!$A$2:$A$42,0)),"ID?"))</f>
        <v/>
      </c>
      <c r="H1818" s="22" t="str">
        <f aca="false">IF(E1818="","",IFERROR(INDEX(02_INDICADORES!$D$2:$D$42,MATCH(E1818,02_INDICADORES!$A$2:$A$42,0)),""))</f>
        <v/>
      </c>
      <c r="I1818" s="9"/>
      <c r="J1818" s="16" t="str">
        <f aca="false">IF(OR(I1818="",H1818=""),"",I1818*H1818)</f>
        <v/>
      </c>
      <c r="K1818" s="9"/>
      <c r="L1818" s="9"/>
      <c r="M1818" s="9"/>
    </row>
    <row r="1819" customFormat="false" ht="15" hidden="false" customHeight="false" outlineLevel="0" collapsed="false">
      <c r="A1819" s="9"/>
      <c r="B1819" s="9"/>
      <c r="C1819" s="11"/>
      <c r="D1819" s="9"/>
      <c r="E1819" s="9"/>
      <c r="F1819" s="22" t="str">
        <f aca="false">IF(E1819="","",IFERROR(INDEX(02_INDICADORES!$B$2:$B$42,MATCH(E1819,02_INDICADORES!$A$2:$A$42,0)),"ID?"))</f>
        <v/>
      </c>
      <c r="G1819" s="21" t="str">
        <f aca="false">IF(E1819="","",IFERROR(INDEX(02_INDICADORES!$C$2:$C$42,MATCH(E1819,02_INDICADORES!$A$2:$A$42,0)),"ID?"))</f>
        <v/>
      </c>
      <c r="H1819" s="22" t="str">
        <f aca="false">IF(E1819="","",IFERROR(INDEX(02_INDICADORES!$D$2:$D$42,MATCH(E1819,02_INDICADORES!$A$2:$A$42,0)),""))</f>
        <v/>
      </c>
      <c r="I1819" s="9"/>
      <c r="J1819" s="16" t="str">
        <f aca="false">IF(OR(I1819="",H1819=""),"",I1819*H1819)</f>
        <v/>
      </c>
      <c r="K1819" s="9"/>
      <c r="L1819" s="9"/>
      <c r="M1819" s="9"/>
    </row>
    <row r="1820" customFormat="false" ht="15" hidden="false" customHeight="false" outlineLevel="0" collapsed="false">
      <c r="A1820" s="9"/>
      <c r="B1820" s="9"/>
      <c r="C1820" s="11"/>
      <c r="D1820" s="9"/>
      <c r="E1820" s="9"/>
      <c r="F1820" s="22" t="str">
        <f aca="false">IF(E1820="","",IFERROR(INDEX(02_INDICADORES!$B$2:$B$42,MATCH(E1820,02_INDICADORES!$A$2:$A$42,0)),"ID?"))</f>
        <v/>
      </c>
      <c r="G1820" s="21" t="str">
        <f aca="false">IF(E1820="","",IFERROR(INDEX(02_INDICADORES!$C$2:$C$42,MATCH(E1820,02_INDICADORES!$A$2:$A$42,0)),"ID?"))</f>
        <v/>
      </c>
      <c r="H1820" s="22" t="str">
        <f aca="false">IF(E1820="","",IFERROR(INDEX(02_INDICADORES!$D$2:$D$42,MATCH(E1820,02_INDICADORES!$A$2:$A$42,0)),""))</f>
        <v/>
      </c>
      <c r="I1820" s="9"/>
      <c r="J1820" s="16" t="str">
        <f aca="false">IF(OR(I1820="",H1820=""),"",I1820*H1820)</f>
        <v/>
      </c>
      <c r="K1820" s="9"/>
      <c r="L1820" s="9"/>
      <c r="M1820" s="9"/>
    </row>
    <row r="1821" customFormat="false" ht="15" hidden="false" customHeight="false" outlineLevel="0" collapsed="false">
      <c r="A1821" s="9"/>
      <c r="B1821" s="9"/>
      <c r="C1821" s="11"/>
      <c r="D1821" s="9"/>
      <c r="E1821" s="9"/>
      <c r="F1821" s="22" t="str">
        <f aca="false">IF(E1821="","",IFERROR(INDEX(02_INDICADORES!$B$2:$B$42,MATCH(E1821,02_INDICADORES!$A$2:$A$42,0)),"ID?"))</f>
        <v/>
      </c>
      <c r="G1821" s="21" t="str">
        <f aca="false">IF(E1821="","",IFERROR(INDEX(02_INDICADORES!$C$2:$C$42,MATCH(E1821,02_INDICADORES!$A$2:$A$42,0)),"ID?"))</f>
        <v/>
      </c>
      <c r="H1821" s="22" t="str">
        <f aca="false">IF(E1821="","",IFERROR(INDEX(02_INDICADORES!$D$2:$D$42,MATCH(E1821,02_INDICADORES!$A$2:$A$42,0)),""))</f>
        <v/>
      </c>
      <c r="I1821" s="9"/>
      <c r="J1821" s="16" t="str">
        <f aca="false">IF(OR(I1821="",H1821=""),"",I1821*H1821)</f>
        <v/>
      </c>
      <c r="K1821" s="9"/>
      <c r="L1821" s="9"/>
      <c r="M1821" s="9"/>
    </row>
    <row r="1822" customFormat="false" ht="15" hidden="false" customHeight="false" outlineLevel="0" collapsed="false">
      <c r="A1822" s="9"/>
      <c r="B1822" s="9"/>
      <c r="C1822" s="11"/>
      <c r="D1822" s="9"/>
      <c r="E1822" s="9"/>
      <c r="F1822" s="22" t="str">
        <f aca="false">IF(E1822="","",IFERROR(INDEX(02_INDICADORES!$B$2:$B$42,MATCH(E1822,02_INDICADORES!$A$2:$A$42,0)),"ID?"))</f>
        <v/>
      </c>
      <c r="G1822" s="21" t="str">
        <f aca="false">IF(E1822="","",IFERROR(INDEX(02_INDICADORES!$C$2:$C$42,MATCH(E1822,02_INDICADORES!$A$2:$A$42,0)),"ID?"))</f>
        <v/>
      </c>
      <c r="H1822" s="22" t="str">
        <f aca="false">IF(E1822="","",IFERROR(INDEX(02_INDICADORES!$D$2:$D$42,MATCH(E1822,02_INDICADORES!$A$2:$A$42,0)),""))</f>
        <v/>
      </c>
      <c r="I1822" s="9"/>
      <c r="J1822" s="16" t="str">
        <f aca="false">IF(OR(I1822="",H1822=""),"",I1822*H1822)</f>
        <v/>
      </c>
      <c r="K1822" s="9"/>
      <c r="L1822" s="9"/>
      <c r="M1822" s="9"/>
    </row>
    <row r="1823" customFormat="false" ht="15" hidden="false" customHeight="false" outlineLevel="0" collapsed="false">
      <c r="A1823" s="9"/>
      <c r="B1823" s="9"/>
      <c r="C1823" s="11"/>
      <c r="D1823" s="9"/>
      <c r="E1823" s="9"/>
      <c r="F1823" s="22" t="str">
        <f aca="false">IF(E1823="","",IFERROR(INDEX(02_INDICADORES!$B$2:$B$42,MATCH(E1823,02_INDICADORES!$A$2:$A$42,0)),"ID?"))</f>
        <v/>
      </c>
      <c r="G1823" s="21" t="str">
        <f aca="false">IF(E1823="","",IFERROR(INDEX(02_INDICADORES!$C$2:$C$42,MATCH(E1823,02_INDICADORES!$A$2:$A$42,0)),"ID?"))</f>
        <v/>
      </c>
      <c r="H1823" s="22" t="str">
        <f aca="false">IF(E1823="","",IFERROR(INDEX(02_INDICADORES!$D$2:$D$42,MATCH(E1823,02_INDICADORES!$A$2:$A$42,0)),""))</f>
        <v/>
      </c>
      <c r="I1823" s="9"/>
      <c r="J1823" s="16" t="str">
        <f aca="false">IF(OR(I1823="",H1823=""),"",I1823*H1823)</f>
        <v/>
      </c>
      <c r="K1823" s="9"/>
      <c r="L1823" s="9"/>
      <c r="M1823" s="9"/>
    </row>
    <row r="1824" customFormat="false" ht="15" hidden="false" customHeight="false" outlineLevel="0" collapsed="false">
      <c r="A1824" s="9"/>
      <c r="B1824" s="9"/>
      <c r="C1824" s="11"/>
      <c r="D1824" s="9"/>
      <c r="E1824" s="9"/>
      <c r="F1824" s="22" t="str">
        <f aca="false">IF(E1824="","",IFERROR(INDEX(02_INDICADORES!$B$2:$B$42,MATCH(E1824,02_INDICADORES!$A$2:$A$42,0)),"ID?"))</f>
        <v/>
      </c>
      <c r="G1824" s="21" t="str">
        <f aca="false">IF(E1824="","",IFERROR(INDEX(02_INDICADORES!$C$2:$C$42,MATCH(E1824,02_INDICADORES!$A$2:$A$42,0)),"ID?"))</f>
        <v/>
      </c>
      <c r="H1824" s="22" t="str">
        <f aca="false">IF(E1824="","",IFERROR(INDEX(02_INDICADORES!$D$2:$D$42,MATCH(E1824,02_INDICADORES!$A$2:$A$42,0)),""))</f>
        <v/>
      </c>
      <c r="I1824" s="9"/>
      <c r="J1824" s="16" t="str">
        <f aca="false">IF(OR(I1824="",H1824=""),"",I1824*H1824)</f>
        <v/>
      </c>
      <c r="K1824" s="9"/>
      <c r="L1824" s="9"/>
      <c r="M1824" s="9"/>
    </row>
    <row r="1825" customFormat="false" ht="15" hidden="false" customHeight="false" outlineLevel="0" collapsed="false">
      <c r="A1825" s="9"/>
      <c r="B1825" s="9"/>
      <c r="C1825" s="11"/>
      <c r="D1825" s="9"/>
      <c r="E1825" s="9"/>
      <c r="F1825" s="22" t="str">
        <f aca="false">IF(E1825="","",IFERROR(INDEX(02_INDICADORES!$B$2:$B$42,MATCH(E1825,02_INDICADORES!$A$2:$A$42,0)),"ID?"))</f>
        <v/>
      </c>
      <c r="G1825" s="21" t="str">
        <f aca="false">IF(E1825="","",IFERROR(INDEX(02_INDICADORES!$C$2:$C$42,MATCH(E1825,02_INDICADORES!$A$2:$A$42,0)),"ID?"))</f>
        <v/>
      </c>
      <c r="H1825" s="22" t="str">
        <f aca="false">IF(E1825="","",IFERROR(INDEX(02_INDICADORES!$D$2:$D$42,MATCH(E1825,02_INDICADORES!$A$2:$A$42,0)),""))</f>
        <v/>
      </c>
      <c r="I1825" s="9"/>
      <c r="J1825" s="16" t="str">
        <f aca="false">IF(OR(I1825="",H1825=""),"",I1825*H1825)</f>
        <v/>
      </c>
      <c r="K1825" s="9"/>
      <c r="L1825" s="9"/>
      <c r="M1825" s="9"/>
    </row>
    <row r="1826" customFormat="false" ht="15" hidden="false" customHeight="false" outlineLevel="0" collapsed="false">
      <c r="A1826" s="9"/>
      <c r="B1826" s="9"/>
      <c r="C1826" s="11"/>
      <c r="D1826" s="9"/>
      <c r="E1826" s="9"/>
      <c r="F1826" s="22" t="str">
        <f aca="false">IF(E1826="","",IFERROR(INDEX(02_INDICADORES!$B$2:$B$42,MATCH(E1826,02_INDICADORES!$A$2:$A$42,0)),"ID?"))</f>
        <v/>
      </c>
      <c r="G1826" s="21" t="str">
        <f aca="false">IF(E1826="","",IFERROR(INDEX(02_INDICADORES!$C$2:$C$42,MATCH(E1826,02_INDICADORES!$A$2:$A$42,0)),"ID?"))</f>
        <v/>
      </c>
      <c r="H1826" s="22" t="str">
        <f aca="false">IF(E1826="","",IFERROR(INDEX(02_INDICADORES!$D$2:$D$42,MATCH(E1826,02_INDICADORES!$A$2:$A$42,0)),""))</f>
        <v/>
      </c>
      <c r="I1826" s="9"/>
      <c r="J1826" s="16" t="str">
        <f aca="false">IF(OR(I1826="",H1826=""),"",I1826*H1826)</f>
        <v/>
      </c>
      <c r="K1826" s="9"/>
      <c r="L1826" s="9"/>
      <c r="M1826" s="9"/>
    </row>
    <row r="1827" customFormat="false" ht="15" hidden="false" customHeight="false" outlineLevel="0" collapsed="false">
      <c r="A1827" s="9"/>
      <c r="B1827" s="9"/>
      <c r="C1827" s="11"/>
      <c r="D1827" s="9"/>
      <c r="E1827" s="9"/>
      <c r="F1827" s="22" t="str">
        <f aca="false">IF(E1827="","",IFERROR(INDEX(02_INDICADORES!$B$2:$B$42,MATCH(E1827,02_INDICADORES!$A$2:$A$42,0)),"ID?"))</f>
        <v/>
      </c>
      <c r="G1827" s="21" t="str">
        <f aca="false">IF(E1827="","",IFERROR(INDEX(02_INDICADORES!$C$2:$C$42,MATCH(E1827,02_INDICADORES!$A$2:$A$42,0)),"ID?"))</f>
        <v/>
      </c>
      <c r="H1827" s="22" t="str">
        <f aca="false">IF(E1827="","",IFERROR(INDEX(02_INDICADORES!$D$2:$D$42,MATCH(E1827,02_INDICADORES!$A$2:$A$42,0)),""))</f>
        <v/>
      </c>
      <c r="I1827" s="9"/>
      <c r="J1827" s="16" t="str">
        <f aca="false">IF(OR(I1827="",H1827=""),"",I1827*H1827)</f>
        <v/>
      </c>
      <c r="K1827" s="9"/>
      <c r="L1827" s="9"/>
      <c r="M1827" s="9"/>
    </row>
    <row r="1828" customFormat="false" ht="15" hidden="false" customHeight="false" outlineLevel="0" collapsed="false">
      <c r="A1828" s="9"/>
      <c r="B1828" s="9"/>
      <c r="C1828" s="11"/>
      <c r="D1828" s="9"/>
      <c r="E1828" s="9"/>
      <c r="F1828" s="22" t="str">
        <f aca="false">IF(E1828="","",IFERROR(INDEX(02_INDICADORES!$B$2:$B$42,MATCH(E1828,02_INDICADORES!$A$2:$A$42,0)),"ID?"))</f>
        <v/>
      </c>
      <c r="G1828" s="21" t="str">
        <f aca="false">IF(E1828="","",IFERROR(INDEX(02_INDICADORES!$C$2:$C$42,MATCH(E1828,02_INDICADORES!$A$2:$A$42,0)),"ID?"))</f>
        <v/>
      </c>
      <c r="H1828" s="22" t="str">
        <f aca="false">IF(E1828="","",IFERROR(INDEX(02_INDICADORES!$D$2:$D$42,MATCH(E1828,02_INDICADORES!$A$2:$A$42,0)),""))</f>
        <v/>
      </c>
      <c r="I1828" s="9"/>
      <c r="J1828" s="16" t="str">
        <f aca="false">IF(OR(I1828="",H1828=""),"",I1828*H1828)</f>
        <v/>
      </c>
      <c r="K1828" s="9"/>
      <c r="L1828" s="9"/>
      <c r="M1828" s="9"/>
    </row>
    <row r="1829" customFormat="false" ht="15" hidden="false" customHeight="false" outlineLevel="0" collapsed="false">
      <c r="A1829" s="9"/>
      <c r="B1829" s="9"/>
      <c r="C1829" s="11"/>
      <c r="D1829" s="9"/>
      <c r="E1829" s="9"/>
      <c r="F1829" s="22" t="str">
        <f aca="false">IF(E1829="","",IFERROR(INDEX(02_INDICADORES!$B$2:$B$42,MATCH(E1829,02_INDICADORES!$A$2:$A$42,0)),"ID?"))</f>
        <v/>
      </c>
      <c r="G1829" s="21" t="str">
        <f aca="false">IF(E1829="","",IFERROR(INDEX(02_INDICADORES!$C$2:$C$42,MATCH(E1829,02_INDICADORES!$A$2:$A$42,0)),"ID?"))</f>
        <v/>
      </c>
      <c r="H1829" s="22" t="str">
        <f aca="false">IF(E1829="","",IFERROR(INDEX(02_INDICADORES!$D$2:$D$42,MATCH(E1829,02_INDICADORES!$A$2:$A$42,0)),""))</f>
        <v/>
      </c>
      <c r="I1829" s="9"/>
      <c r="J1829" s="16" t="str">
        <f aca="false">IF(OR(I1829="",H1829=""),"",I1829*H1829)</f>
        <v/>
      </c>
      <c r="K1829" s="9"/>
      <c r="L1829" s="9"/>
      <c r="M1829" s="9"/>
    </row>
    <row r="1830" customFormat="false" ht="15" hidden="false" customHeight="false" outlineLevel="0" collapsed="false">
      <c r="A1830" s="9"/>
      <c r="B1830" s="9"/>
      <c r="C1830" s="11"/>
      <c r="D1830" s="9"/>
      <c r="E1830" s="9"/>
      <c r="F1830" s="22" t="str">
        <f aca="false">IF(E1830="","",IFERROR(INDEX(02_INDICADORES!$B$2:$B$42,MATCH(E1830,02_INDICADORES!$A$2:$A$42,0)),"ID?"))</f>
        <v/>
      </c>
      <c r="G1830" s="21" t="str">
        <f aca="false">IF(E1830="","",IFERROR(INDEX(02_INDICADORES!$C$2:$C$42,MATCH(E1830,02_INDICADORES!$A$2:$A$42,0)),"ID?"))</f>
        <v/>
      </c>
      <c r="H1830" s="22" t="str">
        <f aca="false">IF(E1830="","",IFERROR(INDEX(02_INDICADORES!$D$2:$D$42,MATCH(E1830,02_INDICADORES!$A$2:$A$42,0)),""))</f>
        <v/>
      </c>
      <c r="I1830" s="9"/>
      <c r="J1830" s="16" t="str">
        <f aca="false">IF(OR(I1830="",H1830=""),"",I1830*H1830)</f>
        <v/>
      </c>
      <c r="K1830" s="9"/>
      <c r="L1830" s="9"/>
      <c r="M1830" s="9"/>
    </row>
    <row r="1831" customFormat="false" ht="15" hidden="false" customHeight="false" outlineLevel="0" collapsed="false">
      <c r="A1831" s="9"/>
      <c r="B1831" s="9"/>
      <c r="C1831" s="11"/>
      <c r="D1831" s="9"/>
      <c r="E1831" s="9"/>
      <c r="F1831" s="22" t="str">
        <f aca="false">IF(E1831="","",IFERROR(INDEX(02_INDICADORES!$B$2:$B$42,MATCH(E1831,02_INDICADORES!$A$2:$A$42,0)),"ID?"))</f>
        <v/>
      </c>
      <c r="G1831" s="21" t="str">
        <f aca="false">IF(E1831="","",IFERROR(INDEX(02_INDICADORES!$C$2:$C$42,MATCH(E1831,02_INDICADORES!$A$2:$A$42,0)),"ID?"))</f>
        <v/>
      </c>
      <c r="H1831" s="22" t="str">
        <f aca="false">IF(E1831="","",IFERROR(INDEX(02_INDICADORES!$D$2:$D$42,MATCH(E1831,02_INDICADORES!$A$2:$A$42,0)),""))</f>
        <v/>
      </c>
      <c r="I1831" s="9"/>
      <c r="J1831" s="16" t="str">
        <f aca="false">IF(OR(I1831="",H1831=""),"",I1831*H1831)</f>
        <v/>
      </c>
      <c r="K1831" s="9"/>
      <c r="L1831" s="9"/>
      <c r="M1831" s="9"/>
    </row>
    <row r="1832" customFormat="false" ht="15" hidden="false" customHeight="false" outlineLevel="0" collapsed="false">
      <c r="A1832" s="9"/>
      <c r="B1832" s="9"/>
      <c r="C1832" s="11"/>
      <c r="D1832" s="9"/>
      <c r="E1832" s="9"/>
      <c r="F1832" s="22" t="str">
        <f aca="false">IF(E1832="","",IFERROR(INDEX(02_INDICADORES!$B$2:$B$42,MATCH(E1832,02_INDICADORES!$A$2:$A$42,0)),"ID?"))</f>
        <v/>
      </c>
      <c r="G1832" s="21" t="str">
        <f aca="false">IF(E1832="","",IFERROR(INDEX(02_INDICADORES!$C$2:$C$42,MATCH(E1832,02_INDICADORES!$A$2:$A$42,0)),"ID?"))</f>
        <v/>
      </c>
      <c r="H1832" s="22" t="str">
        <f aca="false">IF(E1832="","",IFERROR(INDEX(02_INDICADORES!$D$2:$D$42,MATCH(E1832,02_INDICADORES!$A$2:$A$42,0)),""))</f>
        <v/>
      </c>
      <c r="I1832" s="9"/>
      <c r="J1832" s="16" t="str">
        <f aca="false">IF(OR(I1832="",H1832=""),"",I1832*H1832)</f>
        <v/>
      </c>
      <c r="K1832" s="9"/>
      <c r="L1832" s="9"/>
      <c r="M1832" s="9"/>
    </row>
    <row r="1833" customFormat="false" ht="15" hidden="false" customHeight="false" outlineLevel="0" collapsed="false">
      <c r="A1833" s="9"/>
      <c r="B1833" s="9"/>
      <c r="C1833" s="11"/>
      <c r="D1833" s="9"/>
      <c r="E1833" s="9"/>
      <c r="F1833" s="22" t="str">
        <f aca="false">IF(E1833="","",IFERROR(INDEX(02_INDICADORES!$B$2:$B$42,MATCH(E1833,02_INDICADORES!$A$2:$A$42,0)),"ID?"))</f>
        <v/>
      </c>
      <c r="G1833" s="21" t="str">
        <f aca="false">IF(E1833="","",IFERROR(INDEX(02_INDICADORES!$C$2:$C$42,MATCH(E1833,02_INDICADORES!$A$2:$A$42,0)),"ID?"))</f>
        <v/>
      </c>
      <c r="H1833" s="22" t="str">
        <f aca="false">IF(E1833="","",IFERROR(INDEX(02_INDICADORES!$D$2:$D$42,MATCH(E1833,02_INDICADORES!$A$2:$A$42,0)),""))</f>
        <v/>
      </c>
      <c r="I1833" s="9"/>
      <c r="J1833" s="16" t="str">
        <f aca="false">IF(OR(I1833="",H1833=""),"",I1833*H1833)</f>
        <v/>
      </c>
      <c r="K1833" s="9"/>
      <c r="L1833" s="9"/>
      <c r="M1833" s="9"/>
    </row>
    <row r="1834" customFormat="false" ht="15" hidden="false" customHeight="false" outlineLevel="0" collapsed="false">
      <c r="A1834" s="9"/>
      <c r="B1834" s="9"/>
      <c r="C1834" s="11"/>
      <c r="D1834" s="9"/>
      <c r="E1834" s="9"/>
      <c r="F1834" s="22" t="str">
        <f aca="false">IF(E1834="","",IFERROR(INDEX(02_INDICADORES!$B$2:$B$42,MATCH(E1834,02_INDICADORES!$A$2:$A$42,0)),"ID?"))</f>
        <v/>
      </c>
      <c r="G1834" s="21" t="str">
        <f aca="false">IF(E1834="","",IFERROR(INDEX(02_INDICADORES!$C$2:$C$42,MATCH(E1834,02_INDICADORES!$A$2:$A$42,0)),"ID?"))</f>
        <v/>
      </c>
      <c r="H1834" s="22" t="str">
        <f aca="false">IF(E1834="","",IFERROR(INDEX(02_INDICADORES!$D$2:$D$42,MATCH(E1834,02_INDICADORES!$A$2:$A$42,0)),""))</f>
        <v/>
      </c>
      <c r="I1834" s="9"/>
      <c r="J1834" s="16" t="str">
        <f aca="false">IF(OR(I1834="",H1834=""),"",I1834*H1834)</f>
        <v/>
      </c>
      <c r="K1834" s="9"/>
      <c r="L1834" s="9"/>
      <c r="M1834" s="9"/>
    </row>
    <row r="1835" customFormat="false" ht="15" hidden="false" customHeight="false" outlineLevel="0" collapsed="false">
      <c r="A1835" s="9"/>
      <c r="B1835" s="9"/>
      <c r="C1835" s="11"/>
      <c r="D1835" s="9"/>
      <c r="E1835" s="9"/>
      <c r="F1835" s="22" t="str">
        <f aca="false">IF(E1835="","",IFERROR(INDEX(02_INDICADORES!$B$2:$B$42,MATCH(E1835,02_INDICADORES!$A$2:$A$42,0)),"ID?"))</f>
        <v/>
      </c>
      <c r="G1835" s="21" t="str">
        <f aca="false">IF(E1835="","",IFERROR(INDEX(02_INDICADORES!$C$2:$C$42,MATCH(E1835,02_INDICADORES!$A$2:$A$42,0)),"ID?"))</f>
        <v/>
      </c>
      <c r="H1835" s="22" t="str">
        <f aca="false">IF(E1835="","",IFERROR(INDEX(02_INDICADORES!$D$2:$D$42,MATCH(E1835,02_INDICADORES!$A$2:$A$42,0)),""))</f>
        <v/>
      </c>
      <c r="I1835" s="9"/>
      <c r="J1835" s="16" t="str">
        <f aca="false">IF(OR(I1835="",H1835=""),"",I1835*H1835)</f>
        <v/>
      </c>
      <c r="K1835" s="9"/>
      <c r="L1835" s="9"/>
      <c r="M1835" s="9"/>
    </row>
    <row r="1836" customFormat="false" ht="15" hidden="false" customHeight="false" outlineLevel="0" collapsed="false">
      <c r="A1836" s="9"/>
      <c r="B1836" s="9"/>
      <c r="C1836" s="11"/>
      <c r="D1836" s="9"/>
      <c r="E1836" s="9"/>
      <c r="F1836" s="22" t="str">
        <f aca="false">IF(E1836="","",IFERROR(INDEX(02_INDICADORES!$B$2:$B$42,MATCH(E1836,02_INDICADORES!$A$2:$A$42,0)),"ID?"))</f>
        <v/>
      </c>
      <c r="G1836" s="21" t="str">
        <f aca="false">IF(E1836="","",IFERROR(INDEX(02_INDICADORES!$C$2:$C$42,MATCH(E1836,02_INDICADORES!$A$2:$A$42,0)),"ID?"))</f>
        <v/>
      </c>
      <c r="H1836" s="22" t="str">
        <f aca="false">IF(E1836="","",IFERROR(INDEX(02_INDICADORES!$D$2:$D$42,MATCH(E1836,02_INDICADORES!$A$2:$A$42,0)),""))</f>
        <v/>
      </c>
      <c r="I1836" s="9"/>
      <c r="J1836" s="16" t="str">
        <f aca="false">IF(OR(I1836="",H1836=""),"",I1836*H1836)</f>
        <v/>
      </c>
      <c r="K1836" s="9"/>
      <c r="L1836" s="9"/>
      <c r="M1836" s="9"/>
    </row>
    <row r="1837" customFormat="false" ht="15" hidden="false" customHeight="false" outlineLevel="0" collapsed="false">
      <c r="A1837" s="9"/>
      <c r="B1837" s="9"/>
      <c r="C1837" s="11"/>
      <c r="D1837" s="9"/>
      <c r="E1837" s="9"/>
      <c r="F1837" s="22" t="str">
        <f aca="false">IF(E1837="","",IFERROR(INDEX(02_INDICADORES!$B$2:$B$42,MATCH(E1837,02_INDICADORES!$A$2:$A$42,0)),"ID?"))</f>
        <v/>
      </c>
      <c r="G1837" s="21" t="str">
        <f aca="false">IF(E1837="","",IFERROR(INDEX(02_INDICADORES!$C$2:$C$42,MATCH(E1837,02_INDICADORES!$A$2:$A$42,0)),"ID?"))</f>
        <v/>
      </c>
      <c r="H1837" s="22" t="str">
        <f aca="false">IF(E1837="","",IFERROR(INDEX(02_INDICADORES!$D$2:$D$42,MATCH(E1837,02_INDICADORES!$A$2:$A$42,0)),""))</f>
        <v/>
      </c>
      <c r="I1837" s="9"/>
      <c r="J1837" s="16" t="str">
        <f aca="false">IF(OR(I1837="",H1837=""),"",I1837*H1837)</f>
        <v/>
      </c>
      <c r="K1837" s="9"/>
      <c r="L1837" s="9"/>
      <c r="M1837" s="9"/>
    </row>
    <row r="1838" customFormat="false" ht="15" hidden="false" customHeight="false" outlineLevel="0" collapsed="false">
      <c r="A1838" s="9"/>
      <c r="B1838" s="9"/>
      <c r="C1838" s="11"/>
      <c r="D1838" s="9"/>
      <c r="E1838" s="9"/>
      <c r="F1838" s="22" t="str">
        <f aca="false">IF(E1838="","",IFERROR(INDEX(02_INDICADORES!$B$2:$B$42,MATCH(E1838,02_INDICADORES!$A$2:$A$42,0)),"ID?"))</f>
        <v/>
      </c>
      <c r="G1838" s="21" t="str">
        <f aca="false">IF(E1838="","",IFERROR(INDEX(02_INDICADORES!$C$2:$C$42,MATCH(E1838,02_INDICADORES!$A$2:$A$42,0)),"ID?"))</f>
        <v/>
      </c>
      <c r="H1838" s="22" t="str">
        <f aca="false">IF(E1838="","",IFERROR(INDEX(02_INDICADORES!$D$2:$D$42,MATCH(E1838,02_INDICADORES!$A$2:$A$42,0)),""))</f>
        <v/>
      </c>
      <c r="I1838" s="9"/>
      <c r="J1838" s="16" t="str">
        <f aca="false">IF(OR(I1838="",H1838=""),"",I1838*H1838)</f>
        <v/>
      </c>
      <c r="K1838" s="9"/>
      <c r="L1838" s="9"/>
      <c r="M1838" s="9"/>
    </row>
    <row r="1839" customFormat="false" ht="15" hidden="false" customHeight="false" outlineLevel="0" collapsed="false">
      <c r="A1839" s="9"/>
      <c r="B1839" s="9"/>
      <c r="C1839" s="11"/>
      <c r="D1839" s="9"/>
      <c r="E1839" s="9"/>
      <c r="F1839" s="22" t="str">
        <f aca="false">IF(E1839="","",IFERROR(INDEX(02_INDICADORES!$B$2:$B$42,MATCH(E1839,02_INDICADORES!$A$2:$A$42,0)),"ID?"))</f>
        <v/>
      </c>
      <c r="G1839" s="21" t="str">
        <f aca="false">IF(E1839="","",IFERROR(INDEX(02_INDICADORES!$C$2:$C$42,MATCH(E1839,02_INDICADORES!$A$2:$A$42,0)),"ID?"))</f>
        <v/>
      </c>
      <c r="H1839" s="22" t="str">
        <f aca="false">IF(E1839="","",IFERROR(INDEX(02_INDICADORES!$D$2:$D$42,MATCH(E1839,02_INDICADORES!$A$2:$A$42,0)),""))</f>
        <v/>
      </c>
      <c r="I1839" s="9"/>
      <c r="J1839" s="16" t="str">
        <f aca="false">IF(OR(I1839="",H1839=""),"",I1839*H1839)</f>
        <v/>
      </c>
      <c r="K1839" s="9"/>
      <c r="L1839" s="9"/>
      <c r="M1839" s="9"/>
    </row>
    <row r="1840" customFormat="false" ht="15" hidden="false" customHeight="false" outlineLevel="0" collapsed="false">
      <c r="A1840" s="9"/>
      <c r="B1840" s="9"/>
      <c r="C1840" s="11"/>
      <c r="D1840" s="9"/>
      <c r="E1840" s="9"/>
      <c r="F1840" s="22" t="str">
        <f aca="false">IF(E1840="","",IFERROR(INDEX(02_INDICADORES!$B$2:$B$42,MATCH(E1840,02_INDICADORES!$A$2:$A$42,0)),"ID?"))</f>
        <v/>
      </c>
      <c r="G1840" s="21" t="str">
        <f aca="false">IF(E1840="","",IFERROR(INDEX(02_INDICADORES!$C$2:$C$42,MATCH(E1840,02_INDICADORES!$A$2:$A$42,0)),"ID?"))</f>
        <v/>
      </c>
      <c r="H1840" s="22" t="str">
        <f aca="false">IF(E1840="","",IFERROR(INDEX(02_INDICADORES!$D$2:$D$42,MATCH(E1840,02_INDICADORES!$A$2:$A$42,0)),""))</f>
        <v/>
      </c>
      <c r="I1840" s="9"/>
      <c r="J1840" s="16" t="str">
        <f aca="false">IF(OR(I1840="",H1840=""),"",I1840*H1840)</f>
        <v/>
      </c>
      <c r="K1840" s="9"/>
      <c r="L1840" s="9"/>
      <c r="M1840" s="9"/>
    </row>
    <row r="1841" customFormat="false" ht="15" hidden="false" customHeight="false" outlineLevel="0" collapsed="false">
      <c r="A1841" s="9"/>
      <c r="B1841" s="9"/>
      <c r="C1841" s="11"/>
      <c r="D1841" s="9"/>
      <c r="E1841" s="9"/>
      <c r="F1841" s="22" t="str">
        <f aca="false">IF(E1841="","",IFERROR(INDEX(02_INDICADORES!$B$2:$B$42,MATCH(E1841,02_INDICADORES!$A$2:$A$42,0)),"ID?"))</f>
        <v/>
      </c>
      <c r="G1841" s="21" t="str">
        <f aca="false">IF(E1841="","",IFERROR(INDEX(02_INDICADORES!$C$2:$C$42,MATCH(E1841,02_INDICADORES!$A$2:$A$42,0)),"ID?"))</f>
        <v/>
      </c>
      <c r="H1841" s="22" t="str">
        <f aca="false">IF(E1841="","",IFERROR(INDEX(02_INDICADORES!$D$2:$D$42,MATCH(E1841,02_INDICADORES!$A$2:$A$42,0)),""))</f>
        <v/>
      </c>
      <c r="I1841" s="9"/>
      <c r="J1841" s="16" t="str">
        <f aca="false">IF(OR(I1841="",H1841=""),"",I1841*H1841)</f>
        <v/>
      </c>
      <c r="K1841" s="9"/>
      <c r="L1841" s="9"/>
      <c r="M1841" s="9"/>
    </row>
    <row r="1842" customFormat="false" ht="15" hidden="false" customHeight="false" outlineLevel="0" collapsed="false">
      <c r="A1842" s="9"/>
      <c r="B1842" s="9"/>
      <c r="C1842" s="11"/>
      <c r="D1842" s="9"/>
      <c r="E1842" s="9"/>
      <c r="F1842" s="22" t="str">
        <f aca="false">IF(E1842="","",IFERROR(INDEX(02_INDICADORES!$B$2:$B$42,MATCH(E1842,02_INDICADORES!$A$2:$A$42,0)),"ID?"))</f>
        <v/>
      </c>
      <c r="G1842" s="21" t="str">
        <f aca="false">IF(E1842="","",IFERROR(INDEX(02_INDICADORES!$C$2:$C$42,MATCH(E1842,02_INDICADORES!$A$2:$A$42,0)),"ID?"))</f>
        <v/>
      </c>
      <c r="H1842" s="22" t="str">
        <f aca="false">IF(E1842="","",IFERROR(INDEX(02_INDICADORES!$D$2:$D$42,MATCH(E1842,02_INDICADORES!$A$2:$A$42,0)),""))</f>
        <v/>
      </c>
      <c r="I1842" s="9"/>
      <c r="J1842" s="16" t="str">
        <f aca="false">IF(OR(I1842="",H1842=""),"",I1842*H1842)</f>
        <v/>
      </c>
      <c r="K1842" s="9"/>
      <c r="L1842" s="9"/>
      <c r="M1842" s="9"/>
    </row>
    <row r="1843" customFormat="false" ht="15" hidden="false" customHeight="false" outlineLevel="0" collapsed="false">
      <c r="A1843" s="9"/>
      <c r="B1843" s="9"/>
      <c r="C1843" s="11"/>
      <c r="D1843" s="9"/>
      <c r="E1843" s="9"/>
      <c r="F1843" s="22" t="str">
        <f aca="false">IF(E1843="","",IFERROR(INDEX(02_INDICADORES!$B$2:$B$42,MATCH(E1843,02_INDICADORES!$A$2:$A$42,0)),"ID?"))</f>
        <v/>
      </c>
      <c r="G1843" s="21" t="str">
        <f aca="false">IF(E1843="","",IFERROR(INDEX(02_INDICADORES!$C$2:$C$42,MATCH(E1843,02_INDICADORES!$A$2:$A$42,0)),"ID?"))</f>
        <v/>
      </c>
      <c r="H1843" s="22" t="str">
        <f aca="false">IF(E1843="","",IFERROR(INDEX(02_INDICADORES!$D$2:$D$42,MATCH(E1843,02_INDICADORES!$A$2:$A$42,0)),""))</f>
        <v/>
      </c>
      <c r="I1843" s="9"/>
      <c r="J1843" s="16" t="str">
        <f aca="false">IF(OR(I1843="",H1843=""),"",I1843*H1843)</f>
        <v/>
      </c>
      <c r="K1843" s="9"/>
      <c r="L1843" s="9"/>
      <c r="M1843" s="9"/>
    </row>
    <row r="1844" customFormat="false" ht="15" hidden="false" customHeight="false" outlineLevel="0" collapsed="false">
      <c r="A1844" s="9"/>
      <c r="B1844" s="9"/>
      <c r="C1844" s="11"/>
      <c r="D1844" s="9"/>
      <c r="E1844" s="9"/>
      <c r="F1844" s="22" t="str">
        <f aca="false">IF(E1844="","",IFERROR(INDEX(02_INDICADORES!$B$2:$B$42,MATCH(E1844,02_INDICADORES!$A$2:$A$42,0)),"ID?"))</f>
        <v/>
      </c>
      <c r="G1844" s="21" t="str">
        <f aca="false">IF(E1844="","",IFERROR(INDEX(02_INDICADORES!$C$2:$C$42,MATCH(E1844,02_INDICADORES!$A$2:$A$42,0)),"ID?"))</f>
        <v/>
      </c>
      <c r="H1844" s="22" t="str">
        <f aca="false">IF(E1844="","",IFERROR(INDEX(02_INDICADORES!$D$2:$D$42,MATCH(E1844,02_INDICADORES!$A$2:$A$42,0)),""))</f>
        <v/>
      </c>
      <c r="I1844" s="9"/>
      <c r="J1844" s="16" t="str">
        <f aca="false">IF(OR(I1844="",H1844=""),"",I1844*H1844)</f>
        <v/>
      </c>
      <c r="K1844" s="9"/>
      <c r="L1844" s="9"/>
      <c r="M1844" s="9"/>
    </row>
    <row r="1845" customFormat="false" ht="15" hidden="false" customHeight="false" outlineLevel="0" collapsed="false">
      <c r="A1845" s="9"/>
      <c r="B1845" s="9"/>
      <c r="C1845" s="11"/>
      <c r="D1845" s="9"/>
      <c r="E1845" s="9"/>
      <c r="F1845" s="22" t="str">
        <f aca="false">IF(E1845="","",IFERROR(INDEX(02_INDICADORES!$B$2:$B$42,MATCH(E1845,02_INDICADORES!$A$2:$A$42,0)),"ID?"))</f>
        <v/>
      </c>
      <c r="G1845" s="21" t="str">
        <f aca="false">IF(E1845="","",IFERROR(INDEX(02_INDICADORES!$C$2:$C$42,MATCH(E1845,02_INDICADORES!$A$2:$A$42,0)),"ID?"))</f>
        <v/>
      </c>
      <c r="H1845" s="22" t="str">
        <f aca="false">IF(E1845="","",IFERROR(INDEX(02_INDICADORES!$D$2:$D$42,MATCH(E1845,02_INDICADORES!$A$2:$A$42,0)),""))</f>
        <v/>
      </c>
      <c r="I1845" s="9"/>
      <c r="J1845" s="16" t="str">
        <f aca="false">IF(OR(I1845="",H1845=""),"",I1845*H1845)</f>
        <v/>
      </c>
      <c r="K1845" s="9"/>
      <c r="L1845" s="9"/>
      <c r="M1845" s="9"/>
    </row>
    <row r="1846" customFormat="false" ht="15" hidden="false" customHeight="false" outlineLevel="0" collapsed="false">
      <c r="A1846" s="9"/>
      <c r="B1846" s="9"/>
      <c r="C1846" s="11"/>
      <c r="D1846" s="9"/>
      <c r="E1846" s="9"/>
      <c r="F1846" s="22" t="str">
        <f aca="false">IF(E1846="","",IFERROR(INDEX(02_INDICADORES!$B$2:$B$42,MATCH(E1846,02_INDICADORES!$A$2:$A$42,0)),"ID?"))</f>
        <v/>
      </c>
      <c r="G1846" s="21" t="str">
        <f aca="false">IF(E1846="","",IFERROR(INDEX(02_INDICADORES!$C$2:$C$42,MATCH(E1846,02_INDICADORES!$A$2:$A$42,0)),"ID?"))</f>
        <v/>
      </c>
      <c r="H1846" s="22" t="str">
        <f aca="false">IF(E1846="","",IFERROR(INDEX(02_INDICADORES!$D$2:$D$42,MATCH(E1846,02_INDICADORES!$A$2:$A$42,0)),""))</f>
        <v/>
      </c>
      <c r="I1846" s="9"/>
      <c r="J1846" s="16" t="str">
        <f aca="false">IF(OR(I1846="",H1846=""),"",I1846*H1846)</f>
        <v/>
      </c>
      <c r="K1846" s="9"/>
      <c r="L1846" s="9"/>
      <c r="M1846" s="9"/>
    </row>
    <row r="1847" customFormat="false" ht="15" hidden="false" customHeight="false" outlineLevel="0" collapsed="false">
      <c r="A1847" s="9"/>
      <c r="B1847" s="9"/>
      <c r="C1847" s="11"/>
      <c r="D1847" s="9"/>
      <c r="E1847" s="9"/>
      <c r="F1847" s="22" t="str">
        <f aca="false">IF(E1847="","",IFERROR(INDEX(02_INDICADORES!$B$2:$B$42,MATCH(E1847,02_INDICADORES!$A$2:$A$42,0)),"ID?"))</f>
        <v/>
      </c>
      <c r="G1847" s="21" t="str">
        <f aca="false">IF(E1847="","",IFERROR(INDEX(02_INDICADORES!$C$2:$C$42,MATCH(E1847,02_INDICADORES!$A$2:$A$42,0)),"ID?"))</f>
        <v/>
      </c>
      <c r="H1847" s="22" t="str">
        <f aca="false">IF(E1847="","",IFERROR(INDEX(02_INDICADORES!$D$2:$D$42,MATCH(E1847,02_INDICADORES!$A$2:$A$42,0)),""))</f>
        <v/>
      </c>
      <c r="I1847" s="9"/>
      <c r="J1847" s="16" t="str">
        <f aca="false">IF(OR(I1847="",H1847=""),"",I1847*H1847)</f>
        <v/>
      </c>
      <c r="K1847" s="9"/>
      <c r="L1847" s="9"/>
      <c r="M1847" s="9"/>
    </row>
    <row r="1848" customFormat="false" ht="15" hidden="false" customHeight="false" outlineLevel="0" collapsed="false">
      <c r="A1848" s="9"/>
      <c r="B1848" s="9"/>
      <c r="C1848" s="11"/>
      <c r="D1848" s="9"/>
      <c r="E1848" s="9"/>
      <c r="F1848" s="22" t="str">
        <f aca="false">IF(E1848="","",IFERROR(INDEX(02_INDICADORES!$B$2:$B$42,MATCH(E1848,02_INDICADORES!$A$2:$A$42,0)),"ID?"))</f>
        <v/>
      </c>
      <c r="G1848" s="21" t="str">
        <f aca="false">IF(E1848="","",IFERROR(INDEX(02_INDICADORES!$C$2:$C$42,MATCH(E1848,02_INDICADORES!$A$2:$A$42,0)),"ID?"))</f>
        <v/>
      </c>
      <c r="H1848" s="22" t="str">
        <f aca="false">IF(E1848="","",IFERROR(INDEX(02_INDICADORES!$D$2:$D$42,MATCH(E1848,02_INDICADORES!$A$2:$A$42,0)),""))</f>
        <v/>
      </c>
      <c r="I1848" s="9"/>
      <c r="J1848" s="16" t="str">
        <f aca="false">IF(OR(I1848="",H1848=""),"",I1848*H1848)</f>
        <v/>
      </c>
      <c r="K1848" s="9"/>
      <c r="L1848" s="9"/>
      <c r="M1848" s="9"/>
    </row>
    <row r="1849" customFormat="false" ht="15" hidden="false" customHeight="false" outlineLevel="0" collapsed="false">
      <c r="A1849" s="9"/>
      <c r="B1849" s="9"/>
      <c r="C1849" s="11"/>
      <c r="D1849" s="9"/>
      <c r="E1849" s="9"/>
      <c r="F1849" s="22" t="str">
        <f aca="false">IF(E1849="","",IFERROR(INDEX(02_INDICADORES!$B$2:$B$42,MATCH(E1849,02_INDICADORES!$A$2:$A$42,0)),"ID?"))</f>
        <v/>
      </c>
      <c r="G1849" s="21" t="str">
        <f aca="false">IF(E1849="","",IFERROR(INDEX(02_INDICADORES!$C$2:$C$42,MATCH(E1849,02_INDICADORES!$A$2:$A$42,0)),"ID?"))</f>
        <v/>
      </c>
      <c r="H1849" s="22" t="str">
        <f aca="false">IF(E1849="","",IFERROR(INDEX(02_INDICADORES!$D$2:$D$42,MATCH(E1849,02_INDICADORES!$A$2:$A$42,0)),""))</f>
        <v/>
      </c>
      <c r="I1849" s="9"/>
      <c r="J1849" s="16" t="str">
        <f aca="false">IF(OR(I1849="",H1849=""),"",I1849*H1849)</f>
        <v/>
      </c>
      <c r="K1849" s="9"/>
      <c r="L1849" s="9"/>
      <c r="M1849" s="9"/>
    </row>
    <row r="1850" customFormat="false" ht="15" hidden="false" customHeight="false" outlineLevel="0" collapsed="false">
      <c r="A1850" s="9"/>
      <c r="B1850" s="9"/>
      <c r="C1850" s="11"/>
      <c r="D1850" s="9"/>
      <c r="E1850" s="9"/>
      <c r="F1850" s="22" t="str">
        <f aca="false">IF(E1850="","",IFERROR(INDEX(02_INDICADORES!$B$2:$B$42,MATCH(E1850,02_INDICADORES!$A$2:$A$42,0)),"ID?"))</f>
        <v/>
      </c>
      <c r="G1850" s="21" t="str">
        <f aca="false">IF(E1850="","",IFERROR(INDEX(02_INDICADORES!$C$2:$C$42,MATCH(E1850,02_INDICADORES!$A$2:$A$42,0)),"ID?"))</f>
        <v/>
      </c>
      <c r="H1850" s="22" t="str">
        <f aca="false">IF(E1850="","",IFERROR(INDEX(02_INDICADORES!$D$2:$D$42,MATCH(E1850,02_INDICADORES!$A$2:$A$42,0)),""))</f>
        <v/>
      </c>
      <c r="I1850" s="9"/>
      <c r="J1850" s="16" t="str">
        <f aca="false">IF(OR(I1850="",H1850=""),"",I1850*H1850)</f>
        <v/>
      </c>
      <c r="K1850" s="9"/>
      <c r="L1850" s="9"/>
      <c r="M1850" s="9"/>
    </row>
    <row r="1851" customFormat="false" ht="15" hidden="false" customHeight="false" outlineLevel="0" collapsed="false">
      <c r="A1851" s="9"/>
      <c r="B1851" s="9"/>
      <c r="C1851" s="11"/>
      <c r="D1851" s="9"/>
      <c r="E1851" s="9"/>
      <c r="F1851" s="22" t="str">
        <f aca="false">IF(E1851="","",IFERROR(INDEX(02_INDICADORES!$B$2:$B$42,MATCH(E1851,02_INDICADORES!$A$2:$A$42,0)),"ID?"))</f>
        <v/>
      </c>
      <c r="G1851" s="21" t="str">
        <f aca="false">IF(E1851="","",IFERROR(INDEX(02_INDICADORES!$C$2:$C$42,MATCH(E1851,02_INDICADORES!$A$2:$A$42,0)),"ID?"))</f>
        <v/>
      </c>
      <c r="H1851" s="22" t="str">
        <f aca="false">IF(E1851="","",IFERROR(INDEX(02_INDICADORES!$D$2:$D$42,MATCH(E1851,02_INDICADORES!$A$2:$A$42,0)),""))</f>
        <v/>
      </c>
      <c r="I1851" s="9"/>
      <c r="J1851" s="16" t="str">
        <f aca="false">IF(OR(I1851="",H1851=""),"",I1851*H1851)</f>
        <v/>
      </c>
      <c r="K1851" s="9"/>
      <c r="L1851" s="9"/>
      <c r="M1851" s="9"/>
    </row>
    <row r="1852" customFormat="false" ht="15" hidden="false" customHeight="false" outlineLevel="0" collapsed="false">
      <c r="A1852" s="9"/>
      <c r="B1852" s="9"/>
      <c r="C1852" s="11"/>
      <c r="D1852" s="9"/>
      <c r="E1852" s="9"/>
      <c r="F1852" s="22" t="str">
        <f aca="false">IF(E1852="","",IFERROR(INDEX(02_INDICADORES!$B$2:$B$42,MATCH(E1852,02_INDICADORES!$A$2:$A$42,0)),"ID?"))</f>
        <v/>
      </c>
      <c r="G1852" s="21" t="str">
        <f aca="false">IF(E1852="","",IFERROR(INDEX(02_INDICADORES!$C$2:$C$42,MATCH(E1852,02_INDICADORES!$A$2:$A$42,0)),"ID?"))</f>
        <v/>
      </c>
      <c r="H1852" s="22" t="str">
        <f aca="false">IF(E1852="","",IFERROR(INDEX(02_INDICADORES!$D$2:$D$42,MATCH(E1852,02_INDICADORES!$A$2:$A$42,0)),""))</f>
        <v/>
      </c>
      <c r="I1852" s="9"/>
      <c r="J1852" s="16" t="str">
        <f aca="false">IF(OR(I1852="",H1852=""),"",I1852*H1852)</f>
        <v/>
      </c>
      <c r="K1852" s="9"/>
      <c r="L1852" s="9"/>
      <c r="M1852" s="9"/>
    </row>
    <row r="1853" customFormat="false" ht="15" hidden="false" customHeight="false" outlineLevel="0" collapsed="false">
      <c r="A1853" s="9"/>
      <c r="B1853" s="9"/>
      <c r="C1853" s="11"/>
      <c r="D1853" s="9"/>
      <c r="E1853" s="9"/>
      <c r="F1853" s="22" t="str">
        <f aca="false">IF(E1853="","",IFERROR(INDEX(02_INDICADORES!$B$2:$B$42,MATCH(E1853,02_INDICADORES!$A$2:$A$42,0)),"ID?"))</f>
        <v/>
      </c>
      <c r="G1853" s="21" t="str">
        <f aca="false">IF(E1853="","",IFERROR(INDEX(02_INDICADORES!$C$2:$C$42,MATCH(E1853,02_INDICADORES!$A$2:$A$42,0)),"ID?"))</f>
        <v/>
      </c>
      <c r="H1853" s="22" t="str">
        <f aca="false">IF(E1853="","",IFERROR(INDEX(02_INDICADORES!$D$2:$D$42,MATCH(E1853,02_INDICADORES!$A$2:$A$42,0)),""))</f>
        <v/>
      </c>
      <c r="I1853" s="9"/>
      <c r="J1853" s="16" t="str">
        <f aca="false">IF(OR(I1853="",H1853=""),"",I1853*H1853)</f>
        <v/>
      </c>
      <c r="K1853" s="9"/>
      <c r="L1853" s="9"/>
      <c r="M1853" s="9"/>
    </row>
    <row r="1854" customFormat="false" ht="15" hidden="false" customHeight="false" outlineLevel="0" collapsed="false">
      <c r="A1854" s="9"/>
      <c r="B1854" s="9"/>
      <c r="C1854" s="11"/>
      <c r="D1854" s="9"/>
      <c r="E1854" s="9"/>
      <c r="F1854" s="22" t="str">
        <f aca="false">IF(E1854="","",IFERROR(INDEX(02_INDICADORES!$B$2:$B$42,MATCH(E1854,02_INDICADORES!$A$2:$A$42,0)),"ID?"))</f>
        <v/>
      </c>
      <c r="G1854" s="21" t="str">
        <f aca="false">IF(E1854="","",IFERROR(INDEX(02_INDICADORES!$C$2:$C$42,MATCH(E1854,02_INDICADORES!$A$2:$A$42,0)),"ID?"))</f>
        <v/>
      </c>
      <c r="H1854" s="22" t="str">
        <f aca="false">IF(E1854="","",IFERROR(INDEX(02_INDICADORES!$D$2:$D$42,MATCH(E1854,02_INDICADORES!$A$2:$A$42,0)),""))</f>
        <v/>
      </c>
      <c r="I1854" s="9"/>
      <c r="J1854" s="16" t="str">
        <f aca="false">IF(OR(I1854="",H1854=""),"",I1854*H1854)</f>
        <v/>
      </c>
      <c r="K1854" s="9"/>
      <c r="L1854" s="9"/>
      <c r="M1854" s="9"/>
    </row>
    <row r="1855" customFormat="false" ht="15" hidden="false" customHeight="false" outlineLevel="0" collapsed="false">
      <c r="A1855" s="9"/>
      <c r="B1855" s="9"/>
      <c r="C1855" s="11"/>
      <c r="D1855" s="9"/>
      <c r="E1855" s="9"/>
      <c r="F1855" s="22" t="str">
        <f aca="false">IF(E1855="","",IFERROR(INDEX(02_INDICADORES!$B$2:$B$42,MATCH(E1855,02_INDICADORES!$A$2:$A$42,0)),"ID?"))</f>
        <v/>
      </c>
      <c r="G1855" s="21" t="str">
        <f aca="false">IF(E1855="","",IFERROR(INDEX(02_INDICADORES!$C$2:$C$42,MATCH(E1855,02_INDICADORES!$A$2:$A$42,0)),"ID?"))</f>
        <v/>
      </c>
      <c r="H1855" s="22" t="str">
        <f aca="false">IF(E1855="","",IFERROR(INDEX(02_INDICADORES!$D$2:$D$42,MATCH(E1855,02_INDICADORES!$A$2:$A$42,0)),""))</f>
        <v/>
      </c>
      <c r="I1855" s="9"/>
      <c r="J1855" s="16" t="str">
        <f aca="false">IF(OR(I1855="",H1855=""),"",I1855*H1855)</f>
        <v/>
      </c>
      <c r="K1855" s="9"/>
      <c r="L1855" s="9"/>
      <c r="M1855" s="9"/>
    </row>
    <row r="1856" customFormat="false" ht="15" hidden="false" customHeight="false" outlineLevel="0" collapsed="false">
      <c r="A1856" s="9"/>
      <c r="B1856" s="9"/>
      <c r="C1856" s="11"/>
      <c r="D1856" s="9"/>
      <c r="E1856" s="9"/>
      <c r="F1856" s="22" t="str">
        <f aca="false">IF(E1856="","",IFERROR(INDEX(02_INDICADORES!$B$2:$B$42,MATCH(E1856,02_INDICADORES!$A$2:$A$42,0)),"ID?"))</f>
        <v/>
      </c>
      <c r="G1856" s="21" t="str">
        <f aca="false">IF(E1856="","",IFERROR(INDEX(02_INDICADORES!$C$2:$C$42,MATCH(E1856,02_INDICADORES!$A$2:$A$42,0)),"ID?"))</f>
        <v/>
      </c>
      <c r="H1856" s="22" t="str">
        <f aca="false">IF(E1856="","",IFERROR(INDEX(02_INDICADORES!$D$2:$D$42,MATCH(E1856,02_INDICADORES!$A$2:$A$42,0)),""))</f>
        <v/>
      </c>
      <c r="I1856" s="9"/>
      <c r="J1856" s="16" t="str">
        <f aca="false">IF(OR(I1856="",H1856=""),"",I1856*H1856)</f>
        <v/>
      </c>
      <c r="K1856" s="9"/>
      <c r="L1856" s="9"/>
      <c r="M1856" s="9"/>
    </row>
    <row r="1857" customFormat="false" ht="15" hidden="false" customHeight="false" outlineLevel="0" collapsed="false">
      <c r="A1857" s="9"/>
      <c r="B1857" s="9"/>
      <c r="C1857" s="11"/>
      <c r="D1857" s="9"/>
      <c r="E1857" s="9"/>
      <c r="F1857" s="22" t="str">
        <f aca="false">IF(E1857="","",IFERROR(INDEX(02_INDICADORES!$B$2:$B$42,MATCH(E1857,02_INDICADORES!$A$2:$A$42,0)),"ID?"))</f>
        <v/>
      </c>
      <c r="G1857" s="21" t="str">
        <f aca="false">IF(E1857="","",IFERROR(INDEX(02_INDICADORES!$C$2:$C$42,MATCH(E1857,02_INDICADORES!$A$2:$A$42,0)),"ID?"))</f>
        <v/>
      </c>
      <c r="H1857" s="22" t="str">
        <f aca="false">IF(E1857="","",IFERROR(INDEX(02_INDICADORES!$D$2:$D$42,MATCH(E1857,02_INDICADORES!$A$2:$A$42,0)),""))</f>
        <v/>
      </c>
      <c r="I1857" s="9"/>
      <c r="J1857" s="16" t="str">
        <f aca="false">IF(OR(I1857="",H1857=""),"",I1857*H1857)</f>
        <v/>
      </c>
      <c r="K1857" s="9"/>
      <c r="L1857" s="9"/>
      <c r="M1857" s="9"/>
    </row>
    <row r="1858" customFormat="false" ht="15" hidden="false" customHeight="false" outlineLevel="0" collapsed="false">
      <c r="A1858" s="9"/>
      <c r="B1858" s="9"/>
      <c r="C1858" s="11"/>
      <c r="D1858" s="9"/>
      <c r="E1858" s="9"/>
      <c r="F1858" s="22" t="str">
        <f aca="false">IF(E1858="","",IFERROR(INDEX(02_INDICADORES!$B$2:$B$42,MATCH(E1858,02_INDICADORES!$A$2:$A$42,0)),"ID?"))</f>
        <v/>
      </c>
      <c r="G1858" s="21" t="str">
        <f aca="false">IF(E1858="","",IFERROR(INDEX(02_INDICADORES!$C$2:$C$42,MATCH(E1858,02_INDICADORES!$A$2:$A$42,0)),"ID?"))</f>
        <v/>
      </c>
      <c r="H1858" s="22" t="str">
        <f aca="false">IF(E1858="","",IFERROR(INDEX(02_INDICADORES!$D$2:$D$42,MATCH(E1858,02_INDICADORES!$A$2:$A$42,0)),""))</f>
        <v/>
      </c>
      <c r="I1858" s="9"/>
      <c r="J1858" s="16" t="str">
        <f aca="false">IF(OR(I1858="",H1858=""),"",I1858*H1858)</f>
        <v/>
      </c>
      <c r="K1858" s="9"/>
      <c r="L1858" s="9"/>
      <c r="M1858" s="9"/>
    </row>
    <row r="1859" customFormat="false" ht="15" hidden="false" customHeight="false" outlineLevel="0" collapsed="false">
      <c r="A1859" s="9"/>
      <c r="B1859" s="9"/>
      <c r="C1859" s="11"/>
      <c r="D1859" s="9"/>
      <c r="E1859" s="9"/>
      <c r="F1859" s="22" t="str">
        <f aca="false">IF(E1859="","",IFERROR(INDEX(02_INDICADORES!$B$2:$B$42,MATCH(E1859,02_INDICADORES!$A$2:$A$42,0)),"ID?"))</f>
        <v/>
      </c>
      <c r="G1859" s="21" t="str">
        <f aca="false">IF(E1859="","",IFERROR(INDEX(02_INDICADORES!$C$2:$C$42,MATCH(E1859,02_INDICADORES!$A$2:$A$42,0)),"ID?"))</f>
        <v/>
      </c>
      <c r="H1859" s="22" t="str">
        <f aca="false">IF(E1859="","",IFERROR(INDEX(02_INDICADORES!$D$2:$D$42,MATCH(E1859,02_INDICADORES!$A$2:$A$42,0)),""))</f>
        <v/>
      </c>
      <c r="I1859" s="9"/>
      <c r="J1859" s="16" t="str">
        <f aca="false">IF(OR(I1859="",H1859=""),"",I1859*H1859)</f>
        <v/>
      </c>
      <c r="K1859" s="9"/>
      <c r="L1859" s="9"/>
      <c r="M1859" s="9"/>
    </row>
    <row r="1860" customFormat="false" ht="15" hidden="false" customHeight="false" outlineLevel="0" collapsed="false">
      <c r="A1860" s="9"/>
      <c r="B1860" s="9"/>
      <c r="C1860" s="11"/>
      <c r="D1860" s="9"/>
      <c r="E1860" s="9"/>
      <c r="F1860" s="22" t="str">
        <f aca="false">IF(E1860="","",IFERROR(INDEX(02_INDICADORES!$B$2:$B$42,MATCH(E1860,02_INDICADORES!$A$2:$A$42,0)),"ID?"))</f>
        <v/>
      </c>
      <c r="G1860" s="21" t="str">
        <f aca="false">IF(E1860="","",IFERROR(INDEX(02_INDICADORES!$C$2:$C$42,MATCH(E1860,02_INDICADORES!$A$2:$A$42,0)),"ID?"))</f>
        <v/>
      </c>
      <c r="H1860" s="22" t="str">
        <f aca="false">IF(E1860="","",IFERROR(INDEX(02_INDICADORES!$D$2:$D$42,MATCH(E1860,02_INDICADORES!$A$2:$A$42,0)),""))</f>
        <v/>
      </c>
      <c r="I1860" s="9"/>
      <c r="J1860" s="16" t="str">
        <f aca="false">IF(OR(I1860="",H1860=""),"",I1860*H1860)</f>
        <v/>
      </c>
      <c r="K1860" s="9"/>
      <c r="L1860" s="9"/>
      <c r="M1860" s="9"/>
    </row>
    <row r="1861" customFormat="false" ht="15" hidden="false" customHeight="false" outlineLevel="0" collapsed="false">
      <c r="A1861" s="9"/>
      <c r="B1861" s="9"/>
      <c r="C1861" s="11"/>
      <c r="D1861" s="9"/>
      <c r="E1861" s="9"/>
      <c r="F1861" s="22" t="str">
        <f aca="false">IF(E1861="","",IFERROR(INDEX(02_INDICADORES!$B$2:$B$42,MATCH(E1861,02_INDICADORES!$A$2:$A$42,0)),"ID?"))</f>
        <v/>
      </c>
      <c r="G1861" s="21" t="str">
        <f aca="false">IF(E1861="","",IFERROR(INDEX(02_INDICADORES!$C$2:$C$42,MATCH(E1861,02_INDICADORES!$A$2:$A$42,0)),"ID?"))</f>
        <v/>
      </c>
      <c r="H1861" s="22" t="str">
        <f aca="false">IF(E1861="","",IFERROR(INDEX(02_INDICADORES!$D$2:$D$42,MATCH(E1861,02_INDICADORES!$A$2:$A$42,0)),""))</f>
        <v/>
      </c>
      <c r="I1861" s="9"/>
      <c r="J1861" s="16" t="str">
        <f aca="false">IF(OR(I1861="",H1861=""),"",I1861*H1861)</f>
        <v/>
      </c>
      <c r="K1861" s="9"/>
      <c r="L1861" s="9"/>
      <c r="M1861" s="9"/>
    </row>
    <row r="1862" customFormat="false" ht="15" hidden="false" customHeight="false" outlineLevel="0" collapsed="false">
      <c r="A1862" s="9"/>
      <c r="B1862" s="9"/>
      <c r="C1862" s="11"/>
      <c r="D1862" s="9"/>
      <c r="E1862" s="9"/>
      <c r="F1862" s="22" t="str">
        <f aca="false">IF(E1862="","",IFERROR(INDEX(02_INDICADORES!$B$2:$B$42,MATCH(E1862,02_INDICADORES!$A$2:$A$42,0)),"ID?"))</f>
        <v/>
      </c>
      <c r="G1862" s="21" t="str">
        <f aca="false">IF(E1862="","",IFERROR(INDEX(02_INDICADORES!$C$2:$C$42,MATCH(E1862,02_INDICADORES!$A$2:$A$42,0)),"ID?"))</f>
        <v/>
      </c>
      <c r="H1862" s="22" t="str">
        <f aca="false">IF(E1862="","",IFERROR(INDEX(02_INDICADORES!$D$2:$D$42,MATCH(E1862,02_INDICADORES!$A$2:$A$42,0)),""))</f>
        <v/>
      </c>
      <c r="I1862" s="9"/>
      <c r="J1862" s="16" t="str">
        <f aca="false">IF(OR(I1862="",H1862=""),"",I1862*H1862)</f>
        <v/>
      </c>
      <c r="K1862" s="9"/>
      <c r="L1862" s="9"/>
      <c r="M1862" s="9"/>
    </row>
    <row r="1863" customFormat="false" ht="15" hidden="false" customHeight="false" outlineLevel="0" collapsed="false">
      <c r="A1863" s="9"/>
      <c r="B1863" s="9"/>
      <c r="C1863" s="11"/>
      <c r="D1863" s="9"/>
      <c r="E1863" s="9"/>
      <c r="F1863" s="22" t="str">
        <f aca="false">IF(E1863="","",IFERROR(INDEX(02_INDICADORES!$B$2:$B$42,MATCH(E1863,02_INDICADORES!$A$2:$A$42,0)),"ID?"))</f>
        <v/>
      </c>
      <c r="G1863" s="21" t="str">
        <f aca="false">IF(E1863="","",IFERROR(INDEX(02_INDICADORES!$C$2:$C$42,MATCH(E1863,02_INDICADORES!$A$2:$A$42,0)),"ID?"))</f>
        <v/>
      </c>
      <c r="H1863" s="22" t="str">
        <f aca="false">IF(E1863="","",IFERROR(INDEX(02_INDICADORES!$D$2:$D$42,MATCH(E1863,02_INDICADORES!$A$2:$A$42,0)),""))</f>
        <v/>
      </c>
      <c r="I1863" s="9"/>
      <c r="J1863" s="16" t="str">
        <f aca="false">IF(OR(I1863="",H1863=""),"",I1863*H1863)</f>
        <v/>
      </c>
      <c r="K1863" s="9"/>
      <c r="L1863" s="9"/>
      <c r="M1863" s="9"/>
    </row>
    <row r="1864" customFormat="false" ht="15" hidden="false" customHeight="false" outlineLevel="0" collapsed="false">
      <c r="A1864" s="9"/>
      <c r="B1864" s="9"/>
      <c r="C1864" s="11"/>
      <c r="D1864" s="9"/>
      <c r="E1864" s="9"/>
      <c r="F1864" s="22" t="str">
        <f aca="false">IF(E1864="","",IFERROR(INDEX(02_INDICADORES!$B$2:$B$42,MATCH(E1864,02_INDICADORES!$A$2:$A$42,0)),"ID?"))</f>
        <v/>
      </c>
      <c r="G1864" s="21" t="str">
        <f aca="false">IF(E1864="","",IFERROR(INDEX(02_INDICADORES!$C$2:$C$42,MATCH(E1864,02_INDICADORES!$A$2:$A$42,0)),"ID?"))</f>
        <v/>
      </c>
      <c r="H1864" s="22" t="str">
        <f aca="false">IF(E1864="","",IFERROR(INDEX(02_INDICADORES!$D$2:$D$42,MATCH(E1864,02_INDICADORES!$A$2:$A$42,0)),""))</f>
        <v/>
      </c>
      <c r="I1864" s="9"/>
      <c r="J1864" s="16" t="str">
        <f aca="false">IF(OR(I1864="",H1864=""),"",I1864*H1864)</f>
        <v/>
      </c>
      <c r="K1864" s="9"/>
      <c r="L1864" s="9"/>
      <c r="M1864" s="9"/>
    </row>
    <row r="1865" customFormat="false" ht="15" hidden="false" customHeight="false" outlineLevel="0" collapsed="false">
      <c r="A1865" s="9"/>
      <c r="B1865" s="9"/>
      <c r="C1865" s="11"/>
      <c r="D1865" s="9"/>
      <c r="E1865" s="9"/>
      <c r="F1865" s="22" t="str">
        <f aca="false">IF(E1865="","",IFERROR(INDEX(02_INDICADORES!$B$2:$B$42,MATCH(E1865,02_INDICADORES!$A$2:$A$42,0)),"ID?"))</f>
        <v/>
      </c>
      <c r="G1865" s="21" t="str">
        <f aca="false">IF(E1865="","",IFERROR(INDEX(02_INDICADORES!$C$2:$C$42,MATCH(E1865,02_INDICADORES!$A$2:$A$42,0)),"ID?"))</f>
        <v/>
      </c>
      <c r="H1865" s="22" t="str">
        <f aca="false">IF(E1865="","",IFERROR(INDEX(02_INDICADORES!$D$2:$D$42,MATCH(E1865,02_INDICADORES!$A$2:$A$42,0)),""))</f>
        <v/>
      </c>
      <c r="I1865" s="9"/>
      <c r="J1865" s="16" t="str">
        <f aca="false">IF(OR(I1865="",H1865=""),"",I1865*H1865)</f>
        <v/>
      </c>
      <c r="K1865" s="9"/>
      <c r="L1865" s="9"/>
      <c r="M1865" s="9"/>
    </row>
    <row r="1866" customFormat="false" ht="15" hidden="false" customHeight="false" outlineLevel="0" collapsed="false">
      <c r="A1866" s="9"/>
      <c r="B1866" s="9"/>
      <c r="C1866" s="11"/>
      <c r="D1866" s="9"/>
      <c r="E1866" s="9"/>
      <c r="F1866" s="22" t="str">
        <f aca="false">IF(E1866="","",IFERROR(INDEX(02_INDICADORES!$B$2:$B$42,MATCH(E1866,02_INDICADORES!$A$2:$A$42,0)),"ID?"))</f>
        <v/>
      </c>
      <c r="G1866" s="21" t="str">
        <f aca="false">IF(E1866="","",IFERROR(INDEX(02_INDICADORES!$C$2:$C$42,MATCH(E1866,02_INDICADORES!$A$2:$A$42,0)),"ID?"))</f>
        <v/>
      </c>
      <c r="H1866" s="22" t="str">
        <f aca="false">IF(E1866="","",IFERROR(INDEX(02_INDICADORES!$D$2:$D$42,MATCH(E1866,02_INDICADORES!$A$2:$A$42,0)),""))</f>
        <v/>
      </c>
      <c r="I1866" s="9"/>
      <c r="J1866" s="16" t="str">
        <f aca="false">IF(OR(I1866="",H1866=""),"",I1866*H1866)</f>
        <v/>
      </c>
      <c r="K1866" s="9"/>
      <c r="L1866" s="9"/>
      <c r="M1866" s="9"/>
    </row>
    <row r="1867" customFormat="false" ht="15" hidden="false" customHeight="false" outlineLevel="0" collapsed="false">
      <c r="A1867" s="9"/>
      <c r="B1867" s="9"/>
      <c r="C1867" s="11"/>
      <c r="D1867" s="9"/>
      <c r="E1867" s="9"/>
      <c r="F1867" s="22" t="str">
        <f aca="false">IF(E1867="","",IFERROR(INDEX(02_INDICADORES!$B$2:$B$42,MATCH(E1867,02_INDICADORES!$A$2:$A$42,0)),"ID?"))</f>
        <v/>
      </c>
      <c r="G1867" s="21" t="str">
        <f aca="false">IF(E1867="","",IFERROR(INDEX(02_INDICADORES!$C$2:$C$42,MATCH(E1867,02_INDICADORES!$A$2:$A$42,0)),"ID?"))</f>
        <v/>
      </c>
      <c r="H1867" s="22" t="str">
        <f aca="false">IF(E1867="","",IFERROR(INDEX(02_INDICADORES!$D$2:$D$42,MATCH(E1867,02_INDICADORES!$A$2:$A$42,0)),""))</f>
        <v/>
      </c>
      <c r="I1867" s="9"/>
      <c r="J1867" s="16" t="str">
        <f aca="false">IF(OR(I1867="",H1867=""),"",I1867*H1867)</f>
        <v/>
      </c>
      <c r="K1867" s="9"/>
      <c r="L1867" s="9"/>
      <c r="M1867" s="9"/>
    </row>
    <row r="1868" customFormat="false" ht="15" hidden="false" customHeight="false" outlineLevel="0" collapsed="false">
      <c r="A1868" s="9"/>
      <c r="B1868" s="9"/>
      <c r="C1868" s="11"/>
      <c r="D1868" s="9"/>
      <c r="E1868" s="9"/>
      <c r="F1868" s="22" t="str">
        <f aca="false">IF(E1868="","",IFERROR(INDEX(02_INDICADORES!$B$2:$B$42,MATCH(E1868,02_INDICADORES!$A$2:$A$42,0)),"ID?"))</f>
        <v/>
      </c>
      <c r="G1868" s="21" t="str">
        <f aca="false">IF(E1868="","",IFERROR(INDEX(02_INDICADORES!$C$2:$C$42,MATCH(E1868,02_INDICADORES!$A$2:$A$42,0)),"ID?"))</f>
        <v/>
      </c>
      <c r="H1868" s="22" t="str">
        <f aca="false">IF(E1868="","",IFERROR(INDEX(02_INDICADORES!$D$2:$D$42,MATCH(E1868,02_INDICADORES!$A$2:$A$42,0)),""))</f>
        <v/>
      </c>
      <c r="I1868" s="9"/>
      <c r="J1868" s="16" t="str">
        <f aca="false">IF(OR(I1868="",H1868=""),"",I1868*H1868)</f>
        <v/>
      </c>
      <c r="K1868" s="9"/>
      <c r="L1868" s="9"/>
      <c r="M1868" s="9"/>
    </row>
    <row r="1869" customFormat="false" ht="15" hidden="false" customHeight="false" outlineLevel="0" collapsed="false">
      <c r="A1869" s="9"/>
      <c r="B1869" s="9"/>
      <c r="C1869" s="11"/>
      <c r="D1869" s="9"/>
      <c r="E1869" s="9"/>
      <c r="F1869" s="22" t="str">
        <f aca="false">IF(E1869="","",IFERROR(INDEX(02_INDICADORES!$B$2:$B$42,MATCH(E1869,02_INDICADORES!$A$2:$A$42,0)),"ID?"))</f>
        <v/>
      </c>
      <c r="G1869" s="21" t="str">
        <f aca="false">IF(E1869="","",IFERROR(INDEX(02_INDICADORES!$C$2:$C$42,MATCH(E1869,02_INDICADORES!$A$2:$A$42,0)),"ID?"))</f>
        <v/>
      </c>
      <c r="H1869" s="22" t="str">
        <f aca="false">IF(E1869="","",IFERROR(INDEX(02_INDICADORES!$D$2:$D$42,MATCH(E1869,02_INDICADORES!$A$2:$A$42,0)),""))</f>
        <v/>
      </c>
      <c r="I1869" s="9"/>
      <c r="J1869" s="16" t="str">
        <f aca="false">IF(OR(I1869="",H1869=""),"",I1869*H1869)</f>
        <v/>
      </c>
      <c r="K1869" s="9"/>
      <c r="L1869" s="9"/>
      <c r="M1869" s="9"/>
    </row>
    <row r="1870" customFormat="false" ht="15" hidden="false" customHeight="false" outlineLevel="0" collapsed="false">
      <c r="A1870" s="9"/>
      <c r="B1870" s="9"/>
      <c r="C1870" s="11"/>
      <c r="D1870" s="9"/>
      <c r="E1870" s="9"/>
      <c r="F1870" s="22" t="str">
        <f aca="false">IF(E1870="","",IFERROR(INDEX(02_INDICADORES!$B$2:$B$42,MATCH(E1870,02_INDICADORES!$A$2:$A$42,0)),"ID?"))</f>
        <v/>
      </c>
      <c r="G1870" s="21" t="str">
        <f aca="false">IF(E1870="","",IFERROR(INDEX(02_INDICADORES!$C$2:$C$42,MATCH(E1870,02_INDICADORES!$A$2:$A$42,0)),"ID?"))</f>
        <v/>
      </c>
      <c r="H1870" s="22" t="str">
        <f aca="false">IF(E1870="","",IFERROR(INDEX(02_INDICADORES!$D$2:$D$42,MATCH(E1870,02_INDICADORES!$A$2:$A$42,0)),""))</f>
        <v/>
      </c>
      <c r="I1870" s="9"/>
      <c r="J1870" s="16" t="str">
        <f aca="false">IF(OR(I1870="",H1870=""),"",I1870*H1870)</f>
        <v/>
      </c>
      <c r="K1870" s="9"/>
      <c r="L1870" s="9"/>
      <c r="M1870" s="9"/>
    </row>
    <row r="1871" customFormat="false" ht="15" hidden="false" customHeight="false" outlineLevel="0" collapsed="false">
      <c r="A1871" s="9"/>
      <c r="B1871" s="9"/>
      <c r="C1871" s="11"/>
      <c r="D1871" s="9"/>
      <c r="E1871" s="9"/>
      <c r="F1871" s="22" t="str">
        <f aca="false">IF(E1871="","",IFERROR(INDEX(02_INDICADORES!$B$2:$B$42,MATCH(E1871,02_INDICADORES!$A$2:$A$42,0)),"ID?"))</f>
        <v/>
      </c>
      <c r="G1871" s="21" t="str">
        <f aca="false">IF(E1871="","",IFERROR(INDEX(02_INDICADORES!$C$2:$C$42,MATCH(E1871,02_INDICADORES!$A$2:$A$42,0)),"ID?"))</f>
        <v/>
      </c>
      <c r="H1871" s="22" t="str">
        <f aca="false">IF(E1871="","",IFERROR(INDEX(02_INDICADORES!$D$2:$D$42,MATCH(E1871,02_INDICADORES!$A$2:$A$42,0)),""))</f>
        <v/>
      </c>
      <c r="I1871" s="9"/>
      <c r="J1871" s="16" t="str">
        <f aca="false">IF(OR(I1871="",H1871=""),"",I1871*H1871)</f>
        <v/>
      </c>
      <c r="K1871" s="9"/>
      <c r="L1871" s="9"/>
      <c r="M1871" s="9"/>
    </row>
    <row r="1872" customFormat="false" ht="15" hidden="false" customHeight="false" outlineLevel="0" collapsed="false">
      <c r="A1872" s="9"/>
      <c r="B1872" s="9"/>
      <c r="C1872" s="11"/>
      <c r="D1872" s="9"/>
      <c r="E1872" s="9"/>
      <c r="F1872" s="22" t="str">
        <f aca="false">IF(E1872="","",IFERROR(INDEX(02_INDICADORES!$B$2:$B$42,MATCH(E1872,02_INDICADORES!$A$2:$A$42,0)),"ID?"))</f>
        <v/>
      </c>
      <c r="G1872" s="21" t="str">
        <f aca="false">IF(E1872="","",IFERROR(INDEX(02_INDICADORES!$C$2:$C$42,MATCH(E1872,02_INDICADORES!$A$2:$A$42,0)),"ID?"))</f>
        <v/>
      </c>
      <c r="H1872" s="22" t="str">
        <f aca="false">IF(E1872="","",IFERROR(INDEX(02_INDICADORES!$D$2:$D$42,MATCH(E1872,02_INDICADORES!$A$2:$A$42,0)),""))</f>
        <v/>
      </c>
      <c r="I1872" s="9"/>
      <c r="J1872" s="16" t="str">
        <f aca="false">IF(OR(I1872="",H1872=""),"",I1872*H1872)</f>
        <v/>
      </c>
      <c r="K1872" s="9"/>
      <c r="L1872" s="9"/>
      <c r="M1872" s="9"/>
    </row>
    <row r="1873" customFormat="false" ht="15" hidden="false" customHeight="false" outlineLevel="0" collapsed="false">
      <c r="A1873" s="9"/>
      <c r="B1873" s="9"/>
      <c r="C1873" s="11"/>
      <c r="D1873" s="9"/>
      <c r="E1873" s="9"/>
      <c r="F1873" s="22" t="str">
        <f aca="false">IF(E1873="","",IFERROR(INDEX(02_INDICADORES!$B$2:$B$42,MATCH(E1873,02_INDICADORES!$A$2:$A$42,0)),"ID?"))</f>
        <v/>
      </c>
      <c r="G1873" s="21" t="str">
        <f aca="false">IF(E1873="","",IFERROR(INDEX(02_INDICADORES!$C$2:$C$42,MATCH(E1873,02_INDICADORES!$A$2:$A$42,0)),"ID?"))</f>
        <v/>
      </c>
      <c r="H1873" s="22" t="str">
        <f aca="false">IF(E1873="","",IFERROR(INDEX(02_INDICADORES!$D$2:$D$42,MATCH(E1873,02_INDICADORES!$A$2:$A$42,0)),""))</f>
        <v/>
      </c>
      <c r="I1873" s="9"/>
      <c r="J1873" s="16" t="str">
        <f aca="false">IF(OR(I1873="",H1873=""),"",I1873*H1873)</f>
        <v/>
      </c>
      <c r="K1873" s="9"/>
      <c r="L1873" s="9"/>
      <c r="M1873" s="9"/>
    </row>
    <row r="1874" customFormat="false" ht="15" hidden="false" customHeight="false" outlineLevel="0" collapsed="false">
      <c r="A1874" s="9"/>
      <c r="B1874" s="9"/>
      <c r="C1874" s="11"/>
      <c r="D1874" s="9"/>
      <c r="E1874" s="9"/>
      <c r="F1874" s="22" t="str">
        <f aca="false">IF(E1874="","",IFERROR(INDEX(02_INDICADORES!$B$2:$B$42,MATCH(E1874,02_INDICADORES!$A$2:$A$42,0)),"ID?"))</f>
        <v/>
      </c>
      <c r="G1874" s="21" t="str">
        <f aca="false">IF(E1874="","",IFERROR(INDEX(02_INDICADORES!$C$2:$C$42,MATCH(E1874,02_INDICADORES!$A$2:$A$42,0)),"ID?"))</f>
        <v/>
      </c>
      <c r="H1874" s="22" t="str">
        <f aca="false">IF(E1874="","",IFERROR(INDEX(02_INDICADORES!$D$2:$D$42,MATCH(E1874,02_INDICADORES!$A$2:$A$42,0)),""))</f>
        <v/>
      </c>
      <c r="I1874" s="9"/>
      <c r="J1874" s="16" t="str">
        <f aca="false">IF(OR(I1874="",H1874=""),"",I1874*H1874)</f>
        <v/>
      </c>
      <c r="K1874" s="9"/>
      <c r="L1874" s="9"/>
      <c r="M1874" s="9"/>
    </row>
    <row r="1875" customFormat="false" ht="15" hidden="false" customHeight="false" outlineLevel="0" collapsed="false">
      <c r="A1875" s="9"/>
      <c r="B1875" s="9"/>
      <c r="C1875" s="11"/>
      <c r="D1875" s="9"/>
      <c r="E1875" s="9"/>
      <c r="F1875" s="22" t="str">
        <f aca="false">IF(E1875="","",IFERROR(INDEX(02_INDICADORES!$B$2:$B$42,MATCH(E1875,02_INDICADORES!$A$2:$A$42,0)),"ID?"))</f>
        <v/>
      </c>
      <c r="G1875" s="21" t="str">
        <f aca="false">IF(E1875="","",IFERROR(INDEX(02_INDICADORES!$C$2:$C$42,MATCH(E1875,02_INDICADORES!$A$2:$A$42,0)),"ID?"))</f>
        <v/>
      </c>
      <c r="H1875" s="22" t="str">
        <f aca="false">IF(E1875="","",IFERROR(INDEX(02_INDICADORES!$D$2:$D$42,MATCH(E1875,02_INDICADORES!$A$2:$A$42,0)),""))</f>
        <v/>
      </c>
      <c r="I1875" s="9"/>
      <c r="J1875" s="16" t="str">
        <f aca="false">IF(OR(I1875="",H1875=""),"",I1875*H1875)</f>
        <v/>
      </c>
      <c r="K1875" s="9"/>
      <c r="L1875" s="9"/>
      <c r="M1875" s="9"/>
    </row>
    <row r="1876" customFormat="false" ht="15" hidden="false" customHeight="false" outlineLevel="0" collapsed="false">
      <c r="A1876" s="9"/>
      <c r="B1876" s="9"/>
      <c r="C1876" s="11"/>
      <c r="D1876" s="9"/>
      <c r="E1876" s="9"/>
      <c r="F1876" s="22" t="str">
        <f aca="false">IF(E1876="","",IFERROR(INDEX(02_INDICADORES!$B$2:$B$42,MATCH(E1876,02_INDICADORES!$A$2:$A$42,0)),"ID?"))</f>
        <v/>
      </c>
      <c r="G1876" s="21" t="str">
        <f aca="false">IF(E1876="","",IFERROR(INDEX(02_INDICADORES!$C$2:$C$42,MATCH(E1876,02_INDICADORES!$A$2:$A$42,0)),"ID?"))</f>
        <v/>
      </c>
      <c r="H1876" s="22" t="str">
        <f aca="false">IF(E1876="","",IFERROR(INDEX(02_INDICADORES!$D$2:$D$42,MATCH(E1876,02_INDICADORES!$A$2:$A$42,0)),""))</f>
        <v/>
      </c>
      <c r="I1876" s="9"/>
      <c r="J1876" s="16" t="str">
        <f aca="false">IF(OR(I1876="",H1876=""),"",I1876*H1876)</f>
        <v/>
      </c>
      <c r="K1876" s="9"/>
      <c r="L1876" s="9"/>
      <c r="M1876" s="9"/>
    </row>
    <row r="1877" customFormat="false" ht="15" hidden="false" customHeight="false" outlineLevel="0" collapsed="false">
      <c r="A1877" s="9"/>
      <c r="B1877" s="9"/>
      <c r="C1877" s="11"/>
      <c r="D1877" s="9"/>
      <c r="E1877" s="9"/>
      <c r="F1877" s="22" t="str">
        <f aca="false">IF(E1877="","",IFERROR(INDEX(02_INDICADORES!$B$2:$B$42,MATCH(E1877,02_INDICADORES!$A$2:$A$42,0)),"ID?"))</f>
        <v/>
      </c>
      <c r="G1877" s="21" t="str">
        <f aca="false">IF(E1877="","",IFERROR(INDEX(02_INDICADORES!$C$2:$C$42,MATCH(E1877,02_INDICADORES!$A$2:$A$42,0)),"ID?"))</f>
        <v/>
      </c>
      <c r="H1877" s="22" t="str">
        <f aca="false">IF(E1877="","",IFERROR(INDEX(02_INDICADORES!$D$2:$D$42,MATCH(E1877,02_INDICADORES!$A$2:$A$42,0)),""))</f>
        <v/>
      </c>
      <c r="I1877" s="9"/>
      <c r="J1877" s="16" t="str">
        <f aca="false">IF(OR(I1877="",H1877=""),"",I1877*H1877)</f>
        <v/>
      </c>
      <c r="K1877" s="9"/>
      <c r="L1877" s="9"/>
      <c r="M1877" s="9"/>
    </row>
    <row r="1878" customFormat="false" ht="15" hidden="false" customHeight="false" outlineLevel="0" collapsed="false">
      <c r="A1878" s="9"/>
      <c r="B1878" s="9"/>
      <c r="C1878" s="11"/>
      <c r="D1878" s="9"/>
      <c r="E1878" s="9"/>
      <c r="F1878" s="22" t="str">
        <f aca="false">IF(E1878="","",IFERROR(INDEX(02_INDICADORES!$B$2:$B$42,MATCH(E1878,02_INDICADORES!$A$2:$A$42,0)),"ID?"))</f>
        <v/>
      </c>
      <c r="G1878" s="21" t="str">
        <f aca="false">IF(E1878="","",IFERROR(INDEX(02_INDICADORES!$C$2:$C$42,MATCH(E1878,02_INDICADORES!$A$2:$A$42,0)),"ID?"))</f>
        <v/>
      </c>
      <c r="H1878" s="22" t="str">
        <f aca="false">IF(E1878="","",IFERROR(INDEX(02_INDICADORES!$D$2:$D$42,MATCH(E1878,02_INDICADORES!$A$2:$A$42,0)),""))</f>
        <v/>
      </c>
      <c r="I1878" s="9"/>
      <c r="J1878" s="16" t="str">
        <f aca="false">IF(OR(I1878="",H1878=""),"",I1878*H1878)</f>
        <v/>
      </c>
      <c r="K1878" s="9"/>
      <c r="L1878" s="9"/>
      <c r="M1878" s="9"/>
    </row>
    <row r="1879" customFormat="false" ht="15" hidden="false" customHeight="false" outlineLevel="0" collapsed="false">
      <c r="A1879" s="9"/>
      <c r="B1879" s="9"/>
      <c r="C1879" s="11"/>
      <c r="D1879" s="9"/>
      <c r="E1879" s="9"/>
      <c r="F1879" s="22" t="str">
        <f aca="false">IF(E1879="","",IFERROR(INDEX(02_INDICADORES!$B$2:$B$42,MATCH(E1879,02_INDICADORES!$A$2:$A$42,0)),"ID?"))</f>
        <v/>
      </c>
      <c r="G1879" s="21" t="str">
        <f aca="false">IF(E1879="","",IFERROR(INDEX(02_INDICADORES!$C$2:$C$42,MATCH(E1879,02_INDICADORES!$A$2:$A$42,0)),"ID?"))</f>
        <v/>
      </c>
      <c r="H1879" s="22" t="str">
        <f aca="false">IF(E1879="","",IFERROR(INDEX(02_INDICADORES!$D$2:$D$42,MATCH(E1879,02_INDICADORES!$A$2:$A$42,0)),""))</f>
        <v/>
      </c>
      <c r="I1879" s="9"/>
      <c r="J1879" s="16" t="str">
        <f aca="false">IF(OR(I1879="",H1879=""),"",I1879*H1879)</f>
        <v/>
      </c>
      <c r="K1879" s="9"/>
      <c r="L1879" s="9"/>
      <c r="M1879" s="9"/>
    </row>
    <row r="1880" customFormat="false" ht="15" hidden="false" customHeight="false" outlineLevel="0" collapsed="false">
      <c r="A1880" s="9"/>
      <c r="B1880" s="9"/>
      <c r="C1880" s="11"/>
      <c r="D1880" s="9"/>
      <c r="E1880" s="9"/>
      <c r="F1880" s="22" t="str">
        <f aca="false">IF(E1880="","",IFERROR(INDEX(02_INDICADORES!$B$2:$B$42,MATCH(E1880,02_INDICADORES!$A$2:$A$42,0)),"ID?"))</f>
        <v/>
      </c>
      <c r="G1880" s="21" t="str">
        <f aca="false">IF(E1880="","",IFERROR(INDEX(02_INDICADORES!$C$2:$C$42,MATCH(E1880,02_INDICADORES!$A$2:$A$42,0)),"ID?"))</f>
        <v/>
      </c>
      <c r="H1880" s="22" t="str">
        <f aca="false">IF(E1880="","",IFERROR(INDEX(02_INDICADORES!$D$2:$D$42,MATCH(E1880,02_INDICADORES!$A$2:$A$42,0)),""))</f>
        <v/>
      </c>
      <c r="I1880" s="9"/>
      <c r="J1880" s="16" t="str">
        <f aca="false">IF(OR(I1880="",H1880=""),"",I1880*H1880)</f>
        <v/>
      </c>
      <c r="K1880" s="9"/>
      <c r="L1880" s="9"/>
      <c r="M1880" s="9"/>
    </row>
    <row r="1881" customFormat="false" ht="15" hidden="false" customHeight="false" outlineLevel="0" collapsed="false">
      <c r="A1881" s="9"/>
      <c r="B1881" s="9"/>
      <c r="C1881" s="11"/>
      <c r="D1881" s="9"/>
      <c r="E1881" s="9"/>
      <c r="F1881" s="22" t="str">
        <f aca="false">IF(E1881="","",IFERROR(INDEX(02_INDICADORES!$B$2:$B$42,MATCH(E1881,02_INDICADORES!$A$2:$A$42,0)),"ID?"))</f>
        <v/>
      </c>
      <c r="G1881" s="21" t="str">
        <f aca="false">IF(E1881="","",IFERROR(INDEX(02_INDICADORES!$C$2:$C$42,MATCH(E1881,02_INDICADORES!$A$2:$A$42,0)),"ID?"))</f>
        <v/>
      </c>
      <c r="H1881" s="22" t="str">
        <f aca="false">IF(E1881="","",IFERROR(INDEX(02_INDICADORES!$D$2:$D$42,MATCH(E1881,02_INDICADORES!$A$2:$A$42,0)),""))</f>
        <v/>
      </c>
      <c r="I1881" s="9"/>
      <c r="J1881" s="16" t="str">
        <f aca="false">IF(OR(I1881="",H1881=""),"",I1881*H1881)</f>
        <v/>
      </c>
      <c r="K1881" s="9"/>
      <c r="L1881" s="9"/>
      <c r="M1881" s="9"/>
    </row>
    <row r="1882" customFormat="false" ht="15" hidden="false" customHeight="false" outlineLevel="0" collapsed="false">
      <c r="A1882" s="9"/>
      <c r="B1882" s="9"/>
      <c r="C1882" s="11"/>
      <c r="D1882" s="9"/>
      <c r="E1882" s="9"/>
      <c r="F1882" s="22" t="str">
        <f aca="false">IF(E1882="","",IFERROR(INDEX(02_INDICADORES!$B$2:$B$42,MATCH(E1882,02_INDICADORES!$A$2:$A$42,0)),"ID?"))</f>
        <v/>
      </c>
      <c r="G1882" s="21" t="str">
        <f aca="false">IF(E1882="","",IFERROR(INDEX(02_INDICADORES!$C$2:$C$42,MATCH(E1882,02_INDICADORES!$A$2:$A$42,0)),"ID?"))</f>
        <v/>
      </c>
      <c r="H1882" s="22" t="str">
        <f aca="false">IF(E1882="","",IFERROR(INDEX(02_INDICADORES!$D$2:$D$42,MATCH(E1882,02_INDICADORES!$A$2:$A$42,0)),""))</f>
        <v/>
      </c>
      <c r="I1882" s="9"/>
      <c r="J1882" s="16" t="str">
        <f aca="false">IF(OR(I1882="",H1882=""),"",I1882*H1882)</f>
        <v/>
      </c>
      <c r="K1882" s="9"/>
      <c r="L1882" s="9"/>
      <c r="M1882" s="9"/>
    </row>
    <row r="1883" customFormat="false" ht="15" hidden="false" customHeight="false" outlineLevel="0" collapsed="false">
      <c r="A1883" s="9"/>
      <c r="B1883" s="9"/>
      <c r="C1883" s="11"/>
      <c r="D1883" s="9"/>
      <c r="E1883" s="9"/>
      <c r="F1883" s="22" t="str">
        <f aca="false">IF(E1883="","",IFERROR(INDEX(02_INDICADORES!$B$2:$B$42,MATCH(E1883,02_INDICADORES!$A$2:$A$42,0)),"ID?"))</f>
        <v/>
      </c>
      <c r="G1883" s="21" t="str">
        <f aca="false">IF(E1883="","",IFERROR(INDEX(02_INDICADORES!$C$2:$C$42,MATCH(E1883,02_INDICADORES!$A$2:$A$42,0)),"ID?"))</f>
        <v/>
      </c>
      <c r="H1883" s="22" t="str">
        <f aca="false">IF(E1883="","",IFERROR(INDEX(02_INDICADORES!$D$2:$D$42,MATCH(E1883,02_INDICADORES!$A$2:$A$42,0)),""))</f>
        <v/>
      </c>
      <c r="I1883" s="9"/>
      <c r="J1883" s="16" t="str">
        <f aca="false">IF(OR(I1883="",H1883=""),"",I1883*H1883)</f>
        <v/>
      </c>
      <c r="K1883" s="9"/>
      <c r="L1883" s="9"/>
      <c r="M1883" s="9"/>
    </row>
    <row r="1884" customFormat="false" ht="15" hidden="false" customHeight="false" outlineLevel="0" collapsed="false">
      <c r="A1884" s="9"/>
      <c r="B1884" s="9"/>
      <c r="C1884" s="11"/>
      <c r="D1884" s="9"/>
      <c r="E1884" s="9"/>
      <c r="F1884" s="22" t="str">
        <f aca="false">IF(E1884="","",IFERROR(INDEX(02_INDICADORES!$B$2:$B$42,MATCH(E1884,02_INDICADORES!$A$2:$A$42,0)),"ID?"))</f>
        <v/>
      </c>
      <c r="G1884" s="21" t="str">
        <f aca="false">IF(E1884="","",IFERROR(INDEX(02_INDICADORES!$C$2:$C$42,MATCH(E1884,02_INDICADORES!$A$2:$A$42,0)),"ID?"))</f>
        <v/>
      </c>
      <c r="H1884" s="22" t="str">
        <f aca="false">IF(E1884="","",IFERROR(INDEX(02_INDICADORES!$D$2:$D$42,MATCH(E1884,02_INDICADORES!$A$2:$A$42,0)),""))</f>
        <v/>
      </c>
      <c r="I1884" s="9"/>
      <c r="J1884" s="16" t="str">
        <f aca="false">IF(OR(I1884="",H1884=""),"",I1884*H1884)</f>
        <v/>
      </c>
      <c r="K1884" s="9"/>
      <c r="L1884" s="9"/>
      <c r="M1884" s="9"/>
    </row>
    <row r="1885" customFormat="false" ht="15" hidden="false" customHeight="false" outlineLevel="0" collapsed="false">
      <c r="A1885" s="9"/>
      <c r="B1885" s="9"/>
      <c r="C1885" s="11"/>
      <c r="D1885" s="9"/>
      <c r="E1885" s="9"/>
      <c r="F1885" s="22" t="str">
        <f aca="false">IF(E1885="","",IFERROR(INDEX(02_INDICADORES!$B$2:$B$42,MATCH(E1885,02_INDICADORES!$A$2:$A$42,0)),"ID?"))</f>
        <v/>
      </c>
      <c r="G1885" s="21" t="str">
        <f aca="false">IF(E1885="","",IFERROR(INDEX(02_INDICADORES!$C$2:$C$42,MATCH(E1885,02_INDICADORES!$A$2:$A$42,0)),"ID?"))</f>
        <v/>
      </c>
      <c r="H1885" s="22" t="str">
        <f aca="false">IF(E1885="","",IFERROR(INDEX(02_INDICADORES!$D$2:$D$42,MATCH(E1885,02_INDICADORES!$A$2:$A$42,0)),""))</f>
        <v/>
      </c>
      <c r="I1885" s="9"/>
      <c r="J1885" s="16" t="str">
        <f aca="false">IF(OR(I1885="",H1885=""),"",I1885*H1885)</f>
        <v/>
      </c>
      <c r="K1885" s="9"/>
      <c r="L1885" s="9"/>
      <c r="M1885" s="9"/>
    </row>
    <row r="1886" customFormat="false" ht="15" hidden="false" customHeight="false" outlineLevel="0" collapsed="false">
      <c r="A1886" s="9"/>
      <c r="B1886" s="9"/>
      <c r="C1886" s="11"/>
      <c r="D1886" s="9"/>
      <c r="E1886" s="9"/>
      <c r="F1886" s="22" t="str">
        <f aca="false">IF(E1886="","",IFERROR(INDEX(02_INDICADORES!$B$2:$B$42,MATCH(E1886,02_INDICADORES!$A$2:$A$42,0)),"ID?"))</f>
        <v/>
      </c>
      <c r="G1886" s="21" t="str">
        <f aca="false">IF(E1886="","",IFERROR(INDEX(02_INDICADORES!$C$2:$C$42,MATCH(E1886,02_INDICADORES!$A$2:$A$42,0)),"ID?"))</f>
        <v/>
      </c>
      <c r="H1886" s="22" t="str">
        <f aca="false">IF(E1886="","",IFERROR(INDEX(02_INDICADORES!$D$2:$D$42,MATCH(E1886,02_INDICADORES!$A$2:$A$42,0)),""))</f>
        <v/>
      </c>
      <c r="I1886" s="9"/>
      <c r="J1886" s="16" t="str">
        <f aca="false">IF(OR(I1886="",H1886=""),"",I1886*H1886)</f>
        <v/>
      </c>
      <c r="K1886" s="9"/>
      <c r="L1886" s="9"/>
      <c r="M1886" s="9"/>
    </row>
    <row r="1887" customFormat="false" ht="15" hidden="false" customHeight="false" outlineLevel="0" collapsed="false">
      <c r="A1887" s="9"/>
      <c r="B1887" s="9"/>
      <c r="C1887" s="11"/>
      <c r="D1887" s="9"/>
      <c r="E1887" s="9"/>
      <c r="F1887" s="22" t="str">
        <f aca="false">IF(E1887="","",IFERROR(INDEX(02_INDICADORES!$B$2:$B$42,MATCH(E1887,02_INDICADORES!$A$2:$A$42,0)),"ID?"))</f>
        <v/>
      </c>
      <c r="G1887" s="21" t="str">
        <f aca="false">IF(E1887="","",IFERROR(INDEX(02_INDICADORES!$C$2:$C$42,MATCH(E1887,02_INDICADORES!$A$2:$A$42,0)),"ID?"))</f>
        <v/>
      </c>
      <c r="H1887" s="22" t="str">
        <f aca="false">IF(E1887="","",IFERROR(INDEX(02_INDICADORES!$D$2:$D$42,MATCH(E1887,02_INDICADORES!$A$2:$A$42,0)),""))</f>
        <v/>
      </c>
      <c r="I1887" s="9"/>
      <c r="J1887" s="16" t="str">
        <f aca="false">IF(OR(I1887="",H1887=""),"",I1887*H1887)</f>
        <v/>
      </c>
      <c r="K1887" s="9"/>
      <c r="L1887" s="9"/>
      <c r="M1887" s="9"/>
    </row>
    <row r="1888" customFormat="false" ht="15" hidden="false" customHeight="false" outlineLevel="0" collapsed="false">
      <c r="A1888" s="9"/>
      <c r="B1888" s="9"/>
      <c r="C1888" s="11"/>
      <c r="D1888" s="9"/>
      <c r="E1888" s="9"/>
      <c r="F1888" s="22" t="str">
        <f aca="false">IF(E1888="","",IFERROR(INDEX(02_INDICADORES!$B$2:$B$42,MATCH(E1888,02_INDICADORES!$A$2:$A$42,0)),"ID?"))</f>
        <v/>
      </c>
      <c r="G1888" s="21" t="str">
        <f aca="false">IF(E1888="","",IFERROR(INDEX(02_INDICADORES!$C$2:$C$42,MATCH(E1888,02_INDICADORES!$A$2:$A$42,0)),"ID?"))</f>
        <v/>
      </c>
      <c r="H1888" s="22" t="str">
        <f aca="false">IF(E1888="","",IFERROR(INDEX(02_INDICADORES!$D$2:$D$42,MATCH(E1888,02_INDICADORES!$A$2:$A$42,0)),""))</f>
        <v/>
      </c>
      <c r="I1888" s="9"/>
      <c r="J1888" s="16" t="str">
        <f aca="false">IF(OR(I1888="",H1888=""),"",I1888*H1888)</f>
        <v/>
      </c>
      <c r="K1888" s="9"/>
      <c r="L1888" s="9"/>
      <c r="M1888" s="9"/>
    </row>
    <row r="1889" customFormat="false" ht="15" hidden="false" customHeight="false" outlineLevel="0" collapsed="false">
      <c r="A1889" s="9"/>
      <c r="B1889" s="9"/>
      <c r="C1889" s="11"/>
      <c r="D1889" s="9"/>
      <c r="E1889" s="9"/>
      <c r="F1889" s="22" t="str">
        <f aca="false">IF(E1889="","",IFERROR(INDEX(02_INDICADORES!$B$2:$B$42,MATCH(E1889,02_INDICADORES!$A$2:$A$42,0)),"ID?"))</f>
        <v/>
      </c>
      <c r="G1889" s="21" t="str">
        <f aca="false">IF(E1889="","",IFERROR(INDEX(02_INDICADORES!$C$2:$C$42,MATCH(E1889,02_INDICADORES!$A$2:$A$42,0)),"ID?"))</f>
        <v/>
      </c>
      <c r="H1889" s="22" t="str">
        <f aca="false">IF(E1889="","",IFERROR(INDEX(02_INDICADORES!$D$2:$D$42,MATCH(E1889,02_INDICADORES!$A$2:$A$42,0)),""))</f>
        <v/>
      </c>
      <c r="I1889" s="9"/>
      <c r="J1889" s="16" t="str">
        <f aca="false">IF(OR(I1889="",H1889=""),"",I1889*H1889)</f>
        <v/>
      </c>
      <c r="K1889" s="9"/>
      <c r="L1889" s="9"/>
      <c r="M1889" s="9"/>
    </row>
    <row r="1890" customFormat="false" ht="15" hidden="false" customHeight="false" outlineLevel="0" collapsed="false">
      <c r="A1890" s="9"/>
      <c r="B1890" s="9"/>
      <c r="C1890" s="11"/>
      <c r="D1890" s="9"/>
      <c r="E1890" s="9"/>
      <c r="F1890" s="22" t="str">
        <f aca="false">IF(E1890="","",IFERROR(INDEX(02_INDICADORES!$B$2:$B$42,MATCH(E1890,02_INDICADORES!$A$2:$A$42,0)),"ID?"))</f>
        <v/>
      </c>
      <c r="G1890" s="21" t="str">
        <f aca="false">IF(E1890="","",IFERROR(INDEX(02_INDICADORES!$C$2:$C$42,MATCH(E1890,02_INDICADORES!$A$2:$A$42,0)),"ID?"))</f>
        <v/>
      </c>
      <c r="H1890" s="22" t="str">
        <f aca="false">IF(E1890="","",IFERROR(INDEX(02_INDICADORES!$D$2:$D$42,MATCH(E1890,02_INDICADORES!$A$2:$A$42,0)),""))</f>
        <v/>
      </c>
      <c r="I1890" s="9"/>
      <c r="J1890" s="16" t="str">
        <f aca="false">IF(OR(I1890="",H1890=""),"",I1890*H1890)</f>
        <v/>
      </c>
      <c r="K1890" s="9"/>
      <c r="L1890" s="9"/>
      <c r="M1890" s="9"/>
    </row>
    <row r="1891" customFormat="false" ht="15" hidden="false" customHeight="false" outlineLevel="0" collapsed="false">
      <c r="A1891" s="9"/>
      <c r="B1891" s="9"/>
      <c r="C1891" s="11"/>
      <c r="D1891" s="9"/>
      <c r="E1891" s="9"/>
      <c r="F1891" s="22" t="str">
        <f aca="false">IF(E1891="","",IFERROR(INDEX(02_INDICADORES!$B$2:$B$42,MATCH(E1891,02_INDICADORES!$A$2:$A$42,0)),"ID?"))</f>
        <v/>
      </c>
      <c r="G1891" s="21" t="str">
        <f aca="false">IF(E1891="","",IFERROR(INDEX(02_INDICADORES!$C$2:$C$42,MATCH(E1891,02_INDICADORES!$A$2:$A$42,0)),"ID?"))</f>
        <v/>
      </c>
      <c r="H1891" s="22" t="str">
        <f aca="false">IF(E1891="","",IFERROR(INDEX(02_INDICADORES!$D$2:$D$42,MATCH(E1891,02_INDICADORES!$A$2:$A$42,0)),""))</f>
        <v/>
      </c>
      <c r="I1891" s="9"/>
      <c r="J1891" s="16" t="str">
        <f aca="false">IF(OR(I1891="",H1891=""),"",I1891*H1891)</f>
        <v/>
      </c>
      <c r="K1891" s="9"/>
      <c r="L1891" s="9"/>
      <c r="M1891" s="9"/>
    </row>
    <row r="1892" customFormat="false" ht="15" hidden="false" customHeight="false" outlineLevel="0" collapsed="false">
      <c r="A1892" s="9"/>
      <c r="B1892" s="9"/>
      <c r="C1892" s="11"/>
      <c r="D1892" s="9"/>
      <c r="E1892" s="9"/>
      <c r="F1892" s="22" t="str">
        <f aca="false">IF(E1892="","",IFERROR(INDEX(02_INDICADORES!$B$2:$B$42,MATCH(E1892,02_INDICADORES!$A$2:$A$42,0)),"ID?"))</f>
        <v/>
      </c>
      <c r="G1892" s="21" t="str">
        <f aca="false">IF(E1892="","",IFERROR(INDEX(02_INDICADORES!$C$2:$C$42,MATCH(E1892,02_INDICADORES!$A$2:$A$42,0)),"ID?"))</f>
        <v/>
      </c>
      <c r="H1892" s="22" t="str">
        <f aca="false">IF(E1892="","",IFERROR(INDEX(02_INDICADORES!$D$2:$D$42,MATCH(E1892,02_INDICADORES!$A$2:$A$42,0)),""))</f>
        <v/>
      </c>
      <c r="I1892" s="9"/>
      <c r="J1892" s="16" t="str">
        <f aca="false">IF(OR(I1892="",H1892=""),"",I1892*H1892)</f>
        <v/>
      </c>
      <c r="K1892" s="9"/>
      <c r="L1892" s="9"/>
      <c r="M1892" s="9"/>
    </row>
    <row r="1893" customFormat="false" ht="15" hidden="false" customHeight="false" outlineLevel="0" collapsed="false">
      <c r="A1893" s="9"/>
      <c r="B1893" s="9"/>
      <c r="C1893" s="11"/>
      <c r="D1893" s="9"/>
      <c r="E1893" s="9"/>
      <c r="F1893" s="22" t="str">
        <f aca="false">IF(E1893="","",IFERROR(INDEX(02_INDICADORES!$B$2:$B$42,MATCH(E1893,02_INDICADORES!$A$2:$A$42,0)),"ID?"))</f>
        <v/>
      </c>
      <c r="G1893" s="21" t="str">
        <f aca="false">IF(E1893="","",IFERROR(INDEX(02_INDICADORES!$C$2:$C$42,MATCH(E1893,02_INDICADORES!$A$2:$A$42,0)),"ID?"))</f>
        <v/>
      </c>
      <c r="H1893" s="22" t="str">
        <f aca="false">IF(E1893="","",IFERROR(INDEX(02_INDICADORES!$D$2:$D$42,MATCH(E1893,02_INDICADORES!$A$2:$A$42,0)),""))</f>
        <v/>
      </c>
      <c r="I1893" s="9"/>
      <c r="J1893" s="16" t="str">
        <f aca="false">IF(OR(I1893="",H1893=""),"",I1893*H1893)</f>
        <v/>
      </c>
      <c r="K1893" s="9"/>
      <c r="L1893" s="9"/>
      <c r="M1893" s="9"/>
    </row>
    <row r="1894" customFormat="false" ht="15" hidden="false" customHeight="false" outlineLevel="0" collapsed="false">
      <c r="A1894" s="9"/>
      <c r="B1894" s="9"/>
      <c r="C1894" s="11"/>
      <c r="D1894" s="9"/>
      <c r="E1894" s="9"/>
      <c r="F1894" s="22" t="str">
        <f aca="false">IF(E1894="","",IFERROR(INDEX(02_INDICADORES!$B$2:$B$42,MATCH(E1894,02_INDICADORES!$A$2:$A$42,0)),"ID?"))</f>
        <v/>
      </c>
      <c r="G1894" s="21" t="str">
        <f aca="false">IF(E1894="","",IFERROR(INDEX(02_INDICADORES!$C$2:$C$42,MATCH(E1894,02_INDICADORES!$A$2:$A$42,0)),"ID?"))</f>
        <v/>
      </c>
      <c r="H1894" s="22" t="str">
        <f aca="false">IF(E1894="","",IFERROR(INDEX(02_INDICADORES!$D$2:$D$42,MATCH(E1894,02_INDICADORES!$A$2:$A$42,0)),""))</f>
        <v/>
      </c>
      <c r="I1894" s="9"/>
      <c r="J1894" s="16" t="str">
        <f aca="false">IF(OR(I1894="",H1894=""),"",I1894*H1894)</f>
        <v/>
      </c>
      <c r="K1894" s="9"/>
      <c r="L1894" s="9"/>
      <c r="M1894" s="9"/>
    </row>
    <row r="1895" customFormat="false" ht="15" hidden="false" customHeight="false" outlineLevel="0" collapsed="false">
      <c r="A1895" s="9"/>
      <c r="B1895" s="9"/>
      <c r="C1895" s="11"/>
      <c r="D1895" s="9"/>
      <c r="E1895" s="9"/>
      <c r="F1895" s="22" t="str">
        <f aca="false">IF(E1895="","",IFERROR(INDEX(02_INDICADORES!$B$2:$B$42,MATCH(E1895,02_INDICADORES!$A$2:$A$42,0)),"ID?"))</f>
        <v/>
      </c>
      <c r="G1895" s="21" t="str">
        <f aca="false">IF(E1895="","",IFERROR(INDEX(02_INDICADORES!$C$2:$C$42,MATCH(E1895,02_INDICADORES!$A$2:$A$42,0)),"ID?"))</f>
        <v/>
      </c>
      <c r="H1895" s="22" t="str">
        <f aca="false">IF(E1895="","",IFERROR(INDEX(02_INDICADORES!$D$2:$D$42,MATCH(E1895,02_INDICADORES!$A$2:$A$42,0)),""))</f>
        <v/>
      </c>
      <c r="I1895" s="9"/>
      <c r="J1895" s="16" t="str">
        <f aca="false">IF(OR(I1895="",H1895=""),"",I1895*H1895)</f>
        <v/>
      </c>
      <c r="K1895" s="9"/>
      <c r="L1895" s="9"/>
      <c r="M1895" s="9"/>
    </row>
    <row r="1896" customFormat="false" ht="15" hidden="false" customHeight="false" outlineLevel="0" collapsed="false">
      <c r="A1896" s="9"/>
      <c r="B1896" s="9"/>
      <c r="C1896" s="11"/>
      <c r="D1896" s="9"/>
      <c r="E1896" s="9"/>
      <c r="F1896" s="22" t="str">
        <f aca="false">IF(E1896="","",IFERROR(INDEX(02_INDICADORES!$B$2:$B$42,MATCH(E1896,02_INDICADORES!$A$2:$A$42,0)),"ID?"))</f>
        <v/>
      </c>
      <c r="G1896" s="21" t="str">
        <f aca="false">IF(E1896="","",IFERROR(INDEX(02_INDICADORES!$C$2:$C$42,MATCH(E1896,02_INDICADORES!$A$2:$A$42,0)),"ID?"))</f>
        <v/>
      </c>
      <c r="H1896" s="22" t="str">
        <f aca="false">IF(E1896="","",IFERROR(INDEX(02_INDICADORES!$D$2:$D$42,MATCH(E1896,02_INDICADORES!$A$2:$A$42,0)),""))</f>
        <v/>
      </c>
      <c r="I1896" s="9"/>
      <c r="J1896" s="16" t="str">
        <f aca="false">IF(OR(I1896="",H1896=""),"",I1896*H1896)</f>
        <v/>
      </c>
      <c r="K1896" s="9"/>
      <c r="L1896" s="9"/>
      <c r="M1896" s="9"/>
    </row>
    <row r="1897" customFormat="false" ht="15" hidden="false" customHeight="false" outlineLevel="0" collapsed="false">
      <c r="A1897" s="9"/>
      <c r="B1897" s="9"/>
      <c r="C1897" s="11"/>
      <c r="D1897" s="9"/>
      <c r="E1897" s="9"/>
      <c r="F1897" s="22" t="str">
        <f aca="false">IF(E1897="","",IFERROR(INDEX(02_INDICADORES!$B$2:$B$42,MATCH(E1897,02_INDICADORES!$A$2:$A$42,0)),"ID?"))</f>
        <v/>
      </c>
      <c r="G1897" s="21" t="str">
        <f aca="false">IF(E1897="","",IFERROR(INDEX(02_INDICADORES!$C$2:$C$42,MATCH(E1897,02_INDICADORES!$A$2:$A$42,0)),"ID?"))</f>
        <v/>
      </c>
      <c r="H1897" s="22" t="str">
        <f aca="false">IF(E1897="","",IFERROR(INDEX(02_INDICADORES!$D$2:$D$42,MATCH(E1897,02_INDICADORES!$A$2:$A$42,0)),""))</f>
        <v/>
      </c>
      <c r="I1897" s="9"/>
      <c r="J1897" s="16" t="str">
        <f aca="false">IF(OR(I1897="",H1897=""),"",I1897*H1897)</f>
        <v/>
      </c>
      <c r="K1897" s="9"/>
      <c r="L1897" s="9"/>
      <c r="M1897" s="9"/>
    </row>
    <row r="1898" customFormat="false" ht="15" hidden="false" customHeight="false" outlineLevel="0" collapsed="false">
      <c r="A1898" s="9"/>
      <c r="B1898" s="9"/>
      <c r="C1898" s="11"/>
      <c r="D1898" s="9"/>
      <c r="E1898" s="9"/>
      <c r="F1898" s="22" t="str">
        <f aca="false">IF(E1898="","",IFERROR(INDEX(02_INDICADORES!$B$2:$B$42,MATCH(E1898,02_INDICADORES!$A$2:$A$42,0)),"ID?"))</f>
        <v/>
      </c>
      <c r="G1898" s="21" t="str">
        <f aca="false">IF(E1898="","",IFERROR(INDEX(02_INDICADORES!$C$2:$C$42,MATCH(E1898,02_INDICADORES!$A$2:$A$42,0)),"ID?"))</f>
        <v/>
      </c>
      <c r="H1898" s="22" t="str">
        <f aca="false">IF(E1898="","",IFERROR(INDEX(02_INDICADORES!$D$2:$D$42,MATCH(E1898,02_INDICADORES!$A$2:$A$42,0)),""))</f>
        <v/>
      </c>
      <c r="I1898" s="9"/>
      <c r="J1898" s="16" t="str">
        <f aca="false">IF(OR(I1898="",H1898=""),"",I1898*H1898)</f>
        <v/>
      </c>
      <c r="K1898" s="9"/>
      <c r="L1898" s="9"/>
      <c r="M1898" s="9"/>
    </row>
    <row r="1899" customFormat="false" ht="15" hidden="false" customHeight="false" outlineLevel="0" collapsed="false">
      <c r="A1899" s="9"/>
      <c r="B1899" s="9"/>
      <c r="C1899" s="11"/>
      <c r="D1899" s="9"/>
      <c r="E1899" s="9"/>
      <c r="F1899" s="22" t="str">
        <f aca="false">IF(E1899="","",IFERROR(INDEX(02_INDICADORES!$B$2:$B$42,MATCH(E1899,02_INDICADORES!$A$2:$A$42,0)),"ID?"))</f>
        <v/>
      </c>
      <c r="G1899" s="21" t="str">
        <f aca="false">IF(E1899="","",IFERROR(INDEX(02_INDICADORES!$C$2:$C$42,MATCH(E1899,02_INDICADORES!$A$2:$A$42,0)),"ID?"))</f>
        <v/>
      </c>
      <c r="H1899" s="22" t="str">
        <f aca="false">IF(E1899="","",IFERROR(INDEX(02_INDICADORES!$D$2:$D$42,MATCH(E1899,02_INDICADORES!$A$2:$A$42,0)),""))</f>
        <v/>
      </c>
      <c r="I1899" s="9"/>
      <c r="J1899" s="16" t="str">
        <f aca="false">IF(OR(I1899="",H1899=""),"",I1899*H1899)</f>
        <v/>
      </c>
      <c r="K1899" s="9"/>
      <c r="L1899" s="9"/>
      <c r="M1899" s="9"/>
    </row>
    <row r="1900" customFormat="false" ht="15" hidden="false" customHeight="false" outlineLevel="0" collapsed="false">
      <c r="A1900" s="9"/>
      <c r="B1900" s="9"/>
      <c r="C1900" s="11"/>
      <c r="D1900" s="9"/>
      <c r="E1900" s="9"/>
      <c r="F1900" s="22" t="str">
        <f aca="false">IF(E1900="","",IFERROR(INDEX(02_INDICADORES!$B$2:$B$42,MATCH(E1900,02_INDICADORES!$A$2:$A$42,0)),"ID?"))</f>
        <v/>
      </c>
      <c r="G1900" s="21" t="str">
        <f aca="false">IF(E1900="","",IFERROR(INDEX(02_INDICADORES!$C$2:$C$42,MATCH(E1900,02_INDICADORES!$A$2:$A$42,0)),"ID?"))</f>
        <v/>
      </c>
      <c r="H1900" s="22" t="str">
        <f aca="false">IF(E1900="","",IFERROR(INDEX(02_INDICADORES!$D$2:$D$42,MATCH(E1900,02_INDICADORES!$A$2:$A$42,0)),""))</f>
        <v/>
      </c>
      <c r="I1900" s="9"/>
      <c r="J1900" s="16" t="str">
        <f aca="false">IF(OR(I1900="",H1900=""),"",I1900*H1900)</f>
        <v/>
      </c>
      <c r="K1900" s="9"/>
      <c r="L1900" s="9"/>
      <c r="M1900" s="9"/>
    </row>
    <row r="1901" customFormat="false" ht="15" hidden="false" customHeight="false" outlineLevel="0" collapsed="false">
      <c r="A1901" s="9"/>
      <c r="B1901" s="9"/>
      <c r="C1901" s="11"/>
      <c r="D1901" s="9"/>
      <c r="E1901" s="9"/>
      <c r="F1901" s="22" t="str">
        <f aca="false">IF(E1901="","",IFERROR(INDEX(02_INDICADORES!$B$2:$B$42,MATCH(E1901,02_INDICADORES!$A$2:$A$42,0)),"ID?"))</f>
        <v/>
      </c>
      <c r="G1901" s="21" t="str">
        <f aca="false">IF(E1901="","",IFERROR(INDEX(02_INDICADORES!$C$2:$C$42,MATCH(E1901,02_INDICADORES!$A$2:$A$42,0)),"ID?"))</f>
        <v/>
      </c>
      <c r="H1901" s="22" t="str">
        <f aca="false">IF(E1901="","",IFERROR(INDEX(02_INDICADORES!$D$2:$D$42,MATCH(E1901,02_INDICADORES!$A$2:$A$42,0)),""))</f>
        <v/>
      </c>
      <c r="I1901" s="9"/>
      <c r="J1901" s="16" t="str">
        <f aca="false">IF(OR(I1901="",H1901=""),"",I1901*H1901)</f>
        <v/>
      </c>
      <c r="K1901" s="9"/>
      <c r="L1901" s="9"/>
      <c r="M1901" s="9"/>
    </row>
    <row r="1902" customFormat="false" ht="15" hidden="false" customHeight="false" outlineLevel="0" collapsed="false">
      <c r="A1902" s="9"/>
      <c r="B1902" s="9"/>
      <c r="C1902" s="11"/>
      <c r="D1902" s="9"/>
      <c r="E1902" s="9"/>
      <c r="F1902" s="22" t="str">
        <f aca="false">IF(E1902="","",IFERROR(INDEX(02_INDICADORES!$B$2:$B$42,MATCH(E1902,02_INDICADORES!$A$2:$A$42,0)),"ID?"))</f>
        <v/>
      </c>
      <c r="G1902" s="21" t="str">
        <f aca="false">IF(E1902="","",IFERROR(INDEX(02_INDICADORES!$C$2:$C$42,MATCH(E1902,02_INDICADORES!$A$2:$A$42,0)),"ID?"))</f>
        <v/>
      </c>
      <c r="H1902" s="22" t="str">
        <f aca="false">IF(E1902="","",IFERROR(INDEX(02_INDICADORES!$D$2:$D$42,MATCH(E1902,02_INDICADORES!$A$2:$A$42,0)),""))</f>
        <v/>
      </c>
      <c r="I1902" s="9"/>
      <c r="J1902" s="16" t="str">
        <f aca="false">IF(OR(I1902="",H1902=""),"",I1902*H1902)</f>
        <v/>
      </c>
      <c r="K1902" s="9"/>
      <c r="L1902" s="9"/>
      <c r="M1902" s="9"/>
    </row>
    <row r="1903" customFormat="false" ht="15" hidden="false" customHeight="false" outlineLevel="0" collapsed="false">
      <c r="A1903" s="9"/>
      <c r="B1903" s="9"/>
      <c r="C1903" s="11"/>
      <c r="D1903" s="9"/>
      <c r="E1903" s="9"/>
      <c r="F1903" s="22" t="str">
        <f aca="false">IF(E1903="","",IFERROR(INDEX(02_INDICADORES!$B$2:$B$42,MATCH(E1903,02_INDICADORES!$A$2:$A$42,0)),"ID?"))</f>
        <v/>
      </c>
      <c r="G1903" s="21" t="str">
        <f aca="false">IF(E1903="","",IFERROR(INDEX(02_INDICADORES!$C$2:$C$42,MATCH(E1903,02_INDICADORES!$A$2:$A$42,0)),"ID?"))</f>
        <v/>
      </c>
      <c r="H1903" s="22" t="str">
        <f aca="false">IF(E1903="","",IFERROR(INDEX(02_INDICADORES!$D$2:$D$42,MATCH(E1903,02_INDICADORES!$A$2:$A$42,0)),""))</f>
        <v/>
      </c>
      <c r="I1903" s="9"/>
      <c r="J1903" s="16" t="str">
        <f aca="false">IF(OR(I1903="",H1903=""),"",I1903*H1903)</f>
        <v/>
      </c>
      <c r="K1903" s="9"/>
      <c r="L1903" s="9"/>
      <c r="M1903" s="9"/>
    </row>
    <row r="1904" customFormat="false" ht="15" hidden="false" customHeight="false" outlineLevel="0" collapsed="false">
      <c r="A1904" s="9"/>
      <c r="B1904" s="9"/>
      <c r="C1904" s="11"/>
      <c r="D1904" s="9"/>
      <c r="E1904" s="9"/>
      <c r="F1904" s="22" t="str">
        <f aca="false">IF(E1904="","",IFERROR(INDEX(02_INDICADORES!$B$2:$B$42,MATCH(E1904,02_INDICADORES!$A$2:$A$42,0)),"ID?"))</f>
        <v/>
      </c>
      <c r="G1904" s="21" t="str">
        <f aca="false">IF(E1904="","",IFERROR(INDEX(02_INDICADORES!$C$2:$C$42,MATCH(E1904,02_INDICADORES!$A$2:$A$42,0)),"ID?"))</f>
        <v/>
      </c>
      <c r="H1904" s="22" t="str">
        <f aca="false">IF(E1904="","",IFERROR(INDEX(02_INDICADORES!$D$2:$D$42,MATCH(E1904,02_INDICADORES!$A$2:$A$42,0)),""))</f>
        <v/>
      </c>
      <c r="I1904" s="9"/>
      <c r="J1904" s="16" t="str">
        <f aca="false">IF(OR(I1904="",H1904=""),"",I1904*H1904)</f>
        <v/>
      </c>
      <c r="K1904" s="9"/>
      <c r="L1904" s="9"/>
      <c r="M1904" s="9"/>
    </row>
    <row r="1905" customFormat="false" ht="15" hidden="false" customHeight="false" outlineLevel="0" collapsed="false">
      <c r="A1905" s="9"/>
      <c r="B1905" s="9"/>
      <c r="C1905" s="11"/>
      <c r="D1905" s="9"/>
      <c r="E1905" s="9"/>
      <c r="F1905" s="22" t="str">
        <f aca="false">IF(E1905="","",IFERROR(INDEX(02_INDICADORES!$B$2:$B$42,MATCH(E1905,02_INDICADORES!$A$2:$A$42,0)),"ID?"))</f>
        <v/>
      </c>
      <c r="G1905" s="21" t="str">
        <f aca="false">IF(E1905="","",IFERROR(INDEX(02_INDICADORES!$C$2:$C$42,MATCH(E1905,02_INDICADORES!$A$2:$A$42,0)),"ID?"))</f>
        <v/>
      </c>
      <c r="H1905" s="22" t="str">
        <f aca="false">IF(E1905="","",IFERROR(INDEX(02_INDICADORES!$D$2:$D$42,MATCH(E1905,02_INDICADORES!$A$2:$A$42,0)),""))</f>
        <v/>
      </c>
      <c r="I1905" s="9"/>
      <c r="J1905" s="16" t="str">
        <f aca="false">IF(OR(I1905="",H1905=""),"",I1905*H1905)</f>
        <v/>
      </c>
      <c r="K1905" s="9"/>
      <c r="L1905" s="9"/>
      <c r="M1905" s="9"/>
    </row>
    <row r="1906" customFormat="false" ht="15" hidden="false" customHeight="false" outlineLevel="0" collapsed="false">
      <c r="A1906" s="9"/>
      <c r="B1906" s="9"/>
      <c r="C1906" s="11"/>
      <c r="D1906" s="9"/>
      <c r="E1906" s="9"/>
      <c r="F1906" s="22" t="str">
        <f aca="false">IF(E1906="","",IFERROR(INDEX(02_INDICADORES!$B$2:$B$42,MATCH(E1906,02_INDICADORES!$A$2:$A$42,0)),"ID?"))</f>
        <v/>
      </c>
      <c r="G1906" s="21" t="str">
        <f aca="false">IF(E1906="","",IFERROR(INDEX(02_INDICADORES!$C$2:$C$42,MATCH(E1906,02_INDICADORES!$A$2:$A$42,0)),"ID?"))</f>
        <v/>
      </c>
      <c r="H1906" s="22" t="str">
        <f aca="false">IF(E1906="","",IFERROR(INDEX(02_INDICADORES!$D$2:$D$42,MATCH(E1906,02_INDICADORES!$A$2:$A$42,0)),""))</f>
        <v/>
      </c>
      <c r="I1906" s="9"/>
      <c r="J1906" s="16" t="str">
        <f aca="false">IF(OR(I1906="",H1906=""),"",I1906*H1906)</f>
        <v/>
      </c>
      <c r="K1906" s="9"/>
      <c r="L1906" s="9"/>
      <c r="M1906" s="9"/>
    </row>
    <row r="1907" customFormat="false" ht="15" hidden="false" customHeight="false" outlineLevel="0" collapsed="false">
      <c r="A1907" s="9"/>
      <c r="B1907" s="9"/>
      <c r="C1907" s="11"/>
      <c r="D1907" s="9"/>
      <c r="E1907" s="9"/>
      <c r="F1907" s="22" t="str">
        <f aca="false">IF(E1907="","",IFERROR(INDEX(02_INDICADORES!$B$2:$B$42,MATCH(E1907,02_INDICADORES!$A$2:$A$42,0)),"ID?"))</f>
        <v/>
      </c>
      <c r="G1907" s="21" t="str">
        <f aca="false">IF(E1907="","",IFERROR(INDEX(02_INDICADORES!$C$2:$C$42,MATCH(E1907,02_INDICADORES!$A$2:$A$42,0)),"ID?"))</f>
        <v/>
      </c>
      <c r="H1907" s="22" t="str">
        <f aca="false">IF(E1907="","",IFERROR(INDEX(02_INDICADORES!$D$2:$D$42,MATCH(E1907,02_INDICADORES!$A$2:$A$42,0)),""))</f>
        <v/>
      </c>
      <c r="I1907" s="9"/>
      <c r="J1907" s="16" t="str">
        <f aca="false">IF(OR(I1907="",H1907=""),"",I1907*H1907)</f>
        <v/>
      </c>
      <c r="K1907" s="9"/>
      <c r="L1907" s="9"/>
      <c r="M1907" s="9"/>
    </row>
    <row r="1908" customFormat="false" ht="15" hidden="false" customHeight="false" outlineLevel="0" collapsed="false">
      <c r="A1908" s="9"/>
      <c r="B1908" s="9"/>
      <c r="C1908" s="11"/>
      <c r="D1908" s="9"/>
      <c r="E1908" s="9"/>
      <c r="F1908" s="22" t="str">
        <f aca="false">IF(E1908="","",IFERROR(INDEX(02_INDICADORES!$B$2:$B$42,MATCH(E1908,02_INDICADORES!$A$2:$A$42,0)),"ID?"))</f>
        <v/>
      </c>
      <c r="G1908" s="21" t="str">
        <f aca="false">IF(E1908="","",IFERROR(INDEX(02_INDICADORES!$C$2:$C$42,MATCH(E1908,02_INDICADORES!$A$2:$A$42,0)),"ID?"))</f>
        <v/>
      </c>
      <c r="H1908" s="22" t="str">
        <f aca="false">IF(E1908="","",IFERROR(INDEX(02_INDICADORES!$D$2:$D$42,MATCH(E1908,02_INDICADORES!$A$2:$A$42,0)),""))</f>
        <v/>
      </c>
      <c r="I1908" s="9"/>
      <c r="J1908" s="16" t="str">
        <f aca="false">IF(OR(I1908="",H1908=""),"",I1908*H1908)</f>
        <v/>
      </c>
      <c r="K1908" s="9"/>
      <c r="L1908" s="9"/>
      <c r="M1908" s="9"/>
    </row>
    <row r="1909" customFormat="false" ht="15" hidden="false" customHeight="false" outlineLevel="0" collapsed="false">
      <c r="A1909" s="9"/>
      <c r="B1909" s="9"/>
      <c r="C1909" s="11"/>
      <c r="D1909" s="9"/>
      <c r="E1909" s="9"/>
      <c r="F1909" s="22" t="str">
        <f aca="false">IF(E1909="","",IFERROR(INDEX(02_INDICADORES!$B$2:$B$42,MATCH(E1909,02_INDICADORES!$A$2:$A$42,0)),"ID?"))</f>
        <v/>
      </c>
      <c r="G1909" s="21" t="str">
        <f aca="false">IF(E1909="","",IFERROR(INDEX(02_INDICADORES!$C$2:$C$42,MATCH(E1909,02_INDICADORES!$A$2:$A$42,0)),"ID?"))</f>
        <v/>
      </c>
      <c r="H1909" s="22" t="str">
        <f aca="false">IF(E1909="","",IFERROR(INDEX(02_INDICADORES!$D$2:$D$42,MATCH(E1909,02_INDICADORES!$A$2:$A$42,0)),""))</f>
        <v/>
      </c>
      <c r="I1909" s="9"/>
      <c r="J1909" s="16" t="str">
        <f aca="false">IF(OR(I1909="",H1909=""),"",I1909*H1909)</f>
        <v/>
      </c>
      <c r="K1909" s="9"/>
      <c r="L1909" s="9"/>
      <c r="M1909" s="9"/>
    </row>
    <row r="1910" customFormat="false" ht="15" hidden="false" customHeight="false" outlineLevel="0" collapsed="false">
      <c r="A1910" s="9"/>
      <c r="B1910" s="9"/>
      <c r="C1910" s="11"/>
      <c r="D1910" s="9"/>
      <c r="E1910" s="9"/>
      <c r="F1910" s="22" t="str">
        <f aca="false">IF(E1910="","",IFERROR(INDEX(02_INDICADORES!$B$2:$B$42,MATCH(E1910,02_INDICADORES!$A$2:$A$42,0)),"ID?"))</f>
        <v/>
      </c>
      <c r="G1910" s="21" t="str">
        <f aca="false">IF(E1910="","",IFERROR(INDEX(02_INDICADORES!$C$2:$C$42,MATCH(E1910,02_INDICADORES!$A$2:$A$42,0)),"ID?"))</f>
        <v/>
      </c>
      <c r="H1910" s="22" t="str">
        <f aca="false">IF(E1910="","",IFERROR(INDEX(02_INDICADORES!$D$2:$D$42,MATCH(E1910,02_INDICADORES!$A$2:$A$42,0)),""))</f>
        <v/>
      </c>
      <c r="I1910" s="9"/>
      <c r="J1910" s="16" t="str">
        <f aca="false">IF(OR(I1910="",H1910=""),"",I1910*H1910)</f>
        <v/>
      </c>
      <c r="K1910" s="9"/>
      <c r="L1910" s="9"/>
      <c r="M1910" s="9"/>
    </row>
    <row r="1911" customFormat="false" ht="15" hidden="false" customHeight="false" outlineLevel="0" collapsed="false">
      <c r="A1911" s="9"/>
      <c r="B1911" s="9"/>
      <c r="C1911" s="11"/>
      <c r="D1911" s="9"/>
      <c r="E1911" s="9"/>
      <c r="F1911" s="22" t="str">
        <f aca="false">IF(E1911="","",IFERROR(INDEX(02_INDICADORES!$B$2:$B$42,MATCH(E1911,02_INDICADORES!$A$2:$A$42,0)),"ID?"))</f>
        <v/>
      </c>
      <c r="G1911" s="21" t="str">
        <f aca="false">IF(E1911="","",IFERROR(INDEX(02_INDICADORES!$C$2:$C$42,MATCH(E1911,02_INDICADORES!$A$2:$A$42,0)),"ID?"))</f>
        <v/>
      </c>
      <c r="H1911" s="22" t="str">
        <f aca="false">IF(E1911="","",IFERROR(INDEX(02_INDICADORES!$D$2:$D$42,MATCH(E1911,02_INDICADORES!$A$2:$A$42,0)),""))</f>
        <v/>
      </c>
      <c r="I1911" s="9"/>
      <c r="J1911" s="16" t="str">
        <f aca="false">IF(OR(I1911="",H1911=""),"",I1911*H1911)</f>
        <v/>
      </c>
      <c r="K1911" s="9"/>
      <c r="L1911" s="9"/>
      <c r="M1911" s="9"/>
    </row>
    <row r="1912" customFormat="false" ht="15" hidden="false" customHeight="false" outlineLevel="0" collapsed="false">
      <c r="A1912" s="9"/>
      <c r="B1912" s="9"/>
      <c r="C1912" s="11"/>
      <c r="D1912" s="9"/>
      <c r="E1912" s="9"/>
      <c r="F1912" s="22" t="str">
        <f aca="false">IF(E1912="","",IFERROR(INDEX(02_INDICADORES!$B$2:$B$42,MATCH(E1912,02_INDICADORES!$A$2:$A$42,0)),"ID?"))</f>
        <v/>
      </c>
      <c r="G1912" s="21" t="str">
        <f aca="false">IF(E1912="","",IFERROR(INDEX(02_INDICADORES!$C$2:$C$42,MATCH(E1912,02_INDICADORES!$A$2:$A$42,0)),"ID?"))</f>
        <v/>
      </c>
      <c r="H1912" s="22" t="str">
        <f aca="false">IF(E1912="","",IFERROR(INDEX(02_INDICADORES!$D$2:$D$42,MATCH(E1912,02_INDICADORES!$A$2:$A$42,0)),""))</f>
        <v/>
      </c>
      <c r="I1912" s="9"/>
      <c r="J1912" s="16" t="str">
        <f aca="false">IF(OR(I1912="",H1912=""),"",I1912*H1912)</f>
        <v/>
      </c>
      <c r="K1912" s="9"/>
      <c r="L1912" s="9"/>
      <c r="M1912" s="9"/>
    </row>
    <row r="1913" customFormat="false" ht="15" hidden="false" customHeight="false" outlineLevel="0" collapsed="false">
      <c r="A1913" s="9"/>
      <c r="B1913" s="9"/>
      <c r="C1913" s="11"/>
      <c r="D1913" s="9"/>
      <c r="E1913" s="9"/>
      <c r="F1913" s="22" t="str">
        <f aca="false">IF(E1913="","",IFERROR(INDEX(02_INDICADORES!$B$2:$B$42,MATCH(E1913,02_INDICADORES!$A$2:$A$42,0)),"ID?"))</f>
        <v/>
      </c>
      <c r="G1913" s="21" t="str">
        <f aca="false">IF(E1913="","",IFERROR(INDEX(02_INDICADORES!$C$2:$C$42,MATCH(E1913,02_INDICADORES!$A$2:$A$42,0)),"ID?"))</f>
        <v/>
      </c>
      <c r="H1913" s="22" t="str">
        <f aca="false">IF(E1913="","",IFERROR(INDEX(02_INDICADORES!$D$2:$D$42,MATCH(E1913,02_INDICADORES!$A$2:$A$42,0)),""))</f>
        <v/>
      </c>
      <c r="I1913" s="9"/>
      <c r="J1913" s="16" t="str">
        <f aca="false">IF(OR(I1913="",H1913=""),"",I1913*H1913)</f>
        <v/>
      </c>
      <c r="K1913" s="9"/>
      <c r="L1913" s="9"/>
      <c r="M1913" s="9"/>
    </row>
    <row r="1914" customFormat="false" ht="15" hidden="false" customHeight="false" outlineLevel="0" collapsed="false">
      <c r="A1914" s="9"/>
      <c r="B1914" s="9"/>
      <c r="C1914" s="11"/>
      <c r="D1914" s="9"/>
      <c r="E1914" s="9"/>
      <c r="F1914" s="22" t="str">
        <f aca="false">IF(E1914="","",IFERROR(INDEX(02_INDICADORES!$B$2:$B$42,MATCH(E1914,02_INDICADORES!$A$2:$A$42,0)),"ID?"))</f>
        <v/>
      </c>
      <c r="G1914" s="21" t="str">
        <f aca="false">IF(E1914="","",IFERROR(INDEX(02_INDICADORES!$C$2:$C$42,MATCH(E1914,02_INDICADORES!$A$2:$A$42,0)),"ID?"))</f>
        <v/>
      </c>
      <c r="H1914" s="22" t="str">
        <f aca="false">IF(E1914="","",IFERROR(INDEX(02_INDICADORES!$D$2:$D$42,MATCH(E1914,02_INDICADORES!$A$2:$A$42,0)),""))</f>
        <v/>
      </c>
      <c r="I1914" s="9"/>
      <c r="J1914" s="16" t="str">
        <f aca="false">IF(OR(I1914="",H1914=""),"",I1914*H1914)</f>
        <v/>
      </c>
      <c r="K1914" s="9"/>
      <c r="L1914" s="9"/>
      <c r="M1914" s="9"/>
    </row>
    <row r="1915" customFormat="false" ht="15" hidden="false" customHeight="false" outlineLevel="0" collapsed="false">
      <c r="A1915" s="9"/>
      <c r="B1915" s="9"/>
      <c r="C1915" s="11"/>
      <c r="D1915" s="9"/>
      <c r="E1915" s="9"/>
      <c r="F1915" s="22" t="str">
        <f aca="false">IF(E1915="","",IFERROR(INDEX(02_INDICADORES!$B$2:$B$42,MATCH(E1915,02_INDICADORES!$A$2:$A$42,0)),"ID?"))</f>
        <v/>
      </c>
      <c r="G1915" s="21" t="str">
        <f aca="false">IF(E1915="","",IFERROR(INDEX(02_INDICADORES!$C$2:$C$42,MATCH(E1915,02_INDICADORES!$A$2:$A$42,0)),"ID?"))</f>
        <v/>
      </c>
      <c r="H1915" s="22" t="str">
        <f aca="false">IF(E1915="","",IFERROR(INDEX(02_INDICADORES!$D$2:$D$42,MATCH(E1915,02_INDICADORES!$A$2:$A$42,0)),""))</f>
        <v/>
      </c>
      <c r="I1915" s="9"/>
      <c r="J1915" s="16" t="str">
        <f aca="false">IF(OR(I1915="",H1915=""),"",I1915*H1915)</f>
        <v/>
      </c>
      <c r="K1915" s="9"/>
      <c r="L1915" s="9"/>
      <c r="M1915" s="9"/>
    </row>
    <row r="1916" customFormat="false" ht="15" hidden="false" customHeight="false" outlineLevel="0" collapsed="false">
      <c r="A1916" s="9"/>
      <c r="B1916" s="9"/>
      <c r="C1916" s="11"/>
      <c r="D1916" s="9"/>
      <c r="E1916" s="9"/>
      <c r="F1916" s="22" t="str">
        <f aca="false">IF(E1916="","",IFERROR(INDEX(02_INDICADORES!$B$2:$B$42,MATCH(E1916,02_INDICADORES!$A$2:$A$42,0)),"ID?"))</f>
        <v/>
      </c>
      <c r="G1916" s="21" t="str">
        <f aca="false">IF(E1916="","",IFERROR(INDEX(02_INDICADORES!$C$2:$C$42,MATCH(E1916,02_INDICADORES!$A$2:$A$42,0)),"ID?"))</f>
        <v/>
      </c>
      <c r="H1916" s="22" t="str">
        <f aca="false">IF(E1916="","",IFERROR(INDEX(02_INDICADORES!$D$2:$D$42,MATCH(E1916,02_INDICADORES!$A$2:$A$42,0)),""))</f>
        <v/>
      </c>
      <c r="I1916" s="9"/>
      <c r="J1916" s="16" t="str">
        <f aca="false">IF(OR(I1916="",H1916=""),"",I1916*H1916)</f>
        <v/>
      </c>
      <c r="K1916" s="9"/>
      <c r="L1916" s="9"/>
      <c r="M1916" s="9"/>
    </row>
    <row r="1917" customFormat="false" ht="15" hidden="false" customHeight="false" outlineLevel="0" collapsed="false">
      <c r="A1917" s="9"/>
      <c r="B1917" s="9"/>
      <c r="C1917" s="11"/>
      <c r="D1917" s="9"/>
      <c r="E1917" s="9"/>
      <c r="F1917" s="22" t="str">
        <f aca="false">IF(E1917="","",IFERROR(INDEX(02_INDICADORES!$B$2:$B$42,MATCH(E1917,02_INDICADORES!$A$2:$A$42,0)),"ID?"))</f>
        <v/>
      </c>
      <c r="G1917" s="21" t="str">
        <f aca="false">IF(E1917="","",IFERROR(INDEX(02_INDICADORES!$C$2:$C$42,MATCH(E1917,02_INDICADORES!$A$2:$A$42,0)),"ID?"))</f>
        <v/>
      </c>
      <c r="H1917" s="22" t="str">
        <f aca="false">IF(E1917="","",IFERROR(INDEX(02_INDICADORES!$D$2:$D$42,MATCH(E1917,02_INDICADORES!$A$2:$A$42,0)),""))</f>
        <v/>
      </c>
      <c r="I1917" s="9"/>
      <c r="J1917" s="16" t="str">
        <f aca="false">IF(OR(I1917="",H1917=""),"",I1917*H1917)</f>
        <v/>
      </c>
      <c r="K1917" s="9"/>
      <c r="L1917" s="9"/>
      <c r="M1917" s="9"/>
    </row>
    <row r="1918" customFormat="false" ht="15" hidden="false" customHeight="false" outlineLevel="0" collapsed="false">
      <c r="A1918" s="9"/>
      <c r="B1918" s="9"/>
      <c r="C1918" s="11"/>
      <c r="D1918" s="9"/>
      <c r="E1918" s="9"/>
      <c r="F1918" s="22" t="str">
        <f aca="false">IF(E1918="","",IFERROR(INDEX(02_INDICADORES!$B$2:$B$42,MATCH(E1918,02_INDICADORES!$A$2:$A$42,0)),"ID?"))</f>
        <v/>
      </c>
      <c r="G1918" s="21" t="str">
        <f aca="false">IF(E1918="","",IFERROR(INDEX(02_INDICADORES!$C$2:$C$42,MATCH(E1918,02_INDICADORES!$A$2:$A$42,0)),"ID?"))</f>
        <v/>
      </c>
      <c r="H1918" s="22" t="str">
        <f aca="false">IF(E1918="","",IFERROR(INDEX(02_INDICADORES!$D$2:$D$42,MATCH(E1918,02_INDICADORES!$A$2:$A$42,0)),""))</f>
        <v/>
      </c>
      <c r="I1918" s="9"/>
      <c r="J1918" s="16" t="str">
        <f aca="false">IF(OR(I1918="",H1918=""),"",I1918*H1918)</f>
        <v/>
      </c>
      <c r="K1918" s="9"/>
      <c r="L1918" s="9"/>
      <c r="M1918" s="9"/>
    </row>
    <row r="1919" customFormat="false" ht="15" hidden="false" customHeight="false" outlineLevel="0" collapsed="false">
      <c r="A1919" s="9"/>
      <c r="B1919" s="9"/>
      <c r="C1919" s="11"/>
      <c r="D1919" s="9"/>
      <c r="E1919" s="9"/>
      <c r="F1919" s="22" t="str">
        <f aca="false">IF(E1919="","",IFERROR(INDEX(02_INDICADORES!$B$2:$B$42,MATCH(E1919,02_INDICADORES!$A$2:$A$42,0)),"ID?"))</f>
        <v/>
      </c>
      <c r="G1919" s="21" t="str">
        <f aca="false">IF(E1919="","",IFERROR(INDEX(02_INDICADORES!$C$2:$C$42,MATCH(E1919,02_INDICADORES!$A$2:$A$42,0)),"ID?"))</f>
        <v/>
      </c>
      <c r="H1919" s="22" t="str">
        <f aca="false">IF(E1919="","",IFERROR(INDEX(02_INDICADORES!$D$2:$D$42,MATCH(E1919,02_INDICADORES!$A$2:$A$42,0)),""))</f>
        <v/>
      </c>
      <c r="I1919" s="9"/>
      <c r="J1919" s="16" t="str">
        <f aca="false">IF(OR(I1919="",H1919=""),"",I1919*H1919)</f>
        <v/>
      </c>
      <c r="K1919" s="9"/>
      <c r="L1919" s="9"/>
      <c r="M1919" s="9"/>
    </row>
    <row r="1920" customFormat="false" ht="15" hidden="false" customHeight="false" outlineLevel="0" collapsed="false">
      <c r="A1920" s="9"/>
      <c r="B1920" s="9"/>
      <c r="C1920" s="11"/>
      <c r="D1920" s="9"/>
      <c r="E1920" s="9"/>
      <c r="F1920" s="22" t="str">
        <f aca="false">IF(E1920="","",IFERROR(INDEX(02_INDICADORES!$B$2:$B$42,MATCH(E1920,02_INDICADORES!$A$2:$A$42,0)),"ID?"))</f>
        <v/>
      </c>
      <c r="G1920" s="21" t="str">
        <f aca="false">IF(E1920="","",IFERROR(INDEX(02_INDICADORES!$C$2:$C$42,MATCH(E1920,02_INDICADORES!$A$2:$A$42,0)),"ID?"))</f>
        <v/>
      </c>
      <c r="H1920" s="22" t="str">
        <f aca="false">IF(E1920="","",IFERROR(INDEX(02_INDICADORES!$D$2:$D$42,MATCH(E1920,02_INDICADORES!$A$2:$A$42,0)),""))</f>
        <v/>
      </c>
      <c r="I1920" s="9"/>
      <c r="J1920" s="16" t="str">
        <f aca="false">IF(OR(I1920="",H1920=""),"",I1920*H1920)</f>
        <v/>
      </c>
      <c r="K1920" s="9"/>
      <c r="L1920" s="9"/>
      <c r="M1920" s="9"/>
    </row>
    <row r="1921" customFormat="false" ht="15" hidden="false" customHeight="false" outlineLevel="0" collapsed="false">
      <c r="A1921" s="9"/>
      <c r="B1921" s="9"/>
      <c r="C1921" s="11"/>
      <c r="D1921" s="9"/>
      <c r="E1921" s="9"/>
      <c r="F1921" s="22" t="str">
        <f aca="false">IF(E1921="","",IFERROR(INDEX(02_INDICADORES!$B$2:$B$42,MATCH(E1921,02_INDICADORES!$A$2:$A$42,0)),"ID?"))</f>
        <v/>
      </c>
      <c r="G1921" s="21" t="str">
        <f aca="false">IF(E1921="","",IFERROR(INDEX(02_INDICADORES!$C$2:$C$42,MATCH(E1921,02_INDICADORES!$A$2:$A$42,0)),"ID?"))</f>
        <v/>
      </c>
      <c r="H1921" s="22" t="str">
        <f aca="false">IF(E1921="","",IFERROR(INDEX(02_INDICADORES!$D$2:$D$42,MATCH(E1921,02_INDICADORES!$A$2:$A$42,0)),""))</f>
        <v/>
      </c>
      <c r="I1921" s="9"/>
      <c r="J1921" s="16" t="str">
        <f aca="false">IF(OR(I1921="",H1921=""),"",I1921*H1921)</f>
        <v/>
      </c>
      <c r="K1921" s="9"/>
      <c r="L1921" s="9"/>
      <c r="M1921" s="9"/>
    </row>
    <row r="1922" customFormat="false" ht="15" hidden="false" customHeight="false" outlineLevel="0" collapsed="false">
      <c r="A1922" s="9"/>
      <c r="B1922" s="9"/>
      <c r="C1922" s="11"/>
      <c r="D1922" s="9"/>
      <c r="E1922" s="9"/>
      <c r="F1922" s="22" t="str">
        <f aca="false">IF(E1922="","",IFERROR(INDEX(02_INDICADORES!$B$2:$B$42,MATCH(E1922,02_INDICADORES!$A$2:$A$42,0)),"ID?"))</f>
        <v/>
      </c>
      <c r="G1922" s="21" t="str">
        <f aca="false">IF(E1922="","",IFERROR(INDEX(02_INDICADORES!$C$2:$C$42,MATCH(E1922,02_INDICADORES!$A$2:$A$42,0)),"ID?"))</f>
        <v/>
      </c>
      <c r="H1922" s="22" t="str">
        <f aca="false">IF(E1922="","",IFERROR(INDEX(02_INDICADORES!$D$2:$D$42,MATCH(E1922,02_INDICADORES!$A$2:$A$42,0)),""))</f>
        <v/>
      </c>
      <c r="I1922" s="9"/>
      <c r="J1922" s="16" t="str">
        <f aca="false">IF(OR(I1922="",H1922=""),"",I1922*H1922)</f>
        <v/>
      </c>
      <c r="K1922" s="9"/>
      <c r="L1922" s="9"/>
      <c r="M1922" s="9"/>
    </row>
    <row r="1923" customFormat="false" ht="15" hidden="false" customHeight="false" outlineLevel="0" collapsed="false">
      <c r="A1923" s="9"/>
      <c r="B1923" s="9"/>
      <c r="C1923" s="11"/>
      <c r="D1923" s="9"/>
      <c r="E1923" s="9"/>
      <c r="F1923" s="22" t="str">
        <f aca="false">IF(E1923="","",IFERROR(INDEX(02_INDICADORES!$B$2:$B$42,MATCH(E1923,02_INDICADORES!$A$2:$A$42,0)),"ID?"))</f>
        <v/>
      </c>
      <c r="G1923" s="21" t="str">
        <f aca="false">IF(E1923="","",IFERROR(INDEX(02_INDICADORES!$C$2:$C$42,MATCH(E1923,02_INDICADORES!$A$2:$A$42,0)),"ID?"))</f>
        <v/>
      </c>
      <c r="H1923" s="22" t="str">
        <f aca="false">IF(E1923="","",IFERROR(INDEX(02_INDICADORES!$D$2:$D$42,MATCH(E1923,02_INDICADORES!$A$2:$A$42,0)),""))</f>
        <v/>
      </c>
      <c r="I1923" s="9"/>
      <c r="J1923" s="16" t="str">
        <f aca="false">IF(OR(I1923="",H1923=""),"",I1923*H1923)</f>
        <v/>
      </c>
      <c r="K1923" s="9"/>
      <c r="L1923" s="9"/>
      <c r="M1923" s="9"/>
    </row>
    <row r="1924" customFormat="false" ht="15" hidden="false" customHeight="false" outlineLevel="0" collapsed="false">
      <c r="A1924" s="9"/>
      <c r="B1924" s="9"/>
      <c r="C1924" s="11"/>
      <c r="D1924" s="9"/>
      <c r="E1924" s="9"/>
      <c r="F1924" s="22" t="str">
        <f aca="false">IF(E1924="","",IFERROR(INDEX(02_INDICADORES!$B$2:$B$42,MATCH(E1924,02_INDICADORES!$A$2:$A$42,0)),"ID?"))</f>
        <v/>
      </c>
      <c r="G1924" s="21" t="str">
        <f aca="false">IF(E1924="","",IFERROR(INDEX(02_INDICADORES!$C$2:$C$42,MATCH(E1924,02_INDICADORES!$A$2:$A$42,0)),"ID?"))</f>
        <v/>
      </c>
      <c r="H1924" s="22" t="str">
        <f aca="false">IF(E1924="","",IFERROR(INDEX(02_INDICADORES!$D$2:$D$42,MATCH(E1924,02_INDICADORES!$A$2:$A$42,0)),""))</f>
        <v/>
      </c>
      <c r="I1924" s="9"/>
      <c r="J1924" s="16" t="str">
        <f aca="false">IF(OR(I1924="",H1924=""),"",I1924*H1924)</f>
        <v/>
      </c>
      <c r="K1924" s="9"/>
      <c r="L1924" s="9"/>
      <c r="M1924" s="9"/>
    </row>
    <row r="1925" customFormat="false" ht="15" hidden="false" customHeight="false" outlineLevel="0" collapsed="false">
      <c r="A1925" s="9"/>
      <c r="B1925" s="9"/>
      <c r="C1925" s="11"/>
      <c r="D1925" s="9"/>
      <c r="E1925" s="9"/>
      <c r="F1925" s="22" t="str">
        <f aca="false">IF(E1925="","",IFERROR(INDEX(02_INDICADORES!$B$2:$B$42,MATCH(E1925,02_INDICADORES!$A$2:$A$42,0)),"ID?"))</f>
        <v/>
      </c>
      <c r="G1925" s="21" t="str">
        <f aca="false">IF(E1925="","",IFERROR(INDEX(02_INDICADORES!$C$2:$C$42,MATCH(E1925,02_INDICADORES!$A$2:$A$42,0)),"ID?"))</f>
        <v/>
      </c>
      <c r="H1925" s="22" t="str">
        <f aca="false">IF(E1925="","",IFERROR(INDEX(02_INDICADORES!$D$2:$D$42,MATCH(E1925,02_INDICADORES!$A$2:$A$42,0)),""))</f>
        <v/>
      </c>
      <c r="I1925" s="9"/>
      <c r="J1925" s="16" t="str">
        <f aca="false">IF(OR(I1925="",H1925=""),"",I1925*H1925)</f>
        <v/>
      </c>
      <c r="K1925" s="9"/>
      <c r="L1925" s="9"/>
      <c r="M1925" s="9"/>
    </row>
    <row r="1926" customFormat="false" ht="15" hidden="false" customHeight="false" outlineLevel="0" collapsed="false">
      <c r="A1926" s="9"/>
      <c r="B1926" s="9"/>
      <c r="C1926" s="11"/>
      <c r="D1926" s="9"/>
      <c r="E1926" s="9"/>
      <c r="F1926" s="22" t="str">
        <f aca="false">IF(E1926="","",IFERROR(INDEX(02_INDICADORES!$B$2:$B$42,MATCH(E1926,02_INDICADORES!$A$2:$A$42,0)),"ID?"))</f>
        <v/>
      </c>
      <c r="G1926" s="21" t="str">
        <f aca="false">IF(E1926="","",IFERROR(INDEX(02_INDICADORES!$C$2:$C$42,MATCH(E1926,02_INDICADORES!$A$2:$A$42,0)),"ID?"))</f>
        <v/>
      </c>
      <c r="H1926" s="22" t="str">
        <f aca="false">IF(E1926="","",IFERROR(INDEX(02_INDICADORES!$D$2:$D$42,MATCH(E1926,02_INDICADORES!$A$2:$A$42,0)),""))</f>
        <v/>
      </c>
      <c r="I1926" s="9"/>
      <c r="J1926" s="16" t="str">
        <f aca="false">IF(OR(I1926="",H1926=""),"",I1926*H1926)</f>
        <v/>
      </c>
      <c r="K1926" s="9"/>
      <c r="L1926" s="9"/>
      <c r="M1926" s="9"/>
    </row>
    <row r="1927" customFormat="false" ht="15" hidden="false" customHeight="false" outlineLevel="0" collapsed="false">
      <c r="A1927" s="9"/>
      <c r="B1927" s="9"/>
      <c r="C1927" s="11"/>
      <c r="D1927" s="9"/>
      <c r="E1927" s="9"/>
      <c r="F1927" s="22" t="str">
        <f aca="false">IF(E1927="","",IFERROR(INDEX(02_INDICADORES!$B$2:$B$42,MATCH(E1927,02_INDICADORES!$A$2:$A$42,0)),"ID?"))</f>
        <v/>
      </c>
      <c r="G1927" s="21" t="str">
        <f aca="false">IF(E1927="","",IFERROR(INDEX(02_INDICADORES!$C$2:$C$42,MATCH(E1927,02_INDICADORES!$A$2:$A$42,0)),"ID?"))</f>
        <v/>
      </c>
      <c r="H1927" s="22" t="str">
        <f aca="false">IF(E1927="","",IFERROR(INDEX(02_INDICADORES!$D$2:$D$42,MATCH(E1927,02_INDICADORES!$A$2:$A$42,0)),""))</f>
        <v/>
      </c>
      <c r="I1927" s="9"/>
      <c r="J1927" s="16" t="str">
        <f aca="false">IF(OR(I1927="",H1927=""),"",I1927*H1927)</f>
        <v/>
      </c>
      <c r="K1927" s="9"/>
      <c r="L1927" s="9"/>
      <c r="M1927" s="9"/>
    </row>
    <row r="1928" customFormat="false" ht="15" hidden="false" customHeight="false" outlineLevel="0" collapsed="false">
      <c r="A1928" s="9"/>
      <c r="B1928" s="9"/>
      <c r="C1928" s="11"/>
      <c r="D1928" s="9"/>
      <c r="E1928" s="9"/>
      <c r="F1928" s="22" t="str">
        <f aca="false">IF(E1928="","",IFERROR(INDEX(02_INDICADORES!$B$2:$B$42,MATCH(E1928,02_INDICADORES!$A$2:$A$42,0)),"ID?"))</f>
        <v/>
      </c>
      <c r="G1928" s="21" t="str">
        <f aca="false">IF(E1928="","",IFERROR(INDEX(02_INDICADORES!$C$2:$C$42,MATCH(E1928,02_INDICADORES!$A$2:$A$42,0)),"ID?"))</f>
        <v/>
      </c>
      <c r="H1928" s="22" t="str">
        <f aca="false">IF(E1928="","",IFERROR(INDEX(02_INDICADORES!$D$2:$D$42,MATCH(E1928,02_INDICADORES!$A$2:$A$42,0)),""))</f>
        <v/>
      </c>
      <c r="I1928" s="9"/>
      <c r="J1928" s="16" t="str">
        <f aca="false">IF(OR(I1928="",H1928=""),"",I1928*H1928)</f>
        <v/>
      </c>
      <c r="K1928" s="9"/>
      <c r="L1928" s="9"/>
      <c r="M1928" s="9"/>
    </row>
    <row r="1929" customFormat="false" ht="15" hidden="false" customHeight="false" outlineLevel="0" collapsed="false">
      <c r="A1929" s="9"/>
      <c r="B1929" s="9"/>
      <c r="C1929" s="11"/>
      <c r="D1929" s="9"/>
      <c r="E1929" s="9"/>
      <c r="F1929" s="22" t="str">
        <f aca="false">IF(E1929="","",IFERROR(INDEX(02_INDICADORES!$B$2:$B$42,MATCH(E1929,02_INDICADORES!$A$2:$A$42,0)),"ID?"))</f>
        <v/>
      </c>
      <c r="G1929" s="21" t="str">
        <f aca="false">IF(E1929="","",IFERROR(INDEX(02_INDICADORES!$C$2:$C$42,MATCH(E1929,02_INDICADORES!$A$2:$A$42,0)),"ID?"))</f>
        <v/>
      </c>
      <c r="H1929" s="22" t="str">
        <f aca="false">IF(E1929="","",IFERROR(INDEX(02_INDICADORES!$D$2:$D$42,MATCH(E1929,02_INDICADORES!$A$2:$A$42,0)),""))</f>
        <v/>
      </c>
      <c r="I1929" s="9"/>
      <c r="J1929" s="16" t="str">
        <f aca="false">IF(OR(I1929="",H1929=""),"",I1929*H1929)</f>
        <v/>
      </c>
      <c r="K1929" s="9"/>
      <c r="L1929" s="9"/>
      <c r="M1929" s="9"/>
    </row>
    <row r="1930" customFormat="false" ht="15" hidden="false" customHeight="false" outlineLevel="0" collapsed="false">
      <c r="A1930" s="9"/>
      <c r="B1930" s="9"/>
      <c r="C1930" s="11"/>
      <c r="D1930" s="9"/>
      <c r="E1930" s="9"/>
      <c r="F1930" s="22" t="str">
        <f aca="false">IF(E1930="","",IFERROR(INDEX(02_INDICADORES!$B$2:$B$42,MATCH(E1930,02_INDICADORES!$A$2:$A$42,0)),"ID?"))</f>
        <v/>
      </c>
      <c r="G1930" s="21" t="str">
        <f aca="false">IF(E1930="","",IFERROR(INDEX(02_INDICADORES!$C$2:$C$42,MATCH(E1930,02_INDICADORES!$A$2:$A$42,0)),"ID?"))</f>
        <v/>
      </c>
      <c r="H1930" s="22" t="str">
        <f aca="false">IF(E1930="","",IFERROR(INDEX(02_INDICADORES!$D$2:$D$42,MATCH(E1930,02_INDICADORES!$A$2:$A$42,0)),""))</f>
        <v/>
      </c>
      <c r="I1930" s="9"/>
      <c r="J1930" s="16" t="str">
        <f aca="false">IF(OR(I1930="",H1930=""),"",I1930*H1930)</f>
        <v/>
      </c>
      <c r="K1930" s="9"/>
      <c r="L1930" s="9"/>
      <c r="M1930" s="9"/>
    </row>
    <row r="1931" customFormat="false" ht="15" hidden="false" customHeight="false" outlineLevel="0" collapsed="false">
      <c r="A1931" s="9"/>
      <c r="B1931" s="9"/>
      <c r="C1931" s="11"/>
      <c r="D1931" s="9"/>
      <c r="E1931" s="9"/>
      <c r="F1931" s="22" t="str">
        <f aca="false">IF(E1931="","",IFERROR(INDEX(02_INDICADORES!$B$2:$B$42,MATCH(E1931,02_INDICADORES!$A$2:$A$42,0)),"ID?"))</f>
        <v/>
      </c>
      <c r="G1931" s="21" t="str">
        <f aca="false">IF(E1931="","",IFERROR(INDEX(02_INDICADORES!$C$2:$C$42,MATCH(E1931,02_INDICADORES!$A$2:$A$42,0)),"ID?"))</f>
        <v/>
      </c>
      <c r="H1931" s="22" t="str">
        <f aca="false">IF(E1931="","",IFERROR(INDEX(02_INDICADORES!$D$2:$D$42,MATCH(E1931,02_INDICADORES!$A$2:$A$42,0)),""))</f>
        <v/>
      </c>
      <c r="I1931" s="9"/>
      <c r="J1931" s="16" t="str">
        <f aca="false">IF(OR(I1931="",H1931=""),"",I1931*H1931)</f>
        <v/>
      </c>
      <c r="K1931" s="9"/>
      <c r="L1931" s="9"/>
      <c r="M1931" s="9"/>
    </row>
    <row r="1932" customFormat="false" ht="15" hidden="false" customHeight="false" outlineLevel="0" collapsed="false">
      <c r="A1932" s="9"/>
      <c r="B1932" s="9"/>
      <c r="C1932" s="11"/>
      <c r="D1932" s="9"/>
      <c r="E1932" s="9"/>
      <c r="F1932" s="22" t="str">
        <f aca="false">IF(E1932="","",IFERROR(INDEX(02_INDICADORES!$B$2:$B$42,MATCH(E1932,02_INDICADORES!$A$2:$A$42,0)),"ID?"))</f>
        <v/>
      </c>
      <c r="G1932" s="21" t="str">
        <f aca="false">IF(E1932="","",IFERROR(INDEX(02_INDICADORES!$C$2:$C$42,MATCH(E1932,02_INDICADORES!$A$2:$A$42,0)),"ID?"))</f>
        <v/>
      </c>
      <c r="H1932" s="22" t="str">
        <f aca="false">IF(E1932="","",IFERROR(INDEX(02_INDICADORES!$D$2:$D$42,MATCH(E1932,02_INDICADORES!$A$2:$A$42,0)),""))</f>
        <v/>
      </c>
      <c r="I1932" s="9"/>
      <c r="J1932" s="16" t="str">
        <f aca="false">IF(OR(I1932="",H1932=""),"",I1932*H1932)</f>
        <v/>
      </c>
      <c r="K1932" s="9"/>
      <c r="L1932" s="9"/>
      <c r="M1932" s="9"/>
    </row>
    <row r="1933" customFormat="false" ht="15" hidden="false" customHeight="false" outlineLevel="0" collapsed="false">
      <c r="A1933" s="9"/>
      <c r="B1933" s="9"/>
      <c r="C1933" s="11"/>
      <c r="D1933" s="9"/>
      <c r="E1933" s="9"/>
      <c r="F1933" s="22" t="str">
        <f aca="false">IF(E1933="","",IFERROR(INDEX(02_INDICADORES!$B$2:$B$42,MATCH(E1933,02_INDICADORES!$A$2:$A$42,0)),"ID?"))</f>
        <v/>
      </c>
      <c r="G1933" s="21" t="str">
        <f aca="false">IF(E1933="","",IFERROR(INDEX(02_INDICADORES!$C$2:$C$42,MATCH(E1933,02_INDICADORES!$A$2:$A$42,0)),"ID?"))</f>
        <v/>
      </c>
      <c r="H1933" s="22" t="str">
        <f aca="false">IF(E1933="","",IFERROR(INDEX(02_INDICADORES!$D$2:$D$42,MATCH(E1933,02_INDICADORES!$A$2:$A$42,0)),""))</f>
        <v/>
      </c>
      <c r="I1933" s="9"/>
      <c r="J1933" s="16" t="str">
        <f aca="false">IF(OR(I1933="",H1933=""),"",I1933*H1933)</f>
        <v/>
      </c>
      <c r="K1933" s="9"/>
      <c r="L1933" s="9"/>
      <c r="M1933" s="9"/>
    </row>
    <row r="1934" customFormat="false" ht="15" hidden="false" customHeight="false" outlineLevel="0" collapsed="false">
      <c r="A1934" s="9"/>
      <c r="B1934" s="9"/>
      <c r="C1934" s="11"/>
      <c r="D1934" s="9"/>
      <c r="E1934" s="9"/>
      <c r="F1934" s="22" t="str">
        <f aca="false">IF(E1934="","",IFERROR(INDEX(02_INDICADORES!$B$2:$B$42,MATCH(E1934,02_INDICADORES!$A$2:$A$42,0)),"ID?"))</f>
        <v/>
      </c>
      <c r="G1934" s="21" t="str">
        <f aca="false">IF(E1934="","",IFERROR(INDEX(02_INDICADORES!$C$2:$C$42,MATCH(E1934,02_INDICADORES!$A$2:$A$42,0)),"ID?"))</f>
        <v/>
      </c>
      <c r="H1934" s="22" t="str">
        <f aca="false">IF(E1934="","",IFERROR(INDEX(02_INDICADORES!$D$2:$D$42,MATCH(E1934,02_INDICADORES!$A$2:$A$42,0)),""))</f>
        <v/>
      </c>
      <c r="I1934" s="9"/>
      <c r="J1934" s="16" t="str">
        <f aca="false">IF(OR(I1934="",H1934=""),"",I1934*H1934)</f>
        <v/>
      </c>
      <c r="K1934" s="9"/>
      <c r="L1934" s="9"/>
      <c r="M1934" s="9"/>
    </row>
    <row r="1935" customFormat="false" ht="15" hidden="false" customHeight="false" outlineLevel="0" collapsed="false">
      <c r="A1935" s="9"/>
      <c r="B1935" s="9"/>
      <c r="C1935" s="11"/>
      <c r="D1935" s="9"/>
      <c r="E1935" s="9"/>
      <c r="F1935" s="22" t="str">
        <f aca="false">IF(E1935="","",IFERROR(INDEX(02_INDICADORES!$B$2:$B$42,MATCH(E1935,02_INDICADORES!$A$2:$A$42,0)),"ID?"))</f>
        <v/>
      </c>
      <c r="G1935" s="21" t="str">
        <f aca="false">IF(E1935="","",IFERROR(INDEX(02_INDICADORES!$C$2:$C$42,MATCH(E1935,02_INDICADORES!$A$2:$A$42,0)),"ID?"))</f>
        <v/>
      </c>
      <c r="H1935" s="22" t="str">
        <f aca="false">IF(E1935="","",IFERROR(INDEX(02_INDICADORES!$D$2:$D$42,MATCH(E1935,02_INDICADORES!$A$2:$A$42,0)),""))</f>
        <v/>
      </c>
      <c r="I1935" s="9"/>
      <c r="J1935" s="16" t="str">
        <f aca="false">IF(OR(I1935="",H1935=""),"",I1935*H1935)</f>
        <v/>
      </c>
      <c r="K1935" s="9"/>
      <c r="L1935" s="9"/>
      <c r="M1935" s="9"/>
    </row>
    <row r="1936" customFormat="false" ht="15" hidden="false" customHeight="false" outlineLevel="0" collapsed="false">
      <c r="A1936" s="9"/>
      <c r="B1936" s="9"/>
      <c r="C1936" s="11"/>
      <c r="D1936" s="9"/>
      <c r="E1936" s="9"/>
      <c r="F1936" s="22" t="str">
        <f aca="false">IF(E1936="","",IFERROR(INDEX(02_INDICADORES!$B$2:$B$42,MATCH(E1936,02_INDICADORES!$A$2:$A$42,0)),"ID?"))</f>
        <v/>
      </c>
      <c r="G1936" s="21" t="str">
        <f aca="false">IF(E1936="","",IFERROR(INDEX(02_INDICADORES!$C$2:$C$42,MATCH(E1936,02_INDICADORES!$A$2:$A$42,0)),"ID?"))</f>
        <v/>
      </c>
      <c r="H1936" s="22" t="str">
        <f aca="false">IF(E1936="","",IFERROR(INDEX(02_INDICADORES!$D$2:$D$42,MATCH(E1936,02_INDICADORES!$A$2:$A$42,0)),""))</f>
        <v/>
      </c>
      <c r="I1936" s="9"/>
      <c r="J1936" s="16" t="str">
        <f aca="false">IF(OR(I1936="",H1936=""),"",I1936*H1936)</f>
        <v/>
      </c>
      <c r="K1936" s="9"/>
      <c r="L1936" s="9"/>
      <c r="M1936" s="9"/>
    </row>
    <row r="1937" customFormat="false" ht="15" hidden="false" customHeight="false" outlineLevel="0" collapsed="false">
      <c r="A1937" s="9"/>
      <c r="B1937" s="9"/>
      <c r="C1937" s="11"/>
      <c r="D1937" s="9"/>
      <c r="E1937" s="9"/>
      <c r="F1937" s="22" t="str">
        <f aca="false">IF(E1937="","",IFERROR(INDEX(02_INDICADORES!$B$2:$B$42,MATCH(E1937,02_INDICADORES!$A$2:$A$42,0)),"ID?"))</f>
        <v/>
      </c>
      <c r="G1937" s="21" t="str">
        <f aca="false">IF(E1937="","",IFERROR(INDEX(02_INDICADORES!$C$2:$C$42,MATCH(E1937,02_INDICADORES!$A$2:$A$42,0)),"ID?"))</f>
        <v/>
      </c>
      <c r="H1937" s="22" t="str">
        <f aca="false">IF(E1937="","",IFERROR(INDEX(02_INDICADORES!$D$2:$D$42,MATCH(E1937,02_INDICADORES!$A$2:$A$42,0)),""))</f>
        <v/>
      </c>
      <c r="I1937" s="9"/>
      <c r="J1937" s="16" t="str">
        <f aca="false">IF(OR(I1937="",H1937=""),"",I1937*H1937)</f>
        <v/>
      </c>
      <c r="K1937" s="9"/>
      <c r="L1937" s="9"/>
      <c r="M1937" s="9"/>
    </row>
    <row r="1938" customFormat="false" ht="15" hidden="false" customHeight="false" outlineLevel="0" collapsed="false">
      <c r="A1938" s="9"/>
      <c r="B1938" s="9"/>
      <c r="C1938" s="11"/>
      <c r="D1938" s="9"/>
      <c r="E1938" s="9"/>
      <c r="F1938" s="22" t="str">
        <f aca="false">IF(E1938="","",IFERROR(INDEX(02_INDICADORES!$B$2:$B$42,MATCH(E1938,02_INDICADORES!$A$2:$A$42,0)),"ID?"))</f>
        <v/>
      </c>
      <c r="G1938" s="21" t="str">
        <f aca="false">IF(E1938="","",IFERROR(INDEX(02_INDICADORES!$C$2:$C$42,MATCH(E1938,02_INDICADORES!$A$2:$A$42,0)),"ID?"))</f>
        <v/>
      </c>
      <c r="H1938" s="22" t="str">
        <f aca="false">IF(E1938="","",IFERROR(INDEX(02_INDICADORES!$D$2:$D$42,MATCH(E1938,02_INDICADORES!$A$2:$A$42,0)),""))</f>
        <v/>
      </c>
      <c r="I1938" s="9"/>
      <c r="J1938" s="16" t="str">
        <f aca="false">IF(OR(I1938="",H1938=""),"",I1938*H1938)</f>
        <v/>
      </c>
      <c r="K1938" s="9"/>
      <c r="L1938" s="9"/>
      <c r="M1938" s="9"/>
    </row>
    <row r="1939" customFormat="false" ht="15" hidden="false" customHeight="false" outlineLevel="0" collapsed="false">
      <c r="A1939" s="9"/>
      <c r="B1939" s="9"/>
      <c r="C1939" s="11"/>
      <c r="D1939" s="9"/>
      <c r="E1939" s="9"/>
      <c r="F1939" s="22" t="str">
        <f aca="false">IF(E1939="","",IFERROR(INDEX(02_INDICADORES!$B$2:$B$42,MATCH(E1939,02_INDICADORES!$A$2:$A$42,0)),"ID?"))</f>
        <v/>
      </c>
      <c r="G1939" s="21" t="str">
        <f aca="false">IF(E1939="","",IFERROR(INDEX(02_INDICADORES!$C$2:$C$42,MATCH(E1939,02_INDICADORES!$A$2:$A$42,0)),"ID?"))</f>
        <v/>
      </c>
      <c r="H1939" s="22" t="str">
        <f aca="false">IF(E1939="","",IFERROR(INDEX(02_INDICADORES!$D$2:$D$42,MATCH(E1939,02_INDICADORES!$A$2:$A$42,0)),""))</f>
        <v/>
      </c>
      <c r="I1939" s="9"/>
      <c r="J1939" s="16" t="str">
        <f aca="false">IF(OR(I1939="",H1939=""),"",I1939*H1939)</f>
        <v/>
      </c>
      <c r="K1939" s="9"/>
      <c r="L1939" s="9"/>
      <c r="M1939" s="9"/>
    </row>
    <row r="1940" customFormat="false" ht="15" hidden="false" customHeight="false" outlineLevel="0" collapsed="false">
      <c r="A1940" s="9"/>
      <c r="B1940" s="9"/>
      <c r="C1940" s="11"/>
      <c r="D1940" s="9"/>
      <c r="E1940" s="9"/>
      <c r="F1940" s="22" t="str">
        <f aca="false">IF(E1940="","",IFERROR(INDEX(02_INDICADORES!$B$2:$B$42,MATCH(E1940,02_INDICADORES!$A$2:$A$42,0)),"ID?"))</f>
        <v/>
      </c>
      <c r="G1940" s="21" t="str">
        <f aca="false">IF(E1940="","",IFERROR(INDEX(02_INDICADORES!$C$2:$C$42,MATCH(E1940,02_INDICADORES!$A$2:$A$42,0)),"ID?"))</f>
        <v/>
      </c>
      <c r="H1940" s="22" t="str">
        <f aca="false">IF(E1940="","",IFERROR(INDEX(02_INDICADORES!$D$2:$D$42,MATCH(E1940,02_INDICADORES!$A$2:$A$42,0)),""))</f>
        <v/>
      </c>
      <c r="I1940" s="9"/>
      <c r="J1940" s="16" t="str">
        <f aca="false">IF(OR(I1940="",H1940=""),"",I1940*H1940)</f>
        <v/>
      </c>
      <c r="K1940" s="9"/>
      <c r="L1940" s="9"/>
      <c r="M1940" s="9"/>
    </row>
    <row r="1941" customFormat="false" ht="15" hidden="false" customHeight="false" outlineLevel="0" collapsed="false">
      <c r="A1941" s="9"/>
      <c r="B1941" s="9"/>
      <c r="C1941" s="11"/>
      <c r="D1941" s="9"/>
      <c r="E1941" s="9"/>
      <c r="F1941" s="22" t="str">
        <f aca="false">IF(E1941="","",IFERROR(INDEX(02_INDICADORES!$B$2:$B$42,MATCH(E1941,02_INDICADORES!$A$2:$A$42,0)),"ID?"))</f>
        <v/>
      </c>
      <c r="G1941" s="21" t="str">
        <f aca="false">IF(E1941="","",IFERROR(INDEX(02_INDICADORES!$C$2:$C$42,MATCH(E1941,02_INDICADORES!$A$2:$A$42,0)),"ID?"))</f>
        <v/>
      </c>
      <c r="H1941" s="22" t="str">
        <f aca="false">IF(E1941="","",IFERROR(INDEX(02_INDICADORES!$D$2:$D$42,MATCH(E1941,02_INDICADORES!$A$2:$A$42,0)),""))</f>
        <v/>
      </c>
      <c r="I1941" s="9"/>
      <c r="J1941" s="16" t="str">
        <f aca="false">IF(OR(I1941="",H1941=""),"",I1941*H1941)</f>
        <v/>
      </c>
      <c r="K1941" s="9"/>
      <c r="L1941" s="9"/>
      <c r="M1941" s="9"/>
    </row>
    <row r="1942" customFormat="false" ht="15" hidden="false" customHeight="false" outlineLevel="0" collapsed="false">
      <c r="A1942" s="9"/>
      <c r="B1942" s="9"/>
      <c r="C1942" s="11"/>
      <c r="D1942" s="9"/>
      <c r="E1942" s="9"/>
      <c r="F1942" s="22" t="str">
        <f aca="false">IF(E1942="","",IFERROR(INDEX(02_INDICADORES!$B$2:$B$42,MATCH(E1942,02_INDICADORES!$A$2:$A$42,0)),"ID?"))</f>
        <v/>
      </c>
      <c r="G1942" s="21" t="str">
        <f aca="false">IF(E1942="","",IFERROR(INDEX(02_INDICADORES!$C$2:$C$42,MATCH(E1942,02_INDICADORES!$A$2:$A$42,0)),"ID?"))</f>
        <v/>
      </c>
      <c r="H1942" s="22" t="str">
        <f aca="false">IF(E1942="","",IFERROR(INDEX(02_INDICADORES!$D$2:$D$42,MATCH(E1942,02_INDICADORES!$A$2:$A$42,0)),""))</f>
        <v/>
      </c>
      <c r="I1942" s="9"/>
      <c r="J1942" s="16" t="str">
        <f aca="false">IF(OR(I1942="",H1942=""),"",I1942*H1942)</f>
        <v/>
      </c>
      <c r="K1942" s="9"/>
      <c r="L1942" s="9"/>
      <c r="M1942" s="9"/>
    </row>
    <row r="1943" customFormat="false" ht="15" hidden="false" customHeight="false" outlineLevel="0" collapsed="false">
      <c r="A1943" s="9"/>
      <c r="B1943" s="9"/>
      <c r="C1943" s="11"/>
      <c r="D1943" s="9"/>
      <c r="E1943" s="9"/>
      <c r="F1943" s="22" t="str">
        <f aca="false">IF(E1943="","",IFERROR(INDEX(02_INDICADORES!$B$2:$B$42,MATCH(E1943,02_INDICADORES!$A$2:$A$42,0)),"ID?"))</f>
        <v/>
      </c>
      <c r="G1943" s="21" t="str">
        <f aca="false">IF(E1943="","",IFERROR(INDEX(02_INDICADORES!$C$2:$C$42,MATCH(E1943,02_INDICADORES!$A$2:$A$42,0)),"ID?"))</f>
        <v/>
      </c>
      <c r="H1943" s="22" t="str">
        <f aca="false">IF(E1943="","",IFERROR(INDEX(02_INDICADORES!$D$2:$D$42,MATCH(E1943,02_INDICADORES!$A$2:$A$42,0)),""))</f>
        <v/>
      </c>
      <c r="I1943" s="9"/>
      <c r="J1943" s="16" t="str">
        <f aca="false">IF(OR(I1943="",H1943=""),"",I1943*H1943)</f>
        <v/>
      </c>
      <c r="K1943" s="9"/>
      <c r="L1943" s="9"/>
      <c r="M1943" s="9"/>
    </row>
    <row r="1944" customFormat="false" ht="15" hidden="false" customHeight="false" outlineLevel="0" collapsed="false">
      <c r="A1944" s="9"/>
      <c r="B1944" s="9"/>
      <c r="C1944" s="11"/>
      <c r="D1944" s="9"/>
      <c r="E1944" s="9"/>
      <c r="F1944" s="22" t="str">
        <f aca="false">IF(E1944="","",IFERROR(INDEX(02_INDICADORES!$B$2:$B$42,MATCH(E1944,02_INDICADORES!$A$2:$A$42,0)),"ID?"))</f>
        <v/>
      </c>
      <c r="G1944" s="21" t="str">
        <f aca="false">IF(E1944="","",IFERROR(INDEX(02_INDICADORES!$C$2:$C$42,MATCH(E1944,02_INDICADORES!$A$2:$A$42,0)),"ID?"))</f>
        <v/>
      </c>
      <c r="H1944" s="22" t="str">
        <f aca="false">IF(E1944="","",IFERROR(INDEX(02_INDICADORES!$D$2:$D$42,MATCH(E1944,02_INDICADORES!$A$2:$A$42,0)),""))</f>
        <v/>
      </c>
      <c r="I1944" s="9"/>
      <c r="J1944" s="16" t="str">
        <f aca="false">IF(OR(I1944="",H1944=""),"",I1944*H1944)</f>
        <v/>
      </c>
      <c r="K1944" s="9"/>
      <c r="L1944" s="9"/>
      <c r="M1944" s="9"/>
    </row>
    <row r="1945" customFormat="false" ht="15" hidden="false" customHeight="false" outlineLevel="0" collapsed="false">
      <c r="A1945" s="9"/>
      <c r="B1945" s="9"/>
      <c r="C1945" s="11"/>
      <c r="D1945" s="9"/>
      <c r="E1945" s="9"/>
      <c r="F1945" s="22" t="str">
        <f aca="false">IF(E1945="","",IFERROR(INDEX(02_INDICADORES!$B$2:$B$42,MATCH(E1945,02_INDICADORES!$A$2:$A$42,0)),"ID?"))</f>
        <v/>
      </c>
      <c r="G1945" s="21" t="str">
        <f aca="false">IF(E1945="","",IFERROR(INDEX(02_INDICADORES!$C$2:$C$42,MATCH(E1945,02_INDICADORES!$A$2:$A$42,0)),"ID?"))</f>
        <v/>
      </c>
      <c r="H1945" s="22" t="str">
        <f aca="false">IF(E1945="","",IFERROR(INDEX(02_INDICADORES!$D$2:$D$42,MATCH(E1945,02_INDICADORES!$A$2:$A$42,0)),""))</f>
        <v/>
      </c>
      <c r="I1945" s="9"/>
      <c r="J1945" s="16" t="str">
        <f aca="false">IF(OR(I1945="",H1945=""),"",I1945*H1945)</f>
        <v/>
      </c>
      <c r="K1945" s="9"/>
      <c r="L1945" s="9"/>
      <c r="M1945" s="9"/>
    </row>
    <row r="1946" customFormat="false" ht="15" hidden="false" customHeight="false" outlineLevel="0" collapsed="false">
      <c r="A1946" s="9"/>
      <c r="B1946" s="9"/>
      <c r="C1946" s="11"/>
      <c r="D1946" s="9"/>
      <c r="E1946" s="9"/>
      <c r="F1946" s="22" t="str">
        <f aca="false">IF(E1946="","",IFERROR(INDEX(02_INDICADORES!$B$2:$B$42,MATCH(E1946,02_INDICADORES!$A$2:$A$42,0)),"ID?"))</f>
        <v/>
      </c>
      <c r="G1946" s="21" t="str">
        <f aca="false">IF(E1946="","",IFERROR(INDEX(02_INDICADORES!$C$2:$C$42,MATCH(E1946,02_INDICADORES!$A$2:$A$42,0)),"ID?"))</f>
        <v/>
      </c>
      <c r="H1946" s="22" t="str">
        <f aca="false">IF(E1946="","",IFERROR(INDEX(02_INDICADORES!$D$2:$D$42,MATCH(E1946,02_INDICADORES!$A$2:$A$42,0)),""))</f>
        <v/>
      </c>
      <c r="I1946" s="9"/>
      <c r="J1946" s="16" t="str">
        <f aca="false">IF(OR(I1946="",H1946=""),"",I1946*H1946)</f>
        <v/>
      </c>
      <c r="K1946" s="9"/>
      <c r="L1946" s="9"/>
      <c r="M1946" s="9"/>
    </row>
    <row r="1947" customFormat="false" ht="15" hidden="false" customHeight="false" outlineLevel="0" collapsed="false">
      <c r="A1947" s="9"/>
      <c r="B1947" s="9"/>
      <c r="C1947" s="11"/>
      <c r="D1947" s="9"/>
      <c r="E1947" s="9"/>
      <c r="F1947" s="22" t="str">
        <f aca="false">IF(E1947="","",IFERROR(INDEX(02_INDICADORES!$B$2:$B$42,MATCH(E1947,02_INDICADORES!$A$2:$A$42,0)),"ID?"))</f>
        <v/>
      </c>
      <c r="G1947" s="21" t="str">
        <f aca="false">IF(E1947="","",IFERROR(INDEX(02_INDICADORES!$C$2:$C$42,MATCH(E1947,02_INDICADORES!$A$2:$A$42,0)),"ID?"))</f>
        <v/>
      </c>
      <c r="H1947" s="22" t="str">
        <f aca="false">IF(E1947="","",IFERROR(INDEX(02_INDICADORES!$D$2:$D$42,MATCH(E1947,02_INDICADORES!$A$2:$A$42,0)),""))</f>
        <v/>
      </c>
      <c r="I1947" s="9"/>
      <c r="J1947" s="16" t="str">
        <f aca="false">IF(OR(I1947="",H1947=""),"",I1947*H1947)</f>
        <v/>
      </c>
      <c r="K1947" s="9"/>
      <c r="L1947" s="9"/>
      <c r="M1947" s="9"/>
    </row>
    <row r="1948" customFormat="false" ht="15" hidden="false" customHeight="false" outlineLevel="0" collapsed="false">
      <c r="A1948" s="9"/>
      <c r="B1948" s="9"/>
      <c r="C1948" s="11"/>
      <c r="D1948" s="9"/>
      <c r="E1948" s="9"/>
      <c r="F1948" s="22" t="str">
        <f aca="false">IF(E1948="","",IFERROR(INDEX(02_INDICADORES!$B$2:$B$42,MATCH(E1948,02_INDICADORES!$A$2:$A$42,0)),"ID?"))</f>
        <v/>
      </c>
      <c r="G1948" s="21" t="str">
        <f aca="false">IF(E1948="","",IFERROR(INDEX(02_INDICADORES!$C$2:$C$42,MATCH(E1948,02_INDICADORES!$A$2:$A$42,0)),"ID?"))</f>
        <v/>
      </c>
      <c r="H1948" s="22" t="str">
        <f aca="false">IF(E1948="","",IFERROR(INDEX(02_INDICADORES!$D$2:$D$42,MATCH(E1948,02_INDICADORES!$A$2:$A$42,0)),""))</f>
        <v/>
      </c>
      <c r="I1948" s="9"/>
      <c r="J1948" s="16" t="str">
        <f aca="false">IF(OR(I1948="",H1948=""),"",I1948*H1948)</f>
        <v/>
      </c>
      <c r="K1948" s="9"/>
      <c r="L1948" s="9"/>
      <c r="M1948" s="9"/>
    </row>
    <row r="1949" customFormat="false" ht="15" hidden="false" customHeight="false" outlineLevel="0" collapsed="false">
      <c r="A1949" s="9"/>
      <c r="B1949" s="9"/>
      <c r="C1949" s="11"/>
      <c r="D1949" s="9"/>
      <c r="E1949" s="9"/>
      <c r="F1949" s="22" t="str">
        <f aca="false">IF(E1949="","",IFERROR(INDEX(02_INDICADORES!$B$2:$B$42,MATCH(E1949,02_INDICADORES!$A$2:$A$42,0)),"ID?"))</f>
        <v/>
      </c>
      <c r="G1949" s="21" t="str">
        <f aca="false">IF(E1949="","",IFERROR(INDEX(02_INDICADORES!$C$2:$C$42,MATCH(E1949,02_INDICADORES!$A$2:$A$42,0)),"ID?"))</f>
        <v/>
      </c>
      <c r="H1949" s="22" t="str">
        <f aca="false">IF(E1949="","",IFERROR(INDEX(02_INDICADORES!$D$2:$D$42,MATCH(E1949,02_INDICADORES!$A$2:$A$42,0)),""))</f>
        <v/>
      </c>
      <c r="I1949" s="9"/>
      <c r="J1949" s="16" t="str">
        <f aca="false">IF(OR(I1949="",H1949=""),"",I1949*H1949)</f>
        <v/>
      </c>
      <c r="K1949" s="9"/>
      <c r="L1949" s="9"/>
      <c r="M1949" s="9"/>
    </row>
    <row r="1950" customFormat="false" ht="15" hidden="false" customHeight="false" outlineLevel="0" collapsed="false">
      <c r="A1950" s="9"/>
      <c r="B1950" s="9"/>
      <c r="C1950" s="11"/>
      <c r="D1950" s="9"/>
      <c r="E1950" s="9"/>
      <c r="F1950" s="22" t="str">
        <f aca="false">IF(E1950="","",IFERROR(INDEX(02_INDICADORES!$B$2:$B$42,MATCH(E1950,02_INDICADORES!$A$2:$A$42,0)),"ID?"))</f>
        <v/>
      </c>
      <c r="G1950" s="21" t="str">
        <f aca="false">IF(E1950="","",IFERROR(INDEX(02_INDICADORES!$C$2:$C$42,MATCH(E1950,02_INDICADORES!$A$2:$A$42,0)),"ID?"))</f>
        <v/>
      </c>
      <c r="H1950" s="22" t="str">
        <f aca="false">IF(E1950="","",IFERROR(INDEX(02_INDICADORES!$D$2:$D$42,MATCH(E1950,02_INDICADORES!$A$2:$A$42,0)),""))</f>
        <v/>
      </c>
      <c r="I1950" s="9"/>
      <c r="J1950" s="16" t="str">
        <f aca="false">IF(OR(I1950="",H1950=""),"",I1950*H1950)</f>
        <v/>
      </c>
      <c r="K1950" s="9"/>
      <c r="L1950" s="9"/>
      <c r="M1950" s="9"/>
    </row>
    <row r="1951" customFormat="false" ht="15" hidden="false" customHeight="false" outlineLevel="0" collapsed="false">
      <c r="A1951" s="9"/>
      <c r="B1951" s="9"/>
      <c r="C1951" s="11"/>
      <c r="D1951" s="9"/>
      <c r="E1951" s="9"/>
      <c r="F1951" s="22" t="str">
        <f aca="false">IF(E1951="","",IFERROR(INDEX(02_INDICADORES!$B$2:$B$42,MATCH(E1951,02_INDICADORES!$A$2:$A$42,0)),"ID?"))</f>
        <v/>
      </c>
      <c r="G1951" s="21" t="str">
        <f aca="false">IF(E1951="","",IFERROR(INDEX(02_INDICADORES!$C$2:$C$42,MATCH(E1951,02_INDICADORES!$A$2:$A$42,0)),"ID?"))</f>
        <v/>
      </c>
      <c r="H1951" s="22" t="str">
        <f aca="false">IF(E1951="","",IFERROR(INDEX(02_INDICADORES!$D$2:$D$42,MATCH(E1951,02_INDICADORES!$A$2:$A$42,0)),""))</f>
        <v/>
      </c>
      <c r="I1951" s="9"/>
      <c r="J1951" s="16" t="str">
        <f aca="false">IF(OR(I1951="",H1951=""),"",I1951*H1951)</f>
        <v/>
      </c>
      <c r="K1951" s="9"/>
      <c r="L1951" s="9"/>
      <c r="M1951" s="9"/>
    </row>
    <row r="1952" customFormat="false" ht="15" hidden="false" customHeight="false" outlineLevel="0" collapsed="false">
      <c r="A1952" s="9"/>
      <c r="B1952" s="9"/>
      <c r="C1952" s="11"/>
      <c r="D1952" s="9"/>
      <c r="E1952" s="9"/>
      <c r="F1952" s="22" t="str">
        <f aca="false">IF(E1952="","",IFERROR(INDEX(02_INDICADORES!$B$2:$B$42,MATCH(E1952,02_INDICADORES!$A$2:$A$42,0)),"ID?"))</f>
        <v/>
      </c>
      <c r="G1952" s="21" t="str">
        <f aca="false">IF(E1952="","",IFERROR(INDEX(02_INDICADORES!$C$2:$C$42,MATCH(E1952,02_INDICADORES!$A$2:$A$42,0)),"ID?"))</f>
        <v/>
      </c>
      <c r="H1952" s="22" t="str">
        <f aca="false">IF(E1952="","",IFERROR(INDEX(02_INDICADORES!$D$2:$D$42,MATCH(E1952,02_INDICADORES!$A$2:$A$42,0)),""))</f>
        <v/>
      </c>
      <c r="I1952" s="9"/>
      <c r="J1952" s="16" t="str">
        <f aca="false">IF(OR(I1952="",H1952=""),"",I1952*H1952)</f>
        <v/>
      </c>
      <c r="K1952" s="9"/>
      <c r="L1952" s="9"/>
      <c r="M1952" s="9"/>
    </row>
    <row r="1953" customFormat="false" ht="15" hidden="false" customHeight="false" outlineLevel="0" collapsed="false">
      <c r="A1953" s="9"/>
      <c r="B1953" s="9"/>
      <c r="C1953" s="11"/>
      <c r="D1953" s="9"/>
      <c r="E1953" s="9"/>
      <c r="F1953" s="22" t="str">
        <f aca="false">IF(E1953="","",IFERROR(INDEX(02_INDICADORES!$B$2:$B$42,MATCH(E1953,02_INDICADORES!$A$2:$A$42,0)),"ID?"))</f>
        <v/>
      </c>
      <c r="G1953" s="21" t="str">
        <f aca="false">IF(E1953="","",IFERROR(INDEX(02_INDICADORES!$C$2:$C$42,MATCH(E1953,02_INDICADORES!$A$2:$A$42,0)),"ID?"))</f>
        <v/>
      </c>
      <c r="H1953" s="22" t="str">
        <f aca="false">IF(E1953="","",IFERROR(INDEX(02_INDICADORES!$D$2:$D$42,MATCH(E1953,02_INDICADORES!$A$2:$A$42,0)),""))</f>
        <v/>
      </c>
      <c r="I1953" s="9"/>
      <c r="J1953" s="16" t="str">
        <f aca="false">IF(OR(I1953="",H1953=""),"",I1953*H1953)</f>
        <v/>
      </c>
      <c r="K1953" s="9"/>
      <c r="L1953" s="9"/>
      <c r="M1953" s="9"/>
    </row>
    <row r="1954" customFormat="false" ht="15" hidden="false" customHeight="false" outlineLevel="0" collapsed="false">
      <c r="A1954" s="9"/>
      <c r="B1954" s="9"/>
      <c r="C1954" s="11"/>
      <c r="D1954" s="9"/>
      <c r="E1954" s="9"/>
      <c r="F1954" s="22" t="str">
        <f aca="false">IF(E1954="","",IFERROR(INDEX(02_INDICADORES!$B$2:$B$42,MATCH(E1954,02_INDICADORES!$A$2:$A$42,0)),"ID?"))</f>
        <v/>
      </c>
      <c r="G1954" s="21" t="str">
        <f aca="false">IF(E1954="","",IFERROR(INDEX(02_INDICADORES!$C$2:$C$42,MATCH(E1954,02_INDICADORES!$A$2:$A$42,0)),"ID?"))</f>
        <v/>
      </c>
      <c r="H1954" s="22" t="str">
        <f aca="false">IF(E1954="","",IFERROR(INDEX(02_INDICADORES!$D$2:$D$42,MATCH(E1954,02_INDICADORES!$A$2:$A$42,0)),""))</f>
        <v/>
      </c>
      <c r="I1954" s="9"/>
      <c r="J1954" s="16" t="str">
        <f aca="false">IF(OR(I1954="",H1954=""),"",I1954*H1954)</f>
        <v/>
      </c>
      <c r="K1954" s="9"/>
      <c r="L1954" s="9"/>
      <c r="M1954" s="9"/>
    </row>
    <row r="1955" customFormat="false" ht="15" hidden="false" customHeight="false" outlineLevel="0" collapsed="false">
      <c r="A1955" s="9"/>
      <c r="B1955" s="9"/>
      <c r="C1955" s="11"/>
      <c r="D1955" s="9"/>
      <c r="E1955" s="9"/>
      <c r="F1955" s="22" t="str">
        <f aca="false">IF(E1955="","",IFERROR(INDEX(02_INDICADORES!$B$2:$B$42,MATCH(E1955,02_INDICADORES!$A$2:$A$42,0)),"ID?"))</f>
        <v/>
      </c>
      <c r="G1955" s="21" t="str">
        <f aca="false">IF(E1955="","",IFERROR(INDEX(02_INDICADORES!$C$2:$C$42,MATCH(E1955,02_INDICADORES!$A$2:$A$42,0)),"ID?"))</f>
        <v/>
      </c>
      <c r="H1955" s="22" t="str">
        <f aca="false">IF(E1955="","",IFERROR(INDEX(02_INDICADORES!$D$2:$D$42,MATCH(E1955,02_INDICADORES!$A$2:$A$42,0)),""))</f>
        <v/>
      </c>
      <c r="I1955" s="9"/>
      <c r="J1955" s="16" t="str">
        <f aca="false">IF(OR(I1955="",H1955=""),"",I1955*H1955)</f>
        <v/>
      </c>
      <c r="K1955" s="9"/>
      <c r="L1955" s="9"/>
      <c r="M1955" s="9"/>
    </row>
    <row r="1956" customFormat="false" ht="15" hidden="false" customHeight="false" outlineLevel="0" collapsed="false">
      <c r="A1956" s="9"/>
      <c r="B1956" s="9"/>
      <c r="C1956" s="11"/>
      <c r="D1956" s="9"/>
      <c r="E1956" s="9"/>
      <c r="F1956" s="22" t="str">
        <f aca="false">IF(E1956="","",IFERROR(INDEX(02_INDICADORES!$B$2:$B$42,MATCH(E1956,02_INDICADORES!$A$2:$A$42,0)),"ID?"))</f>
        <v/>
      </c>
      <c r="G1956" s="21" t="str">
        <f aca="false">IF(E1956="","",IFERROR(INDEX(02_INDICADORES!$C$2:$C$42,MATCH(E1956,02_INDICADORES!$A$2:$A$42,0)),"ID?"))</f>
        <v/>
      </c>
      <c r="H1956" s="22" t="str">
        <f aca="false">IF(E1956="","",IFERROR(INDEX(02_INDICADORES!$D$2:$D$42,MATCH(E1956,02_INDICADORES!$A$2:$A$42,0)),""))</f>
        <v/>
      </c>
      <c r="I1956" s="9"/>
      <c r="J1956" s="16" t="str">
        <f aca="false">IF(OR(I1956="",H1956=""),"",I1956*H1956)</f>
        <v/>
      </c>
      <c r="K1956" s="9"/>
      <c r="L1956" s="9"/>
      <c r="M1956" s="9"/>
    </row>
    <row r="1957" customFormat="false" ht="15" hidden="false" customHeight="false" outlineLevel="0" collapsed="false">
      <c r="A1957" s="9"/>
      <c r="B1957" s="9"/>
      <c r="C1957" s="11"/>
      <c r="D1957" s="9"/>
      <c r="E1957" s="9"/>
      <c r="F1957" s="22" t="str">
        <f aca="false">IF(E1957="","",IFERROR(INDEX(02_INDICADORES!$B$2:$B$42,MATCH(E1957,02_INDICADORES!$A$2:$A$42,0)),"ID?"))</f>
        <v/>
      </c>
      <c r="G1957" s="21" t="str">
        <f aca="false">IF(E1957="","",IFERROR(INDEX(02_INDICADORES!$C$2:$C$42,MATCH(E1957,02_INDICADORES!$A$2:$A$42,0)),"ID?"))</f>
        <v/>
      </c>
      <c r="H1957" s="22" t="str">
        <f aca="false">IF(E1957="","",IFERROR(INDEX(02_INDICADORES!$D$2:$D$42,MATCH(E1957,02_INDICADORES!$A$2:$A$42,0)),""))</f>
        <v/>
      </c>
      <c r="I1957" s="9"/>
      <c r="J1957" s="16" t="str">
        <f aca="false">IF(OR(I1957="",H1957=""),"",I1957*H1957)</f>
        <v/>
      </c>
      <c r="K1957" s="9"/>
      <c r="L1957" s="9"/>
      <c r="M1957" s="9"/>
    </row>
    <row r="1958" customFormat="false" ht="15" hidden="false" customHeight="false" outlineLevel="0" collapsed="false">
      <c r="A1958" s="9"/>
      <c r="B1958" s="9"/>
      <c r="C1958" s="11"/>
      <c r="D1958" s="9"/>
      <c r="E1958" s="9"/>
      <c r="F1958" s="22" t="str">
        <f aca="false">IF(E1958="","",IFERROR(INDEX(02_INDICADORES!$B$2:$B$42,MATCH(E1958,02_INDICADORES!$A$2:$A$42,0)),"ID?"))</f>
        <v/>
      </c>
      <c r="G1958" s="21" t="str">
        <f aca="false">IF(E1958="","",IFERROR(INDEX(02_INDICADORES!$C$2:$C$42,MATCH(E1958,02_INDICADORES!$A$2:$A$42,0)),"ID?"))</f>
        <v/>
      </c>
      <c r="H1958" s="22" t="str">
        <f aca="false">IF(E1958="","",IFERROR(INDEX(02_INDICADORES!$D$2:$D$42,MATCH(E1958,02_INDICADORES!$A$2:$A$42,0)),""))</f>
        <v/>
      </c>
      <c r="I1958" s="9"/>
      <c r="J1958" s="16" t="str">
        <f aca="false">IF(OR(I1958="",H1958=""),"",I1958*H1958)</f>
        <v/>
      </c>
      <c r="K1958" s="9"/>
      <c r="L1958" s="9"/>
      <c r="M1958" s="9"/>
    </row>
    <row r="1959" customFormat="false" ht="15" hidden="false" customHeight="false" outlineLevel="0" collapsed="false">
      <c r="A1959" s="9"/>
      <c r="B1959" s="9"/>
      <c r="C1959" s="11"/>
      <c r="D1959" s="9"/>
      <c r="E1959" s="9"/>
      <c r="F1959" s="22" t="str">
        <f aca="false">IF(E1959="","",IFERROR(INDEX(02_INDICADORES!$B$2:$B$42,MATCH(E1959,02_INDICADORES!$A$2:$A$42,0)),"ID?"))</f>
        <v/>
      </c>
      <c r="G1959" s="21" t="str">
        <f aca="false">IF(E1959="","",IFERROR(INDEX(02_INDICADORES!$C$2:$C$42,MATCH(E1959,02_INDICADORES!$A$2:$A$42,0)),"ID?"))</f>
        <v/>
      </c>
      <c r="H1959" s="22" t="str">
        <f aca="false">IF(E1959="","",IFERROR(INDEX(02_INDICADORES!$D$2:$D$42,MATCH(E1959,02_INDICADORES!$A$2:$A$42,0)),""))</f>
        <v/>
      </c>
      <c r="I1959" s="9"/>
      <c r="J1959" s="16" t="str">
        <f aca="false">IF(OR(I1959="",H1959=""),"",I1959*H1959)</f>
        <v/>
      </c>
      <c r="K1959" s="9"/>
      <c r="L1959" s="9"/>
      <c r="M1959" s="9"/>
    </row>
    <row r="1960" customFormat="false" ht="15" hidden="false" customHeight="false" outlineLevel="0" collapsed="false">
      <c r="A1960" s="9"/>
      <c r="B1960" s="9"/>
      <c r="C1960" s="11"/>
      <c r="D1960" s="9"/>
      <c r="E1960" s="9"/>
      <c r="F1960" s="22" t="str">
        <f aca="false">IF(E1960="","",IFERROR(INDEX(02_INDICADORES!$B$2:$B$42,MATCH(E1960,02_INDICADORES!$A$2:$A$42,0)),"ID?"))</f>
        <v/>
      </c>
      <c r="G1960" s="21" t="str">
        <f aca="false">IF(E1960="","",IFERROR(INDEX(02_INDICADORES!$C$2:$C$42,MATCH(E1960,02_INDICADORES!$A$2:$A$42,0)),"ID?"))</f>
        <v/>
      </c>
      <c r="H1960" s="22" t="str">
        <f aca="false">IF(E1960="","",IFERROR(INDEX(02_INDICADORES!$D$2:$D$42,MATCH(E1960,02_INDICADORES!$A$2:$A$42,0)),""))</f>
        <v/>
      </c>
      <c r="I1960" s="9"/>
      <c r="J1960" s="16" t="str">
        <f aca="false">IF(OR(I1960="",H1960=""),"",I1960*H1960)</f>
        <v/>
      </c>
      <c r="K1960" s="9"/>
      <c r="L1960" s="9"/>
      <c r="M1960" s="9"/>
    </row>
    <row r="1961" customFormat="false" ht="15" hidden="false" customHeight="false" outlineLevel="0" collapsed="false">
      <c r="A1961" s="9"/>
      <c r="B1961" s="9"/>
      <c r="C1961" s="11"/>
      <c r="D1961" s="9"/>
      <c r="E1961" s="9"/>
      <c r="F1961" s="22" t="str">
        <f aca="false">IF(E1961="","",IFERROR(INDEX(02_INDICADORES!$B$2:$B$42,MATCH(E1961,02_INDICADORES!$A$2:$A$42,0)),"ID?"))</f>
        <v/>
      </c>
      <c r="G1961" s="21" t="str">
        <f aca="false">IF(E1961="","",IFERROR(INDEX(02_INDICADORES!$C$2:$C$42,MATCH(E1961,02_INDICADORES!$A$2:$A$42,0)),"ID?"))</f>
        <v/>
      </c>
      <c r="H1961" s="22" t="str">
        <f aca="false">IF(E1961="","",IFERROR(INDEX(02_INDICADORES!$D$2:$D$42,MATCH(E1961,02_INDICADORES!$A$2:$A$42,0)),""))</f>
        <v/>
      </c>
      <c r="I1961" s="9"/>
      <c r="J1961" s="16" t="str">
        <f aca="false">IF(OR(I1961="",H1961=""),"",I1961*H1961)</f>
        <v/>
      </c>
      <c r="K1961" s="9"/>
      <c r="L1961" s="9"/>
      <c r="M1961" s="9"/>
    </row>
    <row r="1962" customFormat="false" ht="15" hidden="false" customHeight="false" outlineLevel="0" collapsed="false">
      <c r="A1962" s="9"/>
      <c r="B1962" s="9"/>
      <c r="C1962" s="11"/>
      <c r="D1962" s="9"/>
      <c r="E1962" s="9"/>
      <c r="F1962" s="22" t="str">
        <f aca="false">IF(E1962="","",IFERROR(INDEX(02_INDICADORES!$B$2:$B$42,MATCH(E1962,02_INDICADORES!$A$2:$A$42,0)),"ID?"))</f>
        <v/>
      </c>
      <c r="G1962" s="21" t="str">
        <f aca="false">IF(E1962="","",IFERROR(INDEX(02_INDICADORES!$C$2:$C$42,MATCH(E1962,02_INDICADORES!$A$2:$A$42,0)),"ID?"))</f>
        <v/>
      </c>
      <c r="H1962" s="22" t="str">
        <f aca="false">IF(E1962="","",IFERROR(INDEX(02_INDICADORES!$D$2:$D$42,MATCH(E1962,02_INDICADORES!$A$2:$A$42,0)),""))</f>
        <v/>
      </c>
      <c r="I1962" s="9"/>
      <c r="J1962" s="16" t="str">
        <f aca="false">IF(OR(I1962="",H1962=""),"",I1962*H1962)</f>
        <v/>
      </c>
      <c r="K1962" s="9"/>
      <c r="L1962" s="9"/>
      <c r="M1962" s="9"/>
    </row>
    <row r="1963" customFormat="false" ht="15" hidden="false" customHeight="false" outlineLevel="0" collapsed="false">
      <c r="A1963" s="9"/>
      <c r="B1963" s="9"/>
      <c r="C1963" s="11"/>
      <c r="D1963" s="9"/>
      <c r="E1963" s="9"/>
      <c r="F1963" s="22" t="str">
        <f aca="false">IF(E1963="","",IFERROR(INDEX(02_INDICADORES!$B$2:$B$42,MATCH(E1963,02_INDICADORES!$A$2:$A$42,0)),"ID?"))</f>
        <v/>
      </c>
      <c r="G1963" s="21" t="str">
        <f aca="false">IF(E1963="","",IFERROR(INDEX(02_INDICADORES!$C$2:$C$42,MATCH(E1963,02_INDICADORES!$A$2:$A$42,0)),"ID?"))</f>
        <v/>
      </c>
      <c r="H1963" s="22" t="str">
        <f aca="false">IF(E1963="","",IFERROR(INDEX(02_INDICADORES!$D$2:$D$42,MATCH(E1963,02_INDICADORES!$A$2:$A$42,0)),""))</f>
        <v/>
      </c>
      <c r="I1963" s="9"/>
      <c r="J1963" s="16" t="str">
        <f aca="false">IF(OR(I1963="",H1963=""),"",I1963*H1963)</f>
        <v/>
      </c>
      <c r="K1963" s="9"/>
      <c r="L1963" s="9"/>
      <c r="M1963" s="9"/>
    </row>
    <row r="1964" customFormat="false" ht="15" hidden="false" customHeight="false" outlineLevel="0" collapsed="false">
      <c r="A1964" s="9"/>
      <c r="B1964" s="9"/>
      <c r="C1964" s="11"/>
      <c r="D1964" s="9"/>
      <c r="E1964" s="9"/>
      <c r="F1964" s="22" t="str">
        <f aca="false">IF(E1964="","",IFERROR(INDEX(02_INDICADORES!$B$2:$B$42,MATCH(E1964,02_INDICADORES!$A$2:$A$42,0)),"ID?"))</f>
        <v/>
      </c>
      <c r="G1964" s="21" t="str">
        <f aca="false">IF(E1964="","",IFERROR(INDEX(02_INDICADORES!$C$2:$C$42,MATCH(E1964,02_INDICADORES!$A$2:$A$42,0)),"ID?"))</f>
        <v/>
      </c>
      <c r="H1964" s="22" t="str">
        <f aca="false">IF(E1964="","",IFERROR(INDEX(02_INDICADORES!$D$2:$D$42,MATCH(E1964,02_INDICADORES!$A$2:$A$42,0)),""))</f>
        <v/>
      </c>
      <c r="I1964" s="9"/>
      <c r="J1964" s="16" t="str">
        <f aca="false">IF(OR(I1964="",H1964=""),"",I1964*H1964)</f>
        <v/>
      </c>
      <c r="K1964" s="9"/>
      <c r="L1964" s="9"/>
      <c r="M1964" s="9"/>
    </row>
    <row r="1965" customFormat="false" ht="15" hidden="false" customHeight="false" outlineLevel="0" collapsed="false">
      <c r="A1965" s="9"/>
      <c r="B1965" s="9"/>
      <c r="C1965" s="11"/>
      <c r="D1965" s="9"/>
      <c r="E1965" s="9"/>
      <c r="F1965" s="22" t="str">
        <f aca="false">IF(E1965="","",IFERROR(INDEX(02_INDICADORES!$B$2:$B$42,MATCH(E1965,02_INDICADORES!$A$2:$A$42,0)),"ID?"))</f>
        <v/>
      </c>
      <c r="G1965" s="21" t="str">
        <f aca="false">IF(E1965="","",IFERROR(INDEX(02_INDICADORES!$C$2:$C$42,MATCH(E1965,02_INDICADORES!$A$2:$A$42,0)),"ID?"))</f>
        <v/>
      </c>
      <c r="H1965" s="22" t="str">
        <f aca="false">IF(E1965="","",IFERROR(INDEX(02_INDICADORES!$D$2:$D$42,MATCH(E1965,02_INDICADORES!$A$2:$A$42,0)),""))</f>
        <v/>
      </c>
      <c r="I1965" s="9"/>
      <c r="J1965" s="16" t="str">
        <f aca="false">IF(OR(I1965="",H1965=""),"",I1965*H1965)</f>
        <v/>
      </c>
      <c r="K1965" s="9"/>
      <c r="L1965" s="9"/>
      <c r="M1965" s="9"/>
    </row>
    <row r="1966" customFormat="false" ht="15" hidden="false" customHeight="false" outlineLevel="0" collapsed="false">
      <c r="A1966" s="9"/>
      <c r="B1966" s="9"/>
      <c r="C1966" s="11"/>
      <c r="D1966" s="9"/>
      <c r="E1966" s="9"/>
      <c r="F1966" s="22" t="str">
        <f aca="false">IF(E1966="","",IFERROR(INDEX(02_INDICADORES!$B$2:$B$42,MATCH(E1966,02_INDICADORES!$A$2:$A$42,0)),"ID?"))</f>
        <v/>
      </c>
      <c r="G1966" s="21" t="str">
        <f aca="false">IF(E1966="","",IFERROR(INDEX(02_INDICADORES!$C$2:$C$42,MATCH(E1966,02_INDICADORES!$A$2:$A$42,0)),"ID?"))</f>
        <v/>
      </c>
      <c r="H1966" s="22" t="str">
        <f aca="false">IF(E1966="","",IFERROR(INDEX(02_INDICADORES!$D$2:$D$42,MATCH(E1966,02_INDICADORES!$A$2:$A$42,0)),""))</f>
        <v/>
      </c>
      <c r="I1966" s="9"/>
      <c r="J1966" s="16" t="str">
        <f aca="false">IF(OR(I1966="",H1966=""),"",I1966*H1966)</f>
        <v/>
      </c>
      <c r="K1966" s="9"/>
      <c r="L1966" s="9"/>
      <c r="M1966" s="9"/>
    </row>
    <row r="1967" customFormat="false" ht="15" hidden="false" customHeight="false" outlineLevel="0" collapsed="false">
      <c r="A1967" s="9"/>
      <c r="B1967" s="9"/>
      <c r="C1967" s="11"/>
      <c r="D1967" s="9"/>
      <c r="E1967" s="9"/>
      <c r="F1967" s="22" t="str">
        <f aca="false">IF(E1967="","",IFERROR(INDEX(02_INDICADORES!$B$2:$B$42,MATCH(E1967,02_INDICADORES!$A$2:$A$42,0)),"ID?"))</f>
        <v/>
      </c>
      <c r="G1967" s="21" t="str">
        <f aca="false">IF(E1967="","",IFERROR(INDEX(02_INDICADORES!$C$2:$C$42,MATCH(E1967,02_INDICADORES!$A$2:$A$42,0)),"ID?"))</f>
        <v/>
      </c>
      <c r="H1967" s="22" t="str">
        <f aca="false">IF(E1967="","",IFERROR(INDEX(02_INDICADORES!$D$2:$D$42,MATCH(E1967,02_INDICADORES!$A$2:$A$42,0)),""))</f>
        <v/>
      </c>
      <c r="I1967" s="9"/>
      <c r="J1967" s="16" t="str">
        <f aca="false">IF(OR(I1967="",H1967=""),"",I1967*H1967)</f>
        <v/>
      </c>
      <c r="K1967" s="9"/>
      <c r="L1967" s="9"/>
      <c r="M1967" s="9"/>
    </row>
    <row r="1968" customFormat="false" ht="15" hidden="false" customHeight="false" outlineLevel="0" collapsed="false">
      <c r="A1968" s="9"/>
      <c r="B1968" s="9"/>
      <c r="C1968" s="11"/>
      <c r="D1968" s="9"/>
      <c r="E1968" s="9"/>
      <c r="F1968" s="22" t="str">
        <f aca="false">IF(E1968="","",IFERROR(INDEX(02_INDICADORES!$B$2:$B$42,MATCH(E1968,02_INDICADORES!$A$2:$A$42,0)),"ID?"))</f>
        <v/>
      </c>
      <c r="G1968" s="21" t="str">
        <f aca="false">IF(E1968="","",IFERROR(INDEX(02_INDICADORES!$C$2:$C$42,MATCH(E1968,02_INDICADORES!$A$2:$A$42,0)),"ID?"))</f>
        <v/>
      </c>
      <c r="H1968" s="22" t="str">
        <f aca="false">IF(E1968="","",IFERROR(INDEX(02_INDICADORES!$D$2:$D$42,MATCH(E1968,02_INDICADORES!$A$2:$A$42,0)),""))</f>
        <v/>
      </c>
      <c r="I1968" s="9"/>
      <c r="J1968" s="16" t="str">
        <f aca="false">IF(OR(I1968="",H1968=""),"",I1968*H1968)</f>
        <v/>
      </c>
      <c r="K1968" s="9"/>
      <c r="L1968" s="9"/>
      <c r="M1968" s="9"/>
    </row>
    <row r="1969" customFormat="false" ht="15" hidden="false" customHeight="false" outlineLevel="0" collapsed="false">
      <c r="A1969" s="9"/>
      <c r="B1969" s="9"/>
      <c r="C1969" s="11"/>
      <c r="D1969" s="9"/>
      <c r="E1969" s="9"/>
      <c r="F1969" s="22" t="str">
        <f aca="false">IF(E1969="","",IFERROR(INDEX(02_INDICADORES!$B$2:$B$42,MATCH(E1969,02_INDICADORES!$A$2:$A$42,0)),"ID?"))</f>
        <v/>
      </c>
      <c r="G1969" s="21" t="str">
        <f aca="false">IF(E1969="","",IFERROR(INDEX(02_INDICADORES!$C$2:$C$42,MATCH(E1969,02_INDICADORES!$A$2:$A$42,0)),"ID?"))</f>
        <v/>
      </c>
      <c r="H1969" s="22" t="str">
        <f aca="false">IF(E1969="","",IFERROR(INDEX(02_INDICADORES!$D$2:$D$42,MATCH(E1969,02_INDICADORES!$A$2:$A$42,0)),""))</f>
        <v/>
      </c>
      <c r="I1969" s="9"/>
      <c r="J1969" s="16" t="str">
        <f aca="false">IF(OR(I1969="",H1969=""),"",I1969*H1969)</f>
        <v/>
      </c>
      <c r="K1969" s="9"/>
      <c r="L1969" s="9"/>
      <c r="M1969" s="9"/>
    </row>
    <row r="1970" customFormat="false" ht="15" hidden="false" customHeight="false" outlineLevel="0" collapsed="false">
      <c r="A1970" s="9"/>
      <c r="B1970" s="9"/>
      <c r="C1970" s="11"/>
      <c r="D1970" s="9"/>
      <c r="E1970" s="9"/>
      <c r="F1970" s="22" t="str">
        <f aca="false">IF(E1970="","",IFERROR(INDEX(02_INDICADORES!$B$2:$B$42,MATCH(E1970,02_INDICADORES!$A$2:$A$42,0)),"ID?"))</f>
        <v/>
      </c>
      <c r="G1970" s="21" t="str">
        <f aca="false">IF(E1970="","",IFERROR(INDEX(02_INDICADORES!$C$2:$C$42,MATCH(E1970,02_INDICADORES!$A$2:$A$42,0)),"ID?"))</f>
        <v/>
      </c>
      <c r="H1970" s="22" t="str">
        <f aca="false">IF(E1970="","",IFERROR(INDEX(02_INDICADORES!$D$2:$D$42,MATCH(E1970,02_INDICADORES!$A$2:$A$42,0)),""))</f>
        <v/>
      </c>
      <c r="I1970" s="9"/>
      <c r="J1970" s="16" t="str">
        <f aca="false">IF(OR(I1970="",H1970=""),"",I1970*H1970)</f>
        <v/>
      </c>
      <c r="K1970" s="9"/>
      <c r="L1970" s="9"/>
      <c r="M1970" s="9"/>
    </row>
    <row r="1971" customFormat="false" ht="15" hidden="false" customHeight="false" outlineLevel="0" collapsed="false">
      <c r="A1971" s="9"/>
      <c r="B1971" s="9"/>
      <c r="C1971" s="11"/>
      <c r="D1971" s="9"/>
      <c r="E1971" s="9"/>
      <c r="F1971" s="22" t="str">
        <f aca="false">IF(E1971="","",IFERROR(INDEX(02_INDICADORES!$B$2:$B$42,MATCH(E1971,02_INDICADORES!$A$2:$A$42,0)),"ID?"))</f>
        <v/>
      </c>
      <c r="G1971" s="21" t="str">
        <f aca="false">IF(E1971="","",IFERROR(INDEX(02_INDICADORES!$C$2:$C$42,MATCH(E1971,02_INDICADORES!$A$2:$A$42,0)),"ID?"))</f>
        <v/>
      </c>
      <c r="H1971" s="22" t="str">
        <f aca="false">IF(E1971="","",IFERROR(INDEX(02_INDICADORES!$D$2:$D$42,MATCH(E1971,02_INDICADORES!$A$2:$A$42,0)),""))</f>
        <v/>
      </c>
      <c r="I1971" s="9"/>
      <c r="J1971" s="16" t="str">
        <f aca="false">IF(OR(I1971="",H1971=""),"",I1971*H1971)</f>
        <v/>
      </c>
      <c r="K1971" s="9"/>
      <c r="L1971" s="9"/>
      <c r="M1971" s="9"/>
    </row>
    <row r="1972" customFormat="false" ht="15" hidden="false" customHeight="false" outlineLevel="0" collapsed="false">
      <c r="A1972" s="9"/>
      <c r="B1972" s="9"/>
      <c r="C1972" s="11"/>
      <c r="D1972" s="9"/>
      <c r="E1972" s="9"/>
      <c r="F1972" s="22" t="str">
        <f aca="false">IF(E1972="","",IFERROR(INDEX(02_INDICADORES!$B$2:$B$42,MATCH(E1972,02_INDICADORES!$A$2:$A$42,0)),"ID?"))</f>
        <v/>
      </c>
      <c r="G1972" s="21" t="str">
        <f aca="false">IF(E1972="","",IFERROR(INDEX(02_INDICADORES!$C$2:$C$42,MATCH(E1972,02_INDICADORES!$A$2:$A$42,0)),"ID?"))</f>
        <v/>
      </c>
      <c r="H1972" s="22" t="str">
        <f aca="false">IF(E1972="","",IFERROR(INDEX(02_INDICADORES!$D$2:$D$42,MATCH(E1972,02_INDICADORES!$A$2:$A$42,0)),""))</f>
        <v/>
      </c>
      <c r="I1972" s="9"/>
      <c r="J1972" s="16" t="str">
        <f aca="false">IF(OR(I1972="",H1972=""),"",I1972*H1972)</f>
        <v/>
      </c>
      <c r="K1972" s="9"/>
      <c r="L1972" s="9"/>
      <c r="M1972" s="9"/>
    </row>
    <row r="1973" customFormat="false" ht="15" hidden="false" customHeight="false" outlineLevel="0" collapsed="false">
      <c r="A1973" s="9"/>
      <c r="B1973" s="9"/>
      <c r="C1973" s="11"/>
      <c r="D1973" s="9"/>
      <c r="E1973" s="9"/>
      <c r="F1973" s="22" t="str">
        <f aca="false">IF(E1973="","",IFERROR(INDEX(02_INDICADORES!$B$2:$B$42,MATCH(E1973,02_INDICADORES!$A$2:$A$42,0)),"ID?"))</f>
        <v/>
      </c>
      <c r="G1973" s="21" t="str">
        <f aca="false">IF(E1973="","",IFERROR(INDEX(02_INDICADORES!$C$2:$C$42,MATCH(E1973,02_INDICADORES!$A$2:$A$42,0)),"ID?"))</f>
        <v/>
      </c>
      <c r="H1973" s="22" t="str">
        <f aca="false">IF(E1973="","",IFERROR(INDEX(02_INDICADORES!$D$2:$D$42,MATCH(E1973,02_INDICADORES!$A$2:$A$42,0)),""))</f>
        <v/>
      </c>
      <c r="I1973" s="9"/>
      <c r="J1973" s="16" t="str">
        <f aca="false">IF(OR(I1973="",H1973=""),"",I1973*H1973)</f>
        <v/>
      </c>
      <c r="K1973" s="9"/>
      <c r="L1973" s="9"/>
      <c r="M1973" s="9"/>
    </row>
    <row r="1974" customFormat="false" ht="15" hidden="false" customHeight="false" outlineLevel="0" collapsed="false">
      <c r="A1974" s="9"/>
      <c r="B1974" s="9"/>
      <c r="C1974" s="11"/>
      <c r="D1974" s="9"/>
      <c r="E1974" s="9"/>
      <c r="F1974" s="22" t="str">
        <f aca="false">IF(E1974="","",IFERROR(INDEX(02_INDICADORES!$B$2:$B$42,MATCH(E1974,02_INDICADORES!$A$2:$A$42,0)),"ID?"))</f>
        <v/>
      </c>
      <c r="G1974" s="21" t="str">
        <f aca="false">IF(E1974="","",IFERROR(INDEX(02_INDICADORES!$C$2:$C$42,MATCH(E1974,02_INDICADORES!$A$2:$A$42,0)),"ID?"))</f>
        <v/>
      </c>
      <c r="H1974" s="22" t="str">
        <f aca="false">IF(E1974="","",IFERROR(INDEX(02_INDICADORES!$D$2:$D$42,MATCH(E1974,02_INDICADORES!$A$2:$A$42,0)),""))</f>
        <v/>
      </c>
      <c r="I1974" s="9"/>
      <c r="J1974" s="16" t="str">
        <f aca="false">IF(OR(I1974="",H1974=""),"",I1974*H1974)</f>
        <v/>
      </c>
      <c r="K1974" s="9"/>
      <c r="L1974" s="9"/>
      <c r="M1974" s="9"/>
    </row>
    <row r="1975" customFormat="false" ht="15" hidden="false" customHeight="false" outlineLevel="0" collapsed="false">
      <c r="A1975" s="9"/>
      <c r="B1975" s="9"/>
      <c r="C1975" s="11"/>
      <c r="D1975" s="9"/>
      <c r="E1975" s="9"/>
      <c r="F1975" s="22" t="str">
        <f aca="false">IF(E1975="","",IFERROR(INDEX(02_INDICADORES!$B$2:$B$42,MATCH(E1975,02_INDICADORES!$A$2:$A$42,0)),"ID?"))</f>
        <v/>
      </c>
      <c r="G1975" s="21" t="str">
        <f aca="false">IF(E1975="","",IFERROR(INDEX(02_INDICADORES!$C$2:$C$42,MATCH(E1975,02_INDICADORES!$A$2:$A$42,0)),"ID?"))</f>
        <v/>
      </c>
      <c r="H1975" s="22" t="str">
        <f aca="false">IF(E1975="","",IFERROR(INDEX(02_INDICADORES!$D$2:$D$42,MATCH(E1975,02_INDICADORES!$A$2:$A$42,0)),""))</f>
        <v/>
      </c>
      <c r="I1975" s="9"/>
      <c r="J1975" s="16" t="str">
        <f aca="false">IF(OR(I1975="",H1975=""),"",I1975*H1975)</f>
        <v/>
      </c>
      <c r="K1975" s="9"/>
      <c r="L1975" s="9"/>
      <c r="M1975" s="9"/>
    </row>
    <row r="1976" customFormat="false" ht="15" hidden="false" customHeight="false" outlineLevel="0" collapsed="false">
      <c r="A1976" s="9"/>
      <c r="B1976" s="9"/>
      <c r="C1976" s="11"/>
      <c r="D1976" s="9"/>
      <c r="E1976" s="9"/>
      <c r="F1976" s="22" t="str">
        <f aca="false">IF(E1976="","",IFERROR(INDEX(02_INDICADORES!$B$2:$B$42,MATCH(E1976,02_INDICADORES!$A$2:$A$42,0)),"ID?"))</f>
        <v/>
      </c>
      <c r="G1976" s="21" t="str">
        <f aca="false">IF(E1976="","",IFERROR(INDEX(02_INDICADORES!$C$2:$C$42,MATCH(E1976,02_INDICADORES!$A$2:$A$42,0)),"ID?"))</f>
        <v/>
      </c>
      <c r="H1976" s="22" t="str">
        <f aca="false">IF(E1976="","",IFERROR(INDEX(02_INDICADORES!$D$2:$D$42,MATCH(E1976,02_INDICADORES!$A$2:$A$42,0)),""))</f>
        <v/>
      </c>
      <c r="I1976" s="9"/>
      <c r="J1976" s="16" t="str">
        <f aca="false">IF(OR(I1976="",H1976=""),"",I1976*H1976)</f>
        <v/>
      </c>
      <c r="K1976" s="9"/>
      <c r="L1976" s="9"/>
      <c r="M1976" s="9"/>
    </row>
    <row r="1977" customFormat="false" ht="15" hidden="false" customHeight="false" outlineLevel="0" collapsed="false">
      <c r="A1977" s="9"/>
      <c r="B1977" s="9"/>
      <c r="C1977" s="11"/>
      <c r="D1977" s="9"/>
      <c r="E1977" s="9"/>
      <c r="F1977" s="22" t="str">
        <f aca="false">IF(E1977="","",IFERROR(INDEX(02_INDICADORES!$B$2:$B$42,MATCH(E1977,02_INDICADORES!$A$2:$A$42,0)),"ID?"))</f>
        <v/>
      </c>
      <c r="G1977" s="21" t="str">
        <f aca="false">IF(E1977="","",IFERROR(INDEX(02_INDICADORES!$C$2:$C$42,MATCH(E1977,02_INDICADORES!$A$2:$A$42,0)),"ID?"))</f>
        <v/>
      </c>
      <c r="H1977" s="22" t="str">
        <f aca="false">IF(E1977="","",IFERROR(INDEX(02_INDICADORES!$D$2:$D$42,MATCH(E1977,02_INDICADORES!$A$2:$A$42,0)),""))</f>
        <v/>
      </c>
      <c r="I1977" s="9"/>
      <c r="J1977" s="16" t="str">
        <f aca="false">IF(OR(I1977="",H1977=""),"",I1977*H1977)</f>
        <v/>
      </c>
      <c r="K1977" s="9"/>
      <c r="L1977" s="9"/>
      <c r="M1977" s="9"/>
    </row>
    <row r="1978" customFormat="false" ht="15" hidden="false" customHeight="false" outlineLevel="0" collapsed="false">
      <c r="A1978" s="9"/>
      <c r="B1978" s="9"/>
      <c r="C1978" s="11"/>
      <c r="D1978" s="9"/>
      <c r="E1978" s="9"/>
      <c r="F1978" s="22" t="str">
        <f aca="false">IF(E1978="","",IFERROR(INDEX(02_INDICADORES!$B$2:$B$42,MATCH(E1978,02_INDICADORES!$A$2:$A$42,0)),"ID?"))</f>
        <v/>
      </c>
      <c r="G1978" s="21" t="str">
        <f aca="false">IF(E1978="","",IFERROR(INDEX(02_INDICADORES!$C$2:$C$42,MATCH(E1978,02_INDICADORES!$A$2:$A$42,0)),"ID?"))</f>
        <v/>
      </c>
      <c r="H1978" s="22" t="str">
        <f aca="false">IF(E1978="","",IFERROR(INDEX(02_INDICADORES!$D$2:$D$42,MATCH(E1978,02_INDICADORES!$A$2:$A$42,0)),""))</f>
        <v/>
      </c>
      <c r="I1978" s="9"/>
      <c r="J1978" s="16" t="str">
        <f aca="false">IF(OR(I1978="",H1978=""),"",I1978*H1978)</f>
        <v/>
      </c>
      <c r="K1978" s="9"/>
      <c r="L1978" s="9"/>
      <c r="M1978" s="9"/>
    </row>
    <row r="1979" customFormat="false" ht="15" hidden="false" customHeight="false" outlineLevel="0" collapsed="false">
      <c r="A1979" s="9"/>
      <c r="B1979" s="9"/>
      <c r="C1979" s="11"/>
      <c r="D1979" s="9"/>
      <c r="E1979" s="9"/>
      <c r="F1979" s="22" t="str">
        <f aca="false">IF(E1979="","",IFERROR(INDEX(02_INDICADORES!$B$2:$B$42,MATCH(E1979,02_INDICADORES!$A$2:$A$42,0)),"ID?"))</f>
        <v/>
      </c>
      <c r="G1979" s="21" t="str">
        <f aca="false">IF(E1979="","",IFERROR(INDEX(02_INDICADORES!$C$2:$C$42,MATCH(E1979,02_INDICADORES!$A$2:$A$42,0)),"ID?"))</f>
        <v/>
      </c>
      <c r="H1979" s="22" t="str">
        <f aca="false">IF(E1979="","",IFERROR(INDEX(02_INDICADORES!$D$2:$D$42,MATCH(E1979,02_INDICADORES!$A$2:$A$42,0)),""))</f>
        <v/>
      </c>
      <c r="I1979" s="9"/>
      <c r="J1979" s="16" t="str">
        <f aca="false">IF(OR(I1979="",H1979=""),"",I1979*H1979)</f>
        <v/>
      </c>
      <c r="K1979" s="9"/>
      <c r="L1979" s="9"/>
      <c r="M1979" s="9"/>
    </row>
    <row r="1980" customFormat="false" ht="15" hidden="false" customHeight="false" outlineLevel="0" collapsed="false">
      <c r="A1980" s="9"/>
      <c r="B1980" s="9"/>
      <c r="C1980" s="11"/>
      <c r="D1980" s="9"/>
      <c r="E1980" s="9"/>
      <c r="F1980" s="22" t="str">
        <f aca="false">IF(E1980="","",IFERROR(INDEX(02_INDICADORES!$B$2:$B$42,MATCH(E1980,02_INDICADORES!$A$2:$A$42,0)),"ID?"))</f>
        <v/>
      </c>
      <c r="G1980" s="21" t="str">
        <f aca="false">IF(E1980="","",IFERROR(INDEX(02_INDICADORES!$C$2:$C$42,MATCH(E1980,02_INDICADORES!$A$2:$A$42,0)),"ID?"))</f>
        <v/>
      </c>
      <c r="H1980" s="22" t="str">
        <f aca="false">IF(E1980="","",IFERROR(INDEX(02_INDICADORES!$D$2:$D$42,MATCH(E1980,02_INDICADORES!$A$2:$A$42,0)),""))</f>
        <v/>
      </c>
      <c r="I1980" s="9"/>
      <c r="J1980" s="16" t="str">
        <f aca="false">IF(OR(I1980="",H1980=""),"",I1980*H1980)</f>
        <v/>
      </c>
      <c r="K1980" s="9"/>
      <c r="L1980" s="9"/>
      <c r="M1980" s="9"/>
    </row>
    <row r="1981" customFormat="false" ht="15" hidden="false" customHeight="false" outlineLevel="0" collapsed="false">
      <c r="A1981" s="9"/>
      <c r="B1981" s="9"/>
      <c r="C1981" s="11"/>
      <c r="D1981" s="9"/>
      <c r="E1981" s="9"/>
      <c r="F1981" s="22" t="str">
        <f aca="false">IF(E1981="","",IFERROR(INDEX(02_INDICADORES!$B$2:$B$42,MATCH(E1981,02_INDICADORES!$A$2:$A$42,0)),"ID?"))</f>
        <v/>
      </c>
      <c r="G1981" s="21" t="str">
        <f aca="false">IF(E1981="","",IFERROR(INDEX(02_INDICADORES!$C$2:$C$42,MATCH(E1981,02_INDICADORES!$A$2:$A$42,0)),"ID?"))</f>
        <v/>
      </c>
      <c r="H1981" s="22" t="str">
        <f aca="false">IF(E1981="","",IFERROR(INDEX(02_INDICADORES!$D$2:$D$42,MATCH(E1981,02_INDICADORES!$A$2:$A$42,0)),""))</f>
        <v/>
      </c>
      <c r="I1981" s="9"/>
      <c r="J1981" s="16" t="str">
        <f aca="false">IF(OR(I1981="",H1981=""),"",I1981*H1981)</f>
        <v/>
      </c>
      <c r="K1981" s="9"/>
      <c r="L1981" s="9"/>
      <c r="M1981" s="9"/>
    </row>
    <row r="1982" customFormat="false" ht="15" hidden="false" customHeight="false" outlineLevel="0" collapsed="false">
      <c r="A1982" s="9"/>
      <c r="B1982" s="9"/>
      <c r="C1982" s="11"/>
      <c r="D1982" s="9"/>
      <c r="E1982" s="9"/>
      <c r="F1982" s="22" t="str">
        <f aca="false">IF(E1982="","",IFERROR(INDEX(02_INDICADORES!$B$2:$B$42,MATCH(E1982,02_INDICADORES!$A$2:$A$42,0)),"ID?"))</f>
        <v/>
      </c>
      <c r="G1982" s="21" t="str">
        <f aca="false">IF(E1982="","",IFERROR(INDEX(02_INDICADORES!$C$2:$C$42,MATCH(E1982,02_INDICADORES!$A$2:$A$42,0)),"ID?"))</f>
        <v/>
      </c>
      <c r="H1982" s="22" t="str">
        <f aca="false">IF(E1982="","",IFERROR(INDEX(02_INDICADORES!$D$2:$D$42,MATCH(E1982,02_INDICADORES!$A$2:$A$42,0)),""))</f>
        <v/>
      </c>
      <c r="I1982" s="9"/>
      <c r="J1982" s="16" t="str">
        <f aca="false">IF(OR(I1982="",H1982=""),"",I1982*H1982)</f>
        <v/>
      </c>
      <c r="K1982" s="9"/>
      <c r="L1982" s="9"/>
      <c r="M1982" s="9"/>
    </row>
    <row r="1983" customFormat="false" ht="15" hidden="false" customHeight="false" outlineLevel="0" collapsed="false">
      <c r="A1983" s="9"/>
      <c r="B1983" s="9"/>
      <c r="C1983" s="11"/>
      <c r="D1983" s="9"/>
      <c r="E1983" s="9"/>
      <c r="F1983" s="22" t="str">
        <f aca="false">IF(E1983="","",IFERROR(INDEX(02_INDICADORES!$B$2:$B$42,MATCH(E1983,02_INDICADORES!$A$2:$A$42,0)),"ID?"))</f>
        <v/>
      </c>
      <c r="G1983" s="21" t="str">
        <f aca="false">IF(E1983="","",IFERROR(INDEX(02_INDICADORES!$C$2:$C$42,MATCH(E1983,02_INDICADORES!$A$2:$A$42,0)),"ID?"))</f>
        <v/>
      </c>
      <c r="H1983" s="22" t="str">
        <f aca="false">IF(E1983="","",IFERROR(INDEX(02_INDICADORES!$D$2:$D$42,MATCH(E1983,02_INDICADORES!$A$2:$A$42,0)),""))</f>
        <v/>
      </c>
      <c r="I1983" s="9"/>
      <c r="J1983" s="16" t="str">
        <f aca="false">IF(OR(I1983="",H1983=""),"",I1983*H1983)</f>
        <v/>
      </c>
      <c r="K1983" s="9"/>
      <c r="L1983" s="9"/>
      <c r="M1983" s="9"/>
    </row>
    <row r="1984" customFormat="false" ht="15" hidden="false" customHeight="false" outlineLevel="0" collapsed="false">
      <c r="A1984" s="9"/>
      <c r="B1984" s="9"/>
      <c r="C1984" s="11"/>
      <c r="D1984" s="9"/>
      <c r="E1984" s="9"/>
      <c r="F1984" s="22" t="str">
        <f aca="false">IF(E1984="","",IFERROR(INDEX(02_INDICADORES!$B$2:$B$42,MATCH(E1984,02_INDICADORES!$A$2:$A$42,0)),"ID?"))</f>
        <v/>
      </c>
      <c r="G1984" s="21" t="str">
        <f aca="false">IF(E1984="","",IFERROR(INDEX(02_INDICADORES!$C$2:$C$42,MATCH(E1984,02_INDICADORES!$A$2:$A$42,0)),"ID?"))</f>
        <v/>
      </c>
      <c r="H1984" s="22" t="str">
        <f aca="false">IF(E1984="","",IFERROR(INDEX(02_INDICADORES!$D$2:$D$42,MATCH(E1984,02_INDICADORES!$A$2:$A$42,0)),""))</f>
        <v/>
      </c>
      <c r="I1984" s="9"/>
      <c r="J1984" s="16" t="str">
        <f aca="false">IF(OR(I1984="",H1984=""),"",I1984*H1984)</f>
        <v/>
      </c>
      <c r="K1984" s="9"/>
      <c r="L1984" s="9"/>
      <c r="M1984" s="9"/>
    </row>
    <row r="1985" customFormat="false" ht="15" hidden="false" customHeight="false" outlineLevel="0" collapsed="false">
      <c r="A1985" s="9"/>
      <c r="B1985" s="9"/>
      <c r="C1985" s="11"/>
      <c r="D1985" s="9"/>
      <c r="E1985" s="9"/>
      <c r="F1985" s="22" t="str">
        <f aca="false">IF(E1985="","",IFERROR(INDEX(02_INDICADORES!$B$2:$B$42,MATCH(E1985,02_INDICADORES!$A$2:$A$42,0)),"ID?"))</f>
        <v/>
      </c>
      <c r="G1985" s="21" t="str">
        <f aca="false">IF(E1985="","",IFERROR(INDEX(02_INDICADORES!$C$2:$C$42,MATCH(E1985,02_INDICADORES!$A$2:$A$42,0)),"ID?"))</f>
        <v/>
      </c>
      <c r="H1985" s="22" t="str">
        <f aca="false">IF(E1985="","",IFERROR(INDEX(02_INDICADORES!$D$2:$D$42,MATCH(E1985,02_INDICADORES!$A$2:$A$42,0)),""))</f>
        <v/>
      </c>
      <c r="I1985" s="9"/>
      <c r="J1985" s="16" t="str">
        <f aca="false">IF(OR(I1985="",H1985=""),"",I1985*H1985)</f>
        <v/>
      </c>
      <c r="K1985" s="9"/>
      <c r="L1985" s="9"/>
      <c r="M1985" s="9"/>
    </row>
    <row r="1986" customFormat="false" ht="15" hidden="false" customHeight="false" outlineLevel="0" collapsed="false">
      <c r="A1986" s="9"/>
      <c r="B1986" s="9"/>
      <c r="C1986" s="11"/>
      <c r="D1986" s="9"/>
      <c r="E1986" s="9"/>
      <c r="F1986" s="22" t="str">
        <f aca="false">IF(E1986="","",IFERROR(INDEX(02_INDICADORES!$B$2:$B$42,MATCH(E1986,02_INDICADORES!$A$2:$A$42,0)),"ID?"))</f>
        <v/>
      </c>
      <c r="G1986" s="21" t="str">
        <f aca="false">IF(E1986="","",IFERROR(INDEX(02_INDICADORES!$C$2:$C$42,MATCH(E1986,02_INDICADORES!$A$2:$A$42,0)),"ID?"))</f>
        <v/>
      </c>
      <c r="H1986" s="22" t="str">
        <f aca="false">IF(E1986="","",IFERROR(INDEX(02_INDICADORES!$D$2:$D$42,MATCH(E1986,02_INDICADORES!$A$2:$A$42,0)),""))</f>
        <v/>
      </c>
      <c r="I1986" s="9"/>
      <c r="J1986" s="16" t="str">
        <f aca="false">IF(OR(I1986="",H1986=""),"",I1986*H1986)</f>
        <v/>
      </c>
      <c r="K1986" s="9"/>
      <c r="L1986" s="9"/>
      <c r="M1986" s="9"/>
    </row>
    <row r="1987" customFormat="false" ht="15" hidden="false" customHeight="false" outlineLevel="0" collapsed="false">
      <c r="A1987" s="9"/>
      <c r="B1987" s="9"/>
      <c r="C1987" s="11"/>
      <c r="D1987" s="9"/>
      <c r="E1987" s="9"/>
      <c r="F1987" s="22" t="str">
        <f aca="false">IF(E1987="","",IFERROR(INDEX(02_INDICADORES!$B$2:$B$42,MATCH(E1987,02_INDICADORES!$A$2:$A$42,0)),"ID?"))</f>
        <v/>
      </c>
      <c r="G1987" s="21" t="str">
        <f aca="false">IF(E1987="","",IFERROR(INDEX(02_INDICADORES!$C$2:$C$42,MATCH(E1987,02_INDICADORES!$A$2:$A$42,0)),"ID?"))</f>
        <v/>
      </c>
      <c r="H1987" s="22" t="str">
        <f aca="false">IF(E1987="","",IFERROR(INDEX(02_INDICADORES!$D$2:$D$42,MATCH(E1987,02_INDICADORES!$A$2:$A$42,0)),""))</f>
        <v/>
      </c>
      <c r="I1987" s="9"/>
      <c r="J1987" s="16" t="str">
        <f aca="false">IF(OR(I1987="",H1987=""),"",I1987*H1987)</f>
        <v/>
      </c>
      <c r="K1987" s="9"/>
      <c r="L1987" s="9"/>
      <c r="M1987" s="9"/>
    </row>
    <row r="1988" customFormat="false" ht="15" hidden="false" customHeight="false" outlineLevel="0" collapsed="false">
      <c r="A1988" s="9"/>
      <c r="B1988" s="9"/>
      <c r="C1988" s="11"/>
      <c r="D1988" s="9"/>
      <c r="E1988" s="9"/>
      <c r="F1988" s="22" t="str">
        <f aca="false">IF(E1988="","",IFERROR(INDEX(02_INDICADORES!$B$2:$B$42,MATCH(E1988,02_INDICADORES!$A$2:$A$42,0)),"ID?"))</f>
        <v/>
      </c>
      <c r="G1988" s="21" t="str">
        <f aca="false">IF(E1988="","",IFERROR(INDEX(02_INDICADORES!$C$2:$C$42,MATCH(E1988,02_INDICADORES!$A$2:$A$42,0)),"ID?"))</f>
        <v/>
      </c>
      <c r="H1988" s="22" t="str">
        <f aca="false">IF(E1988="","",IFERROR(INDEX(02_INDICADORES!$D$2:$D$42,MATCH(E1988,02_INDICADORES!$A$2:$A$42,0)),""))</f>
        <v/>
      </c>
      <c r="I1988" s="9"/>
      <c r="J1988" s="16" t="str">
        <f aca="false">IF(OR(I1988="",H1988=""),"",I1988*H1988)</f>
        <v/>
      </c>
      <c r="K1988" s="9"/>
      <c r="L1988" s="9"/>
      <c r="M1988" s="9"/>
    </row>
    <row r="1989" customFormat="false" ht="15" hidden="false" customHeight="false" outlineLevel="0" collapsed="false">
      <c r="A1989" s="9"/>
      <c r="B1989" s="9"/>
      <c r="C1989" s="11"/>
      <c r="D1989" s="9"/>
      <c r="E1989" s="9"/>
      <c r="F1989" s="22" t="str">
        <f aca="false">IF(E1989="","",IFERROR(INDEX(02_INDICADORES!$B$2:$B$42,MATCH(E1989,02_INDICADORES!$A$2:$A$42,0)),"ID?"))</f>
        <v/>
      </c>
      <c r="G1989" s="21" t="str">
        <f aca="false">IF(E1989="","",IFERROR(INDEX(02_INDICADORES!$C$2:$C$42,MATCH(E1989,02_INDICADORES!$A$2:$A$42,0)),"ID?"))</f>
        <v/>
      </c>
      <c r="H1989" s="22" t="str">
        <f aca="false">IF(E1989="","",IFERROR(INDEX(02_INDICADORES!$D$2:$D$42,MATCH(E1989,02_INDICADORES!$A$2:$A$42,0)),""))</f>
        <v/>
      </c>
      <c r="I1989" s="9"/>
      <c r="J1989" s="16" t="str">
        <f aca="false">IF(OR(I1989="",H1989=""),"",I1989*H1989)</f>
        <v/>
      </c>
      <c r="K1989" s="9"/>
      <c r="L1989" s="9"/>
      <c r="M1989" s="9"/>
    </row>
    <row r="1990" customFormat="false" ht="15" hidden="false" customHeight="false" outlineLevel="0" collapsed="false">
      <c r="A1990" s="9"/>
      <c r="B1990" s="9"/>
      <c r="C1990" s="11"/>
      <c r="D1990" s="9"/>
      <c r="E1990" s="9"/>
      <c r="F1990" s="22" t="str">
        <f aca="false">IF(E1990="","",IFERROR(INDEX(02_INDICADORES!$B$2:$B$42,MATCH(E1990,02_INDICADORES!$A$2:$A$42,0)),"ID?"))</f>
        <v/>
      </c>
      <c r="G1990" s="21" t="str">
        <f aca="false">IF(E1990="","",IFERROR(INDEX(02_INDICADORES!$C$2:$C$42,MATCH(E1990,02_INDICADORES!$A$2:$A$42,0)),"ID?"))</f>
        <v/>
      </c>
      <c r="H1990" s="22" t="str">
        <f aca="false">IF(E1990="","",IFERROR(INDEX(02_INDICADORES!$D$2:$D$42,MATCH(E1990,02_INDICADORES!$A$2:$A$42,0)),""))</f>
        <v/>
      </c>
      <c r="I1990" s="9"/>
      <c r="J1990" s="16" t="str">
        <f aca="false">IF(OR(I1990="",H1990=""),"",I1990*H1990)</f>
        <v/>
      </c>
      <c r="K1990" s="9"/>
      <c r="L1990" s="9"/>
      <c r="M1990" s="9"/>
    </row>
    <row r="1991" customFormat="false" ht="15" hidden="false" customHeight="false" outlineLevel="0" collapsed="false">
      <c r="A1991" s="9"/>
      <c r="B1991" s="9"/>
      <c r="C1991" s="11"/>
      <c r="D1991" s="9"/>
      <c r="E1991" s="9"/>
      <c r="F1991" s="22" t="str">
        <f aca="false">IF(E1991="","",IFERROR(INDEX(02_INDICADORES!$B$2:$B$42,MATCH(E1991,02_INDICADORES!$A$2:$A$42,0)),"ID?"))</f>
        <v/>
      </c>
      <c r="G1991" s="21" t="str">
        <f aca="false">IF(E1991="","",IFERROR(INDEX(02_INDICADORES!$C$2:$C$42,MATCH(E1991,02_INDICADORES!$A$2:$A$42,0)),"ID?"))</f>
        <v/>
      </c>
      <c r="H1991" s="22" t="str">
        <f aca="false">IF(E1991="","",IFERROR(INDEX(02_INDICADORES!$D$2:$D$42,MATCH(E1991,02_INDICADORES!$A$2:$A$42,0)),""))</f>
        <v/>
      </c>
      <c r="I1991" s="9"/>
      <c r="J1991" s="16" t="str">
        <f aca="false">IF(OR(I1991="",H1991=""),"",I1991*H1991)</f>
        <v/>
      </c>
      <c r="K1991" s="9"/>
      <c r="L1991" s="9"/>
      <c r="M1991" s="9"/>
    </row>
    <row r="1992" customFormat="false" ht="15" hidden="false" customHeight="false" outlineLevel="0" collapsed="false">
      <c r="A1992" s="9"/>
      <c r="B1992" s="9"/>
      <c r="C1992" s="11"/>
      <c r="D1992" s="9"/>
      <c r="E1992" s="9"/>
      <c r="F1992" s="22" t="str">
        <f aca="false">IF(E1992="","",IFERROR(INDEX(02_INDICADORES!$B$2:$B$42,MATCH(E1992,02_INDICADORES!$A$2:$A$42,0)),"ID?"))</f>
        <v/>
      </c>
      <c r="G1992" s="21" t="str">
        <f aca="false">IF(E1992="","",IFERROR(INDEX(02_INDICADORES!$C$2:$C$42,MATCH(E1992,02_INDICADORES!$A$2:$A$42,0)),"ID?"))</f>
        <v/>
      </c>
      <c r="H1992" s="22" t="str">
        <f aca="false">IF(E1992="","",IFERROR(INDEX(02_INDICADORES!$D$2:$D$42,MATCH(E1992,02_INDICADORES!$A$2:$A$42,0)),""))</f>
        <v/>
      </c>
      <c r="I1992" s="9"/>
      <c r="J1992" s="16" t="str">
        <f aca="false">IF(OR(I1992="",H1992=""),"",I1992*H1992)</f>
        <v/>
      </c>
      <c r="K1992" s="9"/>
      <c r="L1992" s="9"/>
      <c r="M1992" s="9"/>
    </row>
    <row r="1993" customFormat="false" ht="15" hidden="false" customHeight="false" outlineLevel="0" collapsed="false">
      <c r="A1993" s="9"/>
      <c r="B1993" s="9"/>
      <c r="C1993" s="11"/>
      <c r="D1993" s="9"/>
      <c r="E1993" s="9"/>
      <c r="F1993" s="22" t="str">
        <f aca="false">IF(E1993="","",IFERROR(INDEX(02_INDICADORES!$B$2:$B$42,MATCH(E1993,02_INDICADORES!$A$2:$A$42,0)),"ID?"))</f>
        <v/>
      </c>
      <c r="G1993" s="21" t="str">
        <f aca="false">IF(E1993="","",IFERROR(INDEX(02_INDICADORES!$C$2:$C$42,MATCH(E1993,02_INDICADORES!$A$2:$A$42,0)),"ID?"))</f>
        <v/>
      </c>
      <c r="H1993" s="22" t="str">
        <f aca="false">IF(E1993="","",IFERROR(INDEX(02_INDICADORES!$D$2:$D$42,MATCH(E1993,02_INDICADORES!$A$2:$A$42,0)),""))</f>
        <v/>
      </c>
      <c r="I1993" s="9"/>
      <c r="J1993" s="16" t="str">
        <f aca="false">IF(OR(I1993="",H1993=""),"",I1993*H1993)</f>
        <v/>
      </c>
      <c r="K1993" s="9"/>
      <c r="L1993" s="9"/>
      <c r="M1993" s="9"/>
    </row>
    <row r="1994" customFormat="false" ht="15" hidden="false" customHeight="false" outlineLevel="0" collapsed="false">
      <c r="A1994" s="9"/>
      <c r="B1994" s="9"/>
      <c r="C1994" s="11"/>
      <c r="D1994" s="9"/>
      <c r="E1994" s="9"/>
      <c r="F1994" s="22" t="str">
        <f aca="false">IF(E1994="","",IFERROR(INDEX(02_INDICADORES!$B$2:$B$42,MATCH(E1994,02_INDICADORES!$A$2:$A$42,0)),"ID?"))</f>
        <v/>
      </c>
      <c r="G1994" s="21" t="str">
        <f aca="false">IF(E1994="","",IFERROR(INDEX(02_INDICADORES!$C$2:$C$42,MATCH(E1994,02_INDICADORES!$A$2:$A$42,0)),"ID?"))</f>
        <v/>
      </c>
      <c r="H1994" s="22" t="str">
        <f aca="false">IF(E1994="","",IFERROR(INDEX(02_INDICADORES!$D$2:$D$42,MATCH(E1994,02_INDICADORES!$A$2:$A$42,0)),""))</f>
        <v/>
      </c>
      <c r="I1994" s="9"/>
      <c r="J1994" s="16" t="str">
        <f aca="false">IF(OR(I1994="",H1994=""),"",I1994*H1994)</f>
        <v/>
      </c>
      <c r="K1994" s="9"/>
      <c r="L1994" s="9"/>
      <c r="M1994" s="9"/>
    </row>
    <row r="1995" customFormat="false" ht="15" hidden="false" customHeight="false" outlineLevel="0" collapsed="false">
      <c r="A1995" s="9"/>
      <c r="B1995" s="9"/>
      <c r="C1995" s="11"/>
      <c r="D1995" s="9"/>
      <c r="E1995" s="9"/>
      <c r="F1995" s="22" t="str">
        <f aca="false">IF(E1995="","",IFERROR(INDEX(02_INDICADORES!$B$2:$B$42,MATCH(E1995,02_INDICADORES!$A$2:$A$42,0)),"ID?"))</f>
        <v/>
      </c>
      <c r="G1995" s="21" t="str">
        <f aca="false">IF(E1995="","",IFERROR(INDEX(02_INDICADORES!$C$2:$C$42,MATCH(E1995,02_INDICADORES!$A$2:$A$42,0)),"ID?"))</f>
        <v/>
      </c>
      <c r="H1995" s="22" t="str">
        <f aca="false">IF(E1995="","",IFERROR(INDEX(02_INDICADORES!$D$2:$D$42,MATCH(E1995,02_INDICADORES!$A$2:$A$42,0)),""))</f>
        <v/>
      </c>
      <c r="I1995" s="9"/>
      <c r="J1995" s="16" t="str">
        <f aca="false">IF(OR(I1995="",H1995=""),"",I1995*H1995)</f>
        <v/>
      </c>
      <c r="K1995" s="9"/>
      <c r="L1995" s="9"/>
      <c r="M1995" s="9"/>
    </row>
    <row r="1996" customFormat="false" ht="15" hidden="false" customHeight="false" outlineLevel="0" collapsed="false">
      <c r="A1996" s="9"/>
      <c r="B1996" s="9"/>
      <c r="C1996" s="11"/>
      <c r="D1996" s="9"/>
      <c r="E1996" s="9"/>
      <c r="F1996" s="22" t="str">
        <f aca="false">IF(E1996="","",IFERROR(INDEX(02_INDICADORES!$B$2:$B$42,MATCH(E1996,02_INDICADORES!$A$2:$A$42,0)),"ID?"))</f>
        <v/>
      </c>
      <c r="G1996" s="21" t="str">
        <f aca="false">IF(E1996="","",IFERROR(INDEX(02_INDICADORES!$C$2:$C$42,MATCH(E1996,02_INDICADORES!$A$2:$A$42,0)),"ID?"))</f>
        <v/>
      </c>
      <c r="H1996" s="22" t="str">
        <f aca="false">IF(E1996="","",IFERROR(INDEX(02_INDICADORES!$D$2:$D$42,MATCH(E1996,02_INDICADORES!$A$2:$A$42,0)),""))</f>
        <v/>
      </c>
      <c r="I1996" s="9"/>
      <c r="J1996" s="16" t="str">
        <f aca="false">IF(OR(I1996="",H1996=""),"",I1996*H1996)</f>
        <v/>
      </c>
      <c r="K1996" s="9"/>
      <c r="L1996" s="9"/>
      <c r="M1996" s="9"/>
    </row>
    <row r="1997" customFormat="false" ht="15" hidden="false" customHeight="false" outlineLevel="0" collapsed="false">
      <c r="A1997" s="9"/>
      <c r="B1997" s="9"/>
      <c r="C1997" s="11"/>
      <c r="D1997" s="9"/>
      <c r="E1997" s="9"/>
      <c r="F1997" s="22" t="str">
        <f aca="false">IF(E1997="","",IFERROR(INDEX(02_INDICADORES!$B$2:$B$42,MATCH(E1997,02_INDICADORES!$A$2:$A$42,0)),"ID?"))</f>
        <v/>
      </c>
      <c r="G1997" s="21" t="str">
        <f aca="false">IF(E1997="","",IFERROR(INDEX(02_INDICADORES!$C$2:$C$42,MATCH(E1997,02_INDICADORES!$A$2:$A$42,0)),"ID?"))</f>
        <v/>
      </c>
      <c r="H1997" s="22" t="str">
        <f aca="false">IF(E1997="","",IFERROR(INDEX(02_INDICADORES!$D$2:$D$42,MATCH(E1997,02_INDICADORES!$A$2:$A$42,0)),""))</f>
        <v/>
      </c>
      <c r="I1997" s="9"/>
      <c r="J1997" s="16" t="str">
        <f aca="false">IF(OR(I1997="",H1997=""),"",I1997*H1997)</f>
        <v/>
      </c>
      <c r="K1997" s="9"/>
      <c r="L1997" s="9"/>
      <c r="M1997" s="9"/>
    </row>
    <row r="1998" customFormat="false" ht="15" hidden="false" customHeight="false" outlineLevel="0" collapsed="false">
      <c r="A1998" s="9"/>
      <c r="B1998" s="9"/>
      <c r="C1998" s="11"/>
      <c r="D1998" s="9"/>
      <c r="E1998" s="9"/>
      <c r="F1998" s="22" t="str">
        <f aca="false">IF(E1998="","",IFERROR(INDEX(02_INDICADORES!$B$2:$B$42,MATCH(E1998,02_INDICADORES!$A$2:$A$42,0)),"ID?"))</f>
        <v/>
      </c>
      <c r="G1998" s="21" t="str">
        <f aca="false">IF(E1998="","",IFERROR(INDEX(02_INDICADORES!$C$2:$C$42,MATCH(E1998,02_INDICADORES!$A$2:$A$42,0)),"ID?"))</f>
        <v/>
      </c>
      <c r="H1998" s="22" t="str">
        <f aca="false">IF(E1998="","",IFERROR(INDEX(02_INDICADORES!$D$2:$D$42,MATCH(E1998,02_INDICADORES!$A$2:$A$42,0)),""))</f>
        <v/>
      </c>
      <c r="I1998" s="9"/>
      <c r="J1998" s="16" t="str">
        <f aca="false">IF(OR(I1998="",H1998=""),"",I1998*H1998)</f>
        <v/>
      </c>
      <c r="K1998" s="9"/>
      <c r="L1998" s="9"/>
      <c r="M1998" s="9"/>
    </row>
    <row r="1999" customFormat="false" ht="15" hidden="false" customHeight="false" outlineLevel="0" collapsed="false">
      <c r="A1999" s="9"/>
      <c r="B1999" s="9"/>
      <c r="C1999" s="11"/>
      <c r="D1999" s="9"/>
      <c r="E1999" s="9"/>
      <c r="F1999" s="22" t="str">
        <f aca="false">IF(E1999="","",IFERROR(INDEX(02_INDICADORES!$B$2:$B$42,MATCH(E1999,02_INDICADORES!$A$2:$A$42,0)),"ID?"))</f>
        <v/>
      </c>
      <c r="G1999" s="21" t="str">
        <f aca="false">IF(E1999="","",IFERROR(INDEX(02_INDICADORES!$C$2:$C$42,MATCH(E1999,02_INDICADORES!$A$2:$A$42,0)),"ID?"))</f>
        <v/>
      </c>
      <c r="H1999" s="22" t="str">
        <f aca="false">IF(E1999="","",IFERROR(INDEX(02_INDICADORES!$D$2:$D$42,MATCH(E1999,02_INDICADORES!$A$2:$A$42,0)),""))</f>
        <v/>
      </c>
      <c r="I1999" s="9"/>
      <c r="J1999" s="16" t="str">
        <f aca="false">IF(OR(I1999="",H1999=""),"",I1999*H1999)</f>
        <v/>
      </c>
      <c r="K1999" s="9"/>
      <c r="L1999" s="9"/>
      <c r="M1999" s="9"/>
    </row>
    <row r="2000" customFormat="false" ht="15" hidden="false" customHeight="false" outlineLevel="0" collapsed="false">
      <c r="A2000" s="9"/>
      <c r="B2000" s="9"/>
      <c r="C2000" s="11"/>
      <c r="D2000" s="9"/>
      <c r="E2000" s="9"/>
      <c r="F2000" s="22" t="str">
        <f aca="false">IF(E2000="","",IFERROR(INDEX(02_INDICADORES!$B$2:$B$42,MATCH(E2000,02_INDICADORES!$A$2:$A$42,0)),"ID?"))</f>
        <v/>
      </c>
      <c r="G2000" s="21" t="str">
        <f aca="false">IF(E2000="","",IFERROR(INDEX(02_INDICADORES!$C$2:$C$42,MATCH(E2000,02_INDICADORES!$A$2:$A$42,0)),"ID?"))</f>
        <v/>
      </c>
      <c r="H2000" s="22" t="str">
        <f aca="false">IF(E2000="","",IFERROR(INDEX(02_INDICADORES!$D$2:$D$42,MATCH(E2000,02_INDICADORES!$A$2:$A$42,0)),""))</f>
        <v/>
      </c>
      <c r="I2000" s="9"/>
      <c r="J2000" s="16" t="str">
        <f aca="false">IF(OR(I2000="",H2000=""),"",I2000*H2000)</f>
        <v/>
      </c>
      <c r="K2000" s="9"/>
      <c r="L2000" s="9"/>
      <c r="M2000" s="9"/>
    </row>
    <row r="2001" customFormat="false" ht="15" hidden="false" customHeight="false" outlineLevel="0" collapsed="false">
      <c r="A2001" s="9"/>
      <c r="B2001" s="9"/>
      <c r="C2001" s="11"/>
      <c r="D2001" s="9"/>
      <c r="E2001" s="9"/>
      <c r="F2001" s="22" t="str">
        <f aca="false">IF(E2001="","",IFERROR(INDEX(02_INDICADORES!$B$2:$B$42,MATCH(E2001,02_INDICADORES!$A$2:$A$42,0)),"ID?"))</f>
        <v/>
      </c>
      <c r="G2001" s="21" t="str">
        <f aca="false">IF(E2001="","",IFERROR(INDEX(02_INDICADORES!$C$2:$C$42,MATCH(E2001,02_INDICADORES!$A$2:$A$42,0)),"ID?"))</f>
        <v/>
      </c>
      <c r="H2001" s="22" t="str">
        <f aca="false">IF(E2001="","",IFERROR(INDEX(02_INDICADORES!$D$2:$D$42,MATCH(E2001,02_INDICADORES!$A$2:$A$42,0)),""))</f>
        <v/>
      </c>
      <c r="I2001" s="9"/>
      <c r="J2001" s="16" t="str">
        <f aca="false">IF(OR(I2001="",H2001=""),"",I2001*H2001)</f>
        <v/>
      </c>
      <c r="K2001" s="9"/>
      <c r="L2001" s="9"/>
      <c r="M2001" s="9"/>
    </row>
  </sheetData>
  <autoFilter ref="A1:M2001"/>
  <dataValidations count="4">
    <dataValidation allowBlank="true" error="La puntuación debe estar entre 0 y 100." errorStyle="stop" errorTitle="DCIP 2.3" operator="between" showDropDown="false" showErrorMessage="false" showInputMessage="false" sqref="I2:I2001" type="decimal">
      <formula1>0</formula1>
      <formula2>100</formula2>
    </dataValidation>
    <dataValidation allowBlank="true" error="Valor no permitido. Use la lista desplegable." errorStyle="stop" errorTitle="DCIP 2.3" operator="between" showDropDown="false" showErrorMessage="false" showInputMessage="false" sqref="E2:E2001" type="list">
      <formula1>02_INDICADORES!$A$2:$A$42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K2:K2001" type="list">
      <formula1>16_LISTAS!$A$4:$A$8</formula1>
      <formula2>0</formula2>
    </dataValidation>
    <dataValidation allowBlank="true" error="Valor no permitido. Use la lista desplegable." errorStyle="stop" errorTitle="DCIP 2.3" operator="between" showDropDown="false" showErrorMessage="false" showInputMessage="false" sqref="L2:L2001" type="list">
      <formula1>16_LISTAS!$K$4:$K$8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6" min="3" style="0" width="10"/>
    <col collapsed="false" customWidth="true" hidden="false" outlineLevel="0" max="7" min="7" style="0" width="11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" t="s">
        <v>825</v>
      </c>
    </row>
    <row r="2" customFormat="false" ht="15" hidden="false" customHeight="false" outlineLevel="0" collapsed="false">
      <c r="A2" s="2" t="s">
        <v>826</v>
      </c>
    </row>
    <row r="3" customFormat="false" ht="15" hidden="false" customHeight="false" outlineLevel="0" collapsed="false">
      <c r="A3" s="7" t="s">
        <v>40</v>
      </c>
      <c r="B3" s="7" t="s">
        <v>46</v>
      </c>
      <c r="C3" s="7" t="s">
        <v>827</v>
      </c>
      <c r="D3" s="7" t="s">
        <v>828</v>
      </c>
      <c r="E3" s="7" t="s">
        <v>829</v>
      </c>
      <c r="F3" s="7" t="s">
        <v>830</v>
      </c>
      <c r="G3" s="7" t="s">
        <v>100</v>
      </c>
      <c r="H3" s="7" t="s">
        <v>215</v>
      </c>
      <c r="I3" s="7" t="s">
        <v>325</v>
      </c>
      <c r="J3" s="7" t="s">
        <v>456</v>
      </c>
      <c r="K3" s="7" t="s">
        <v>831</v>
      </c>
      <c r="L3" s="7" t="s">
        <v>577</v>
      </c>
      <c r="M3" s="7" t="s">
        <v>651</v>
      </c>
      <c r="N3" s="7" t="s">
        <v>832</v>
      </c>
    </row>
    <row r="4" customFormat="false" ht="15" hidden="false" customHeight="false" outlineLevel="0" collapsed="false">
      <c r="A4" s="9"/>
      <c r="B4" s="11"/>
      <c r="C4" s="29" t="str">
        <f aca="false">IF(A4="","",SUMIFS(14_HISTORICO!$H$2:$H$2001,14_HISTORICO!$A$2:$A$2001,A4,14_HISTORICO!$C$2:$C$2001,B4,14_HISTORICO!$F$2:$F$2001,"FIN",14_HISTORICO!$I$2:$I$2001,"&lt;&gt;")/100)</f>
        <v/>
      </c>
      <c r="D4" s="29" t="str">
        <f aca="false">IF(A4="","",SUMIFS(14_HISTORICO!$H$2:$H$2001,14_HISTORICO!$A$2:$A$2001,A4,14_HISTORICO!$C$2:$C$2001,B4,14_HISTORICO!$F$2:$F$2001,"IND",14_HISTORICO!$I$2:$I$2001,"&lt;&gt;")/100)</f>
        <v/>
      </c>
      <c r="E4" s="29" t="str">
        <f aca="false">IF(A4="","",SUMIFS(14_HISTORICO!$H$2:$H$2001,14_HISTORICO!$A$2:$A$2001,A4,14_HISTORICO!$C$2:$C$2001,B4,14_HISTORICO!$F$2:$F$2001,"DEF",14_HISTORICO!$I$2:$I$2001,"&lt;&gt;")/100)</f>
        <v/>
      </c>
      <c r="F4" s="29" t="str">
        <f aca="false">IF(A4="","",SUMIFS(14_HISTORICO!$H$2:$H$2001,14_HISTORICO!$A$2:$A$2001,A4,14_HISTORICO!$C$2:$C$2001,B4,14_HISTORICO!$F$2:$F$2001,"PRO",14_HISTORICO!$I$2:$I$2001,"&lt;&gt;")/100)</f>
        <v/>
      </c>
      <c r="G4" s="31" t="str">
        <f aca="false">IF(A4="","",IF(C4&lt;0.6,"NC",ROUND(SUMIFS(14_HISTORICO!$J$2:$J$2001,14_HISTORICO!$A$2:$A$2001,A4,14_HISTORICO!$C$2:$C$2001,B4,14_HISTORICO!$F$2:$F$2001,"FIN")/SUMIFS(14_HISTORICO!$H$2:$H$2001,14_HISTORICO!$A$2:$A$2001,A4,14_HISTORICO!$C$2:$C$2001,B4,14_HISTORICO!$F$2:$F$2001,"FIN",14_HISTORICO!$I$2:$I$2001,"&lt;&gt;"),0)))</f>
        <v/>
      </c>
      <c r="H4" s="31" t="str">
        <f aca="false">IF(A4="","",IF(D4&lt;0.6,"NC",ROUND(SUMIFS(14_HISTORICO!$J$2:$J$2001,14_HISTORICO!$A$2:$A$2001,A4,14_HISTORICO!$C$2:$C$2001,B4,14_HISTORICO!$F$2:$F$2001,"IND")/SUMIFS(14_HISTORICO!$H$2:$H$2001,14_HISTORICO!$A$2:$A$2001,A4,14_HISTORICO!$C$2:$C$2001,B4,14_HISTORICO!$F$2:$F$2001,"IND",14_HISTORICO!$I$2:$I$2001,"&lt;&gt;"),0)))</f>
        <v/>
      </c>
      <c r="I4" s="31" t="str">
        <f aca="false">IF(A4="","",IF(E4&lt;0.6,"NC",ROUND(SUMIFS(14_HISTORICO!$J$2:$J$2001,14_HISTORICO!$A$2:$A$2001,A4,14_HISTORICO!$C$2:$C$2001,B4,14_HISTORICO!$F$2:$F$2001,"DEF")/SUMIFS(14_HISTORICO!$H$2:$H$2001,14_HISTORICO!$A$2:$A$2001,A4,14_HISTORICO!$C$2:$C$2001,B4,14_HISTORICO!$F$2:$F$2001,"DEF",14_HISTORICO!$I$2:$I$2001,"&lt;&gt;"),0)))</f>
        <v/>
      </c>
      <c r="J4" s="31" t="str">
        <f aca="false">IF(A4="","",IF(F4&lt;0.6,"NC",ROUND(SUMIFS(14_HISTORICO!$J$2:$J$2001,14_HISTORICO!$A$2:$A$2001,A4,14_HISTORICO!$C$2:$C$2001,B4,14_HISTORICO!$F$2:$F$2001,"PRO")/SUMIFS(14_HISTORICO!$H$2:$H$2001,14_HISTORICO!$A$2:$A$2001,A4,14_HISTORICO!$C$2:$C$2001,B4,14_HISTORICO!$F$2:$F$2001,"PRO",14_HISTORICO!$I$2:$I$2001,"&lt;&gt;"),0)))</f>
        <v/>
      </c>
      <c r="K4" s="31" t="str">
        <f aca="false">IF(A4="","",IF(COUNTIF(G4:J4,"NC")&gt;0,"NC",ROUND(G4*01_CONFIG!$B$18+H4*01_CONFIG!$B$19+I4*01_CONFIG!$B$20+J4*01_CONFIG!$B$21,0)))</f>
        <v/>
      </c>
      <c r="L4" s="16" t="str">
        <f aca="false">IF(OR(K4="",K4="NC"),"",LOOKUP(K4,16_LISTAS!$G$4:$G$8,16_LISTAS!$H$4:$H$8))</f>
        <v/>
      </c>
      <c r="M4" s="16" t="str">
        <f aca="false">IF(A4="","",IF(MIN(C4:F4)&lt;0.6,"NO CONCLUYENTE",IF(MIN(C4:F4)&lt;0.8,"CON RESERVAS","CONCLUYENTE")))</f>
        <v/>
      </c>
      <c r="N4" s="16" t="str">
        <f aca="false">IF(OR(K4="",K4="NC"),"",RANK(K4,$K$4:$K$43))</f>
        <v/>
      </c>
    </row>
    <row r="5" customFormat="false" ht="15" hidden="false" customHeight="false" outlineLevel="0" collapsed="false">
      <c r="A5" s="9"/>
      <c r="B5" s="11"/>
      <c r="C5" s="29" t="str">
        <f aca="false">IF(A5="","",SUMIFS(14_HISTORICO!$H$2:$H$2001,14_HISTORICO!$A$2:$A$2001,A5,14_HISTORICO!$C$2:$C$2001,B5,14_HISTORICO!$F$2:$F$2001,"FIN",14_HISTORICO!$I$2:$I$2001,"&lt;&gt;")/100)</f>
        <v/>
      </c>
      <c r="D5" s="29" t="str">
        <f aca="false">IF(A5="","",SUMIFS(14_HISTORICO!$H$2:$H$2001,14_HISTORICO!$A$2:$A$2001,A5,14_HISTORICO!$C$2:$C$2001,B5,14_HISTORICO!$F$2:$F$2001,"IND",14_HISTORICO!$I$2:$I$2001,"&lt;&gt;")/100)</f>
        <v/>
      </c>
      <c r="E5" s="29" t="str">
        <f aca="false">IF(A5="","",SUMIFS(14_HISTORICO!$H$2:$H$2001,14_HISTORICO!$A$2:$A$2001,A5,14_HISTORICO!$C$2:$C$2001,B5,14_HISTORICO!$F$2:$F$2001,"DEF",14_HISTORICO!$I$2:$I$2001,"&lt;&gt;")/100)</f>
        <v/>
      </c>
      <c r="F5" s="29" t="str">
        <f aca="false">IF(A5="","",SUMIFS(14_HISTORICO!$H$2:$H$2001,14_HISTORICO!$A$2:$A$2001,A5,14_HISTORICO!$C$2:$C$2001,B5,14_HISTORICO!$F$2:$F$2001,"PRO",14_HISTORICO!$I$2:$I$2001,"&lt;&gt;")/100)</f>
        <v/>
      </c>
      <c r="G5" s="31" t="str">
        <f aca="false">IF(A5="","",IF(C5&lt;0.6,"NC",ROUND(SUMIFS(14_HISTORICO!$J$2:$J$2001,14_HISTORICO!$A$2:$A$2001,A5,14_HISTORICO!$C$2:$C$2001,B5,14_HISTORICO!$F$2:$F$2001,"FIN")/SUMIFS(14_HISTORICO!$H$2:$H$2001,14_HISTORICO!$A$2:$A$2001,A5,14_HISTORICO!$C$2:$C$2001,B5,14_HISTORICO!$F$2:$F$2001,"FIN",14_HISTORICO!$I$2:$I$2001,"&lt;&gt;"),0)))</f>
        <v/>
      </c>
      <c r="H5" s="31" t="str">
        <f aca="false">IF(A5="","",IF(D5&lt;0.6,"NC",ROUND(SUMIFS(14_HISTORICO!$J$2:$J$2001,14_HISTORICO!$A$2:$A$2001,A5,14_HISTORICO!$C$2:$C$2001,B5,14_HISTORICO!$F$2:$F$2001,"IND")/SUMIFS(14_HISTORICO!$H$2:$H$2001,14_HISTORICO!$A$2:$A$2001,A5,14_HISTORICO!$C$2:$C$2001,B5,14_HISTORICO!$F$2:$F$2001,"IND",14_HISTORICO!$I$2:$I$2001,"&lt;&gt;"),0)))</f>
        <v/>
      </c>
      <c r="I5" s="31" t="str">
        <f aca="false">IF(A5="","",IF(E5&lt;0.6,"NC",ROUND(SUMIFS(14_HISTORICO!$J$2:$J$2001,14_HISTORICO!$A$2:$A$2001,A5,14_HISTORICO!$C$2:$C$2001,B5,14_HISTORICO!$F$2:$F$2001,"DEF")/SUMIFS(14_HISTORICO!$H$2:$H$2001,14_HISTORICO!$A$2:$A$2001,A5,14_HISTORICO!$C$2:$C$2001,B5,14_HISTORICO!$F$2:$F$2001,"DEF",14_HISTORICO!$I$2:$I$2001,"&lt;&gt;"),0)))</f>
        <v/>
      </c>
      <c r="J5" s="31" t="str">
        <f aca="false">IF(A5="","",IF(F5&lt;0.6,"NC",ROUND(SUMIFS(14_HISTORICO!$J$2:$J$2001,14_HISTORICO!$A$2:$A$2001,A5,14_HISTORICO!$C$2:$C$2001,B5,14_HISTORICO!$F$2:$F$2001,"PRO")/SUMIFS(14_HISTORICO!$H$2:$H$2001,14_HISTORICO!$A$2:$A$2001,A5,14_HISTORICO!$C$2:$C$2001,B5,14_HISTORICO!$F$2:$F$2001,"PRO",14_HISTORICO!$I$2:$I$2001,"&lt;&gt;"),0)))</f>
        <v/>
      </c>
      <c r="K5" s="31" t="str">
        <f aca="false">IF(A5="","",IF(COUNTIF(G5:J5,"NC")&gt;0,"NC",ROUND(G5*01_CONFIG!$B$18+H5*01_CONFIG!$B$19+I5*01_CONFIG!$B$20+J5*01_CONFIG!$B$21,0)))</f>
        <v/>
      </c>
      <c r="L5" s="16" t="str">
        <f aca="false">IF(OR(K5="",K5="NC"),"",LOOKUP(K5,16_LISTAS!$G$4:$G$8,16_LISTAS!$H$4:$H$8))</f>
        <v/>
      </c>
      <c r="M5" s="16" t="str">
        <f aca="false">IF(A5="","",IF(MIN(C5:F5)&lt;0.6,"NO CONCLUYENTE",IF(MIN(C5:F5)&lt;0.8,"CON RESERVAS","CONCLUYENTE")))</f>
        <v/>
      </c>
      <c r="N5" s="16" t="str">
        <f aca="false">IF(OR(K5="",K5="NC"),"",RANK(K5,$K$4:$K$43))</f>
        <v/>
      </c>
    </row>
    <row r="6" customFormat="false" ht="15" hidden="false" customHeight="false" outlineLevel="0" collapsed="false">
      <c r="A6" s="9"/>
      <c r="B6" s="11"/>
      <c r="C6" s="29" t="str">
        <f aca="false">IF(A6="","",SUMIFS(14_HISTORICO!$H$2:$H$2001,14_HISTORICO!$A$2:$A$2001,A6,14_HISTORICO!$C$2:$C$2001,B6,14_HISTORICO!$F$2:$F$2001,"FIN",14_HISTORICO!$I$2:$I$2001,"&lt;&gt;")/100)</f>
        <v/>
      </c>
      <c r="D6" s="29" t="str">
        <f aca="false">IF(A6="","",SUMIFS(14_HISTORICO!$H$2:$H$2001,14_HISTORICO!$A$2:$A$2001,A6,14_HISTORICO!$C$2:$C$2001,B6,14_HISTORICO!$F$2:$F$2001,"IND",14_HISTORICO!$I$2:$I$2001,"&lt;&gt;")/100)</f>
        <v/>
      </c>
      <c r="E6" s="29" t="str">
        <f aca="false">IF(A6="","",SUMIFS(14_HISTORICO!$H$2:$H$2001,14_HISTORICO!$A$2:$A$2001,A6,14_HISTORICO!$C$2:$C$2001,B6,14_HISTORICO!$F$2:$F$2001,"DEF",14_HISTORICO!$I$2:$I$2001,"&lt;&gt;")/100)</f>
        <v/>
      </c>
      <c r="F6" s="29" t="str">
        <f aca="false">IF(A6="","",SUMIFS(14_HISTORICO!$H$2:$H$2001,14_HISTORICO!$A$2:$A$2001,A6,14_HISTORICO!$C$2:$C$2001,B6,14_HISTORICO!$F$2:$F$2001,"PRO",14_HISTORICO!$I$2:$I$2001,"&lt;&gt;")/100)</f>
        <v/>
      </c>
      <c r="G6" s="31" t="str">
        <f aca="false">IF(A6="","",IF(C6&lt;0.6,"NC",ROUND(SUMIFS(14_HISTORICO!$J$2:$J$2001,14_HISTORICO!$A$2:$A$2001,A6,14_HISTORICO!$C$2:$C$2001,B6,14_HISTORICO!$F$2:$F$2001,"FIN")/SUMIFS(14_HISTORICO!$H$2:$H$2001,14_HISTORICO!$A$2:$A$2001,A6,14_HISTORICO!$C$2:$C$2001,B6,14_HISTORICO!$F$2:$F$2001,"FIN",14_HISTORICO!$I$2:$I$2001,"&lt;&gt;"),0)))</f>
        <v/>
      </c>
      <c r="H6" s="31" t="str">
        <f aca="false">IF(A6="","",IF(D6&lt;0.6,"NC",ROUND(SUMIFS(14_HISTORICO!$J$2:$J$2001,14_HISTORICO!$A$2:$A$2001,A6,14_HISTORICO!$C$2:$C$2001,B6,14_HISTORICO!$F$2:$F$2001,"IND")/SUMIFS(14_HISTORICO!$H$2:$H$2001,14_HISTORICO!$A$2:$A$2001,A6,14_HISTORICO!$C$2:$C$2001,B6,14_HISTORICO!$F$2:$F$2001,"IND",14_HISTORICO!$I$2:$I$2001,"&lt;&gt;"),0)))</f>
        <v/>
      </c>
      <c r="I6" s="31" t="str">
        <f aca="false">IF(A6="","",IF(E6&lt;0.6,"NC",ROUND(SUMIFS(14_HISTORICO!$J$2:$J$2001,14_HISTORICO!$A$2:$A$2001,A6,14_HISTORICO!$C$2:$C$2001,B6,14_HISTORICO!$F$2:$F$2001,"DEF")/SUMIFS(14_HISTORICO!$H$2:$H$2001,14_HISTORICO!$A$2:$A$2001,A6,14_HISTORICO!$C$2:$C$2001,B6,14_HISTORICO!$F$2:$F$2001,"DEF",14_HISTORICO!$I$2:$I$2001,"&lt;&gt;"),0)))</f>
        <v/>
      </c>
      <c r="J6" s="31" t="str">
        <f aca="false">IF(A6="","",IF(F6&lt;0.6,"NC",ROUND(SUMIFS(14_HISTORICO!$J$2:$J$2001,14_HISTORICO!$A$2:$A$2001,A6,14_HISTORICO!$C$2:$C$2001,B6,14_HISTORICO!$F$2:$F$2001,"PRO")/SUMIFS(14_HISTORICO!$H$2:$H$2001,14_HISTORICO!$A$2:$A$2001,A6,14_HISTORICO!$C$2:$C$2001,B6,14_HISTORICO!$F$2:$F$2001,"PRO",14_HISTORICO!$I$2:$I$2001,"&lt;&gt;"),0)))</f>
        <v/>
      </c>
      <c r="K6" s="31" t="str">
        <f aca="false">IF(A6="","",IF(COUNTIF(G6:J6,"NC")&gt;0,"NC",ROUND(G6*01_CONFIG!$B$18+H6*01_CONFIG!$B$19+I6*01_CONFIG!$B$20+J6*01_CONFIG!$B$21,0)))</f>
        <v/>
      </c>
      <c r="L6" s="16" t="str">
        <f aca="false">IF(OR(K6="",K6="NC"),"",LOOKUP(K6,16_LISTAS!$G$4:$G$8,16_LISTAS!$H$4:$H$8))</f>
        <v/>
      </c>
      <c r="M6" s="16" t="str">
        <f aca="false">IF(A6="","",IF(MIN(C6:F6)&lt;0.6,"NO CONCLUYENTE",IF(MIN(C6:F6)&lt;0.8,"CON RESERVAS","CONCLUYENTE")))</f>
        <v/>
      </c>
      <c r="N6" s="16" t="str">
        <f aca="false">IF(OR(K6="",K6="NC"),"",RANK(K6,$K$4:$K$43))</f>
        <v/>
      </c>
    </row>
    <row r="7" customFormat="false" ht="15" hidden="false" customHeight="false" outlineLevel="0" collapsed="false">
      <c r="A7" s="9"/>
      <c r="B7" s="11"/>
      <c r="C7" s="29" t="str">
        <f aca="false">IF(A7="","",SUMIFS(14_HISTORICO!$H$2:$H$2001,14_HISTORICO!$A$2:$A$2001,A7,14_HISTORICO!$C$2:$C$2001,B7,14_HISTORICO!$F$2:$F$2001,"FIN",14_HISTORICO!$I$2:$I$2001,"&lt;&gt;")/100)</f>
        <v/>
      </c>
      <c r="D7" s="29" t="str">
        <f aca="false">IF(A7="","",SUMIFS(14_HISTORICO!$H$2:$H$2001,14_HISTORICO!$A$2:$A$2001,A7,14_HISTORICO!$C$2:$C$2001,B7,14_HISTORICO!$F$2:$F$2001,"IND",14_HISTORICO!$I$2:$I$2001,"&lt;&gt;")/100)</f>
        <v/>
      </c>
      <c r="E7" s="29" t="str">
        <f aca="false">IF(A7="","",SUMIFS(14_HISTORICO!$H$2:$H$2001,14_HISTORICO!$A$2:$A$2001,A7,14_HISTORICO!$C$2:$C$2001,B7,14_HISTORICO!$F$2:$F$2001,"DEF",14_HISTORICO!$I$2:$I$2001,"&lt;&gt;")/100)</f>
        <v/>
      </c>
      <c r="F7" s="29" t="str">
        <f aca="false">IF(A7="","",SUMIFS(14_HISTORICO!$H$2:$H$2001,14_HISTORICO!$A$2:$A$2001,A7,14_HISTORICO!$C$2:$C$2001,B7,14_HISTORICO!$F$2:$F$2001,"PRO",14_HISTORICO!$I$2:$I$2001,"&lt;&gt;")/100)</f>
        <v/>
      </c>
      <c r="G7" s="31" t="str">
        <f aca="false">IF(A7="","",IF(C7&lt;0.6,"NC",ROUND(SUMIFS(14_HISTORICO!$J$2:$J$2001,14_HISTORICO!$A$2:$A$2001,A7,14_HISTORICO!$C$2:$C$2001,B7,14_HISTORICO!$F$2:$F$2001,"FIN")/SUMIFS(14_HISTORICO!$H$2:$H$2001,14_HISTORICO!$A$2:$A$2001,A7,14_HISTORICO!$C$2:$C$2001,B7,14_HISTORICO!$F$2:$F$2001,"FIN",14_HISTORICO!$I$2:$I$2001,"&lt;&gt;"),0)))</f>
        <v/>
      </c>
      <c r="H7" s="31" t="str">
        <f aca="false">IF(A7="","",IF(D7&lt;0.6,"NC",ROUND(SUMIFS(14_HISTORICO!$J$2:$J$2001,14_HISTORICO!$A$2:$A$2001,A7,14_HISTORICO!$C$2:$C$2001,B7,14_HISTORICO!$F$2:$F$2001,"IND")/SUMIFS(14_HISTORICO!$H$2:$H$2001,14_HISTORICO!$A$2:$A$2001,A7,14_HISTORICO!$C$2:$C$2001,B7,14_HISTORICO!$F$2:$F$2001,"IND",14_HISTORICO!$I$2:$I$2001,"&lt;&gt;"),0)))</f>
        <v/>
      </c>
      <c r="I7" s="31" t="str">
        <f aca="false">IF(A7="","",IF(E7&lt;0.6,"NC",ROUND(SUMIFS(14_HISTORICO!$J$2:$J$2001,14_HISTORICO!$A$2:$A$2001,A7,14_HISTORICO!$C$2:$C$2001,B7,14_HISTORICO!$F$2:$F$2001,"DEF")/SUMIFS(14_HISTORICO!$H$2:$H$2001,14_HISTORICO!$A$2:$A$2001,A7,14_HISTORICO!$C$2:$C$2001,B7,14_HISTORICO!$F$2:$F$2001,"DEF",14_HISTORICO!$I$2:$I$2001,"&lt;&gt;"),0)))</f>
        <v/>
      </c>
      <c r="J7" s="31" t="str">
        <f aca="false">IF(A7="","",IF(F7&lt;0.6,"NC",ROUND(SUMIFS(14_HISTORICO!$J$2:$J$2001,14_HISTORICO!$A$2:$A$2001,A7,14_HISTORICO!$C$2:$C$2001,B7,14_HISTORICO!$F$2:$F$2001,"PRO")/SUMIFS(14_HISTORICO!$H$2:$H$2001,14_HISTORICO!$A$2:$A$2001,A7,14_HISTORICO!$C$2:$C$2001,B7,14_HISTORICO!$F$2:$F$2001,"PRO",14_HISTORICO!$I$2:$I$2001,"&lt;&gt;"),0)))</f>
        <v/>
      </c>
      <c r="K7" s="31" t="str">
        <f aca="false">IF(A7="","",IF(COUNTIF(G7:J7,"NC")&gt;0,"NC",ROUND(G7*01_CONFIG!$B$18+H7*01_CONFIG!$B$19+I7*01_CONFIG!$B$20+J7*01_CONFIG!$B$21,0)))</f>
        <v/>
      </c>
      <c r="L7" s="16" t="str">
        <f aca="false">IF(OR(K7="",K7="NC"),"",LOOKUP(K7,16_LISTAS!$G$4:$G$8,16_LISTAS!$H$4:$H$8))</f>
        <v/>
      </c>
      <c r="M7" s="16" t="str">
        <f aca="false">IF(A7="","",IF(MIN(C7:F7)&lt;0.6,"NO CONCLUYENTE",IF(MIN(C7:F7)&lt;0.8,"CON RESERVAS","CONCLUYENTE")))</f>
        <v/>
      </c>
      <c r="N7" s="16" t="str">
        <f aca="false">IF(OR(K7="",K7="NC"),"",RANK(K7,$K$4:$K$43))</f>
        <v/>
      </c>
    </row>
    <row r="8" customFormat="false" ht="15" hidden="false" customHeight="false" outlineLevel="0" collapsed="false">
      <c r="A8" s="9"/>
      <c r="B8" s="11"/>
      <c r="C8" s="29" t="str">
        <f aca="false">IF(A8="","",SUMIFS(14_HISTORICO!$H$2:$H$2001,14_HISTORICO!$A$2:$A$2001,A8,14_HISTORICO!$C$2:$C$2001,B8,14_HISTORICO!$F$2:$F$2001,"FIN",14_HISTORICO!$I$2:$I$2001,"&lt;&gt;")/100)</f>
        <v/>
      </c>
      <c r="D8" s="29" t="str">
        <f aca="false">IF(A8="","",SUMIFS(14_HISTORICO!$H$2:$H$2001,14_HISTORICO!$A$2:$A$2001,A8,14_HISTORICO!$C$2:$C$2001,B8,14_HISTORICO!$F$2:$F$2001,"IND",14_HISTORICO!$I$2:$I$2001,"&lt;&gt;")/100)</f>
        <v/>
      </c>
      <c r="E8" s="29" t="str">
        <f aca="false">IF(A8="","",SUMIFS(14_HISTORICO!$H$2:$H$2001,14_HISTORICO!$A$2:$A$2001,A8,14_HISTORICO!$C$2:$C$2001,B8,14_HISTORICO!$F$2:$F$2001,"DEF",14_HISTORICO!$I$2:$I$2001,"&lt;&gt;")/100)</f>
        <v/>
      </c>
      <c r="F8" s="29" t="str">
        <f aca="false">IF(A8="","",SUMIFS(14_HISTORICO!$H$2:$H$2001,14_HISTORICO!$A$2:$A$2001,A8,14_HISTORICO!$C$2:$C$2001,B8,14_HISTORICO!$F$2:$F$2001,"PRO",14_HISTORICO!$I$2:$I$2001,"&lt;&gt;")/100)</f>
        <v/>
      </c>
      <c r="G8" s="31" t="str">
        <f aca="false">IF(A8="","",IF(C8&lt;0.6,"NC",ROUND(SUMIFS(14_HISTORICO!$J$2:$J$2001,14_HISTORICO!$A$2:$A$2001,A8,14_HISTORICO!$C$2:$C$2001,B8,14_HISTORICO!$F$2:$F$2001,"FIN")/SUMIFS(14_HISTORICO!$H$2:$H$2001,14_HISTORICO!$A$2:$A$2001,A8,14_HISTORICO!$C$2:$C$2001,B8,14_HISTORICO!$F$2:$F$2001,"FIN",14_HISTORICO!$I$2:$I$2001,"&lt;&gt;"),0)))</f>
        <v/>
      </c>
      <c r="H8" s="31" t="str">
        <f aca="false">IF(A8="","",IF(D8&lt;0.6,"NC",ROUND(SUMIFS(14_HISTORICO!$J$2:$J$2001,14_HISTORICO!$A$2:$A$2001,A8,14_HISTORICO!$C$2:$C$2001,B8,14_HISTORICO!$F$2:$F$2001,"IND")/SUMIFS(14_HISTORICO!$H$2:$H$2001,14_HISTORICO!$A$2:$A$2001,A8,14_HISTORICO!$C$2:$C$2001,B8,14_HISTORICO!$F$2:$F$2001,"IND",14_HISTORICO!$I$2:$I$2001,"&lt;&gt;"),0)))</f>
        <v/>
      </c>
      <c r="I8" s="31" t="str">
        <f aca="false">IF(A8="","",IF(E8&lt;0.6,"NC",ROUND(SUMIFS(14_HISTORICO!$J$2:$J$2001,14_HISTORICO!$A$2:$A$2001,A8,14_HISTORICO!$C$2:$C$2001,B8,14_HISTORICO!$F$2:$F$2001,"DEF")/SUMIFS(14_HISTORICO!$H$2:$H$2001,14_HISTORICO!$A$2:$A$2001,A8,14_HISTORICO!$C$2:$C$2001,B8,14_HISTORICO!$F$2:$F$2001,"DEF",14_HISTORICO!$I$2:$I$2001,"&lt;&gt;"),0)))</f>
        <v/>
      </c>
      <c r="J8" s="31" t="str">
        <f aca="false">IF(A8="","",IF(F8&lt;0.6,"NC",ROUND(SUMIFS(14_HISTORICO!$J$2:$J$2001,14_HISTORICO!$A$2:$A$2001,A8,14_HISTORICO!$C$2:$C$2001,B8,14_HISTORICO!$F$2:$F$2001,"PRO")/SUMIFS(14_HISTORICO!$H$2:$H$2001,14_HISTORICO!$A$2:$A$2001,A8,14_HISTORICO!$C$2:$C$2001,B8,14_HISTORICO!$F$2:$F$2001,"PRO",14_HISTORICO!$I$2:$I$2001,"&lt;&gt;"),0)))</f>
        <v/>
      </c>
      <c r="K8" s="31" t="str">
        <f aca="false">IF(A8="","",IF(COUNTIF(G8:J8,"NC")&gt;0,"NC",ROUND(G8*01_CONFIG!$B$18+H8*01_CONFIG!$B$19+I8*01_CONFIG!$B$20+J8*01_CONFIG!$B$21,0)))</f>
        <v/>
      </c>
      <c r="L8" s="16" t="str">
        <f aca="false">IF(OR(K8="",K8="NC"),"",LOOKUP(K8,16_LISTAS!$G$4:$G$8,16_LISTAS!$H$4:$H$8))</f>
        <v/>
      </c>
      <c r="M8" s="16" t="str">
        <f aca="false">IF(A8="","",IF(MIN(C8:F8)&lt;0.6,"NO CONCLUYENTE",IF(MIN(C8:F8)&lt;0.8,"CON RESERVAS","CONCLUYENTE")))</f>
        <v/>
      </c>
      <c r="N8" s="16" t="str">
        <f aca="false">IF(OR(K8="",K8="NC"),"",RANK(K8,$K$4:$K$43))</f>
        <v/>
      </c>
    </row>
    <row r="9" customFormat="false" ht="15" hidden="false" customHeight="false" outlineLevel="0" collapsed="false">
      <c r="A9" s="9"/>
      <c r="B9" s="11"/>
      <c r="C9" s="29" t="str">
        <f aca="false">IF(A9="","",SUMIFS(14_HISTORICO!$H$2:$H$2001,14_HISTORICO!$A$2:$A$2001,A9,14_HISTORICO!$C$2:$C$2001,B9,14_HISTORICO!$F$2:$F$2001,"FIN",14_HISTORICO!$I$2:$I$2001,"&lt;&gt;")/100)</f>
        <v/>
      </c>
      <c r="D9" s="29" t="str">
        <f aca="false">IF(A9="","",SUMIFS(14_HISTORICO!$H$2:$H$2001,14_HISTORICO!$A$2:$A$2001,A9,14_HISTORICO!$C$2:$C$2001,B9,14_HISTORICO!$F$2:$F$2001,"IND",14_HISTORICO!$I$2:$I$2001,"&lt;&gt;")/100)</f>
        <v/>
      </c>
      <c r="E9" s="29" t="str">
        <f aca="false">IF(A9="","",SUMIFS(14_HISTORICO!$H$2:$H$2001,14_HISTORICO!$A$2:$A$2001,A9,14_HISTORICO!$C$2:$C$2001,B9,14_HISTORICO!$F$2:$F$2001,"DEF",14_HISTORICO!$I$2:$I$2001,"&lt;&gt;")/100)</f>
        <v/>
      </c>
      <c r="F9" s="29" t="str">
        <f aca="false">IF(A9="","",SUMIFS(14_HISTORICO!$H$2:$H$2001,14_HISTORICO!$A$2:$A$2001,A9,14_HISTORICO!$C$2:$C$2001,B9,14_HISTORICO!$F$2:$F$2001,"PRO",14_HISTORICO!$I$2:$I$2001,"&lt;&gt;")/100)</f>
        <v/>
      </c>
      <c r="G9" s="31" t="str">
        <f aca="false">IF(A9="","",IF(C9&lt;0.6,"NC",ROUND(SUMIFS(14_HISTORICO!$J$2:$J$2001,14_HISTORICO!$A$2:$A$2001,A9,14_HISTORICO!$C$2:$C$2001,B9,14_HISTORICO!$F$2:$F$2001,"FIN")/SUMIFS(14_HISTORICO!$H$2:$H$2001,14_HISTORICO!$A$2:$A$2001,A9,14_HISTORICO!$C$2:$C$2001,B9,14_HISTORICO!$F$2:$F$2001,"FIN",14_HISTORICO!$I$2:$I$2001,"&lt;&gt;"),0)))</f>
        <v/>
      </c>
      <c r="H9" s="31" t="str">
        <f aca="false">IF(A9="","",IF(D9&lt;0.6,"NC",ROUND(SUMIFS(14_HISTORICO!$J$2:$J$2001,14_HISTORICO!$A$2:$A$2001,A9,14_HISTORICO!$C$2:$C$2001,B9,14_HISTORICO!$F$2:$F$2001,"IND")/SUMIFS(14_HISTORICO!$H$2:$H$2001,14_HISTORICO!$A$2:$A$2001,A9,14_HISTORICO!$C$2:$C$2001,B9,14_HISTORICO!$F$2:$F$2001,"IND",14_HISTORICO!$I$2:$I$2001,"&lt;&gt;"),0)))</f>
        <v/>
      </c>
      <c r="I9" s="31" t="str">
        <f aca="false">IF(A9="","",IF(E9&lt;0.6,"NC",ROUND(SUMIFS(14_HISTORICO!$J$2:$J$2001,14_HISTORICO!$A$2:$A$2001,A9,14_HISTORICO!$C$2:$C$2001,B9,14_HISTORICO!$F$2:$F$2001,"DEF")/SUMIFS(14_HISTORICO!$H$2:$H$2001,14_HISTORICO!$A$2:$A$2001,A9,14_HISTORICO!$C$2:$C$2001,B9,14_HISTORICO!$F$2:$F$2001,"DEF",14_HISTORICO!$I$2:$I$2001,"&lt;&gt;"),0)))</f>
        <v/>
      </c>
      <c r="J9" s="31" t="str">
        <f aca="false">IF(A9="","",IF(F9&lt;0.6,"NC",ROUND(SUMIFS(14_HISTORICO!$J$2:$J$2001,14_HISTORICO!$A$2:$A$2001,A9,14_HISTORICO!$C$2:$C$2001,B9,14_HISTORICO!$F$2:$F$2001,"PRO")/SUMIFS(14_HISTORICO!$H$2:$H$2001,14_HISTORICO!$A$2:$A$2001,A9,14_HISTORICO!$C$2:$C$2001,B9,14_HISTORICO!$F$2:$F$2001,"PRO",14_HISTORICO!$I$2:$I$2001,"&lt;&gt;"),0)))</f>
        <v/>
      </c>
      <c r="K9" s="31" t="str">
        <f aca="false">IF(A9="","",IF(COUNTIF(G9:J9,"NC")&gt;0,"NC",ROUND(G9*01_CONFIG!$B$18+H9*01_CONFIG!$B$19+I9*01_CONFIG!$B$20+J9*01_CONFIG!$B$21,0)))</f>
        <v/>
      </c>
      <c r="L9" s="16" t="str">
        <f aca="false">IF(OR(K9="",K9="NC"),"",LOOKUP(K9,16_LISTAS!$G$4:$G$8,16_LISTAS!$H$4:$H$8))</f>
        <v/>
      </c>
      <c r="M9" s="16" t="str">
        <f aca="false">IF(A9="","",IF(MIN(C9:F9)&lt;0.6,"NO CONCLUYENTE",IF(MIN(C9:F9)&lt;0.8,"CON RESERVAS","CONCLUYENTE")))</f>
        <v/>
      </c>
      <c r="N9" s="16" t="str">
        <f aca="false">IF(OR(K9="",K9="NC"),"",RANK(K9,$K$4:$K$43))</f>
        <v/>
      </c>
    </row>
    <row r="10" customFormat="false" ht="15" hidden="false" customHeight="false" outlineLevel="0" collapsed="false">
      <c r="A10" s="9"/>
      <c r="B10" s="11"/>
      <c r="C10" s="29" t="str">
        <f aca="false">IF(A10="","",SUMIFS(14_HISTORICO!$H$2:$H$2001,14_HISTORICO!$A$2:$A$2001,A10,14_HISTORICO!$C$2:$C$2001,B10,14_HISTORICO!$F$2:$F$2001,"FIN",14_HISTORICO!$I$2:$I$2001,"&lt;&gt;")/100)</f>
        <v/>
      </c>
      <c r="D10" s="29" t="str">
        <f aca="false">IF(A10="","",SUMIFS(14_HISTORICO!$H$2:$H$2001,14_HISTORICO!$A$2:$A$2001,A10,14_HISTORICO!$C$2:$C$2001,B10,14_HISTORICO!$F$2:$F$2001,"IND",14_HISTORICO!$I$2:$I$2001,"&lt;&gt;")/100)</f>
        <v/>
      </c>
      <c r="E10" s="29" t="str">
        <f aca="false">IF(A10="","",SUMIFS(14_HISTORICO!$H$2:$H$2001,14_HISTORICO!$A$2:$A$2001,A10,14_HISTORICO!$C$2:$C$2001,B10,14_HISTORICO!$F$2:$F$2001,"DEF",14_HISTORICO!$I$2:$I$2001,"&lt;&gt;")/100)</f>
        <v/>
      </c>
      <c r="F10" s="29" t="str">
        <f aca="false">IF(A10="","",SUMIFS(14_HISTORICO!$H$2:$H$2001,14_HISTORICO!$A$2:$A$2001,A10,14_HISTORICO!$C$2:$C$2001,B10,14_HISTORICO!$F$2:$F$2001,"PRO",14_HISTORICO!$I$2:$I$2001,"&lt;&gt;")/100)</f>
        <v/>
      </c>
      <c r="G10" s="31" t="str">
        <f aca="false">IF(A10="","",IF(C10&lt;0.6,"NC",ROUND(SUMIFS(14_HISTORICO!$J$2:$J$2001,14_HISTORICO!$A$2:$A$2001,A10,14_HISTORICO!$C$2:$C$2001,B10,14_HISTORICO!$F$2:$F$2001,"FIN")/SUMIFS(14_HISTORICO!$H$2:$H$2001,14_HISTORICO!$A$2:$A$2001,A10,14_HISTORICO!$C$2:$C$2001,B10,14_HISTORICO!$F$2:$F$2001,"FIN",14_HISTORICO!$I$2:$I$2001,"&lt;&gt;"),0)))</f>
        <v/>
      </c>
      <c r="H10" s="31" t="str">
        <f aca="false">IF(A10="","",IF(D10&lt;0.6,"NC",ROUND(SUMIFS(14_HISTORICO!$J$2:$J$2001,14_HISTORICO!$A$2:$A$2001,A10,14_HISTORICO!$C$2:$C$2001,B10,14_HISTORICO!$F$2:$F$2001,"IND")/SUMIFS(14_HISTORICO!$H$2:$H$2001,14_HISTORICO!$A$2:$A$2001,A10,14_HISTORICO!$C$2:$C$2001,B10,14_HISTORICO!$F$2:$F$2001,"IND",14_HISTORICO!$I$2:$I$2001,"&lt;&gt;"),0)))</f>
        <v/>
      </c>
      <c r="I10" s="31" t="str">
        <f aca="false">IF(A10="","",IF(E10&lt;0.6,"NC",ROUND(SUMIFS(14_HISTORICO!$J$2:$J$2001,14_HISTORICO!$A$2:$A$2001,A10,14_HISTORICO!$C$2:$C$2001,B10,14_HISTORICO!$F$2:$F$2001,"DEF")/SUMIFS(14_HISTORICO!$H$2:$H$2001,14_HISTORICO!$A$2:$A$2001,A10,14_HISTORICO!$C$2:$C$2001,B10,14_HISTORICO!$F$2:$F$2001,"DEF",14_HISTORICO!$I$2:$I$2001,"&lt;&gt;"),0)))</f>
        <v/>
      </c>
      <c r="J10" s="31" t="str">
        <f aca="false">IF(A10="","",IF(F10&lt;0.6,"NC",ROUND(SUMIFS(14_HISTORICO!$J$2:$J$2001,14_HISTORICO!$A$2:$A$2001,A10,14_HISTORICO!$C$2:$C$2001,B10,14_HISTORICO!$F$2:$F$2001,"PRO")/SUMIFS(14_HISTORICO!$H$2:$H$2001,14_HISTORICO!$A$2:$A$2001,A10,14_HISTORICO!$C$2:$C$2001,B10,14_HISTORICO!$F$2:$F$2001,"PRO",14_HISTORICO!$I$2:$I$2001,"&lt;&gt;"),0)))</f>
        <v/>
      </c>
      <c r="K10" s="31" t="str">
        <f aca="false">IF(A10="","",IF(COUNTIF(G10:J10,"NC")&gt;0,"NC",ROUND(G10*01_CONFIG!$B$18+H10*01_CONFIG!$B$19+I10*01_CONFIG!$B$20+J10*01_CONFIG!$B$21,0)))</f>
        <v/>
      </c>
      <c r="L10" s="16" t="str">
        <f aca="false">IF(OR(K10="",K10="NC"),"",LOOKUP(K10,16_LISTAS!$G$4:$G$8,16_LISTAS!$H$4:$H$8))</f>
        <v/>
      </c>
      <c r="M10" s="16" t="str">
        <f aca="false">IF(A10="","",IF(MIN(C10:F10)&lt;0.6,"NO CONCLUYENTE",IF(MIN(C10:F10)&lt;0.8,"CON RESERVAS","CONCLUYENTE")))</f>
        <v/>
      </c>
      <c r="N10" s="16" t="str">
        <f aca="false">IF(OR(K10="",K10="NC"),"",RANK(K10,$K$4:$K$43))</f>
        <v/>
      </c>
    </row>
    <row r="11" customFormat="false" ht="15" hidden="false" customHeight="false" outlineLevel="0" collapsed="false">
      <c r="A11" s="9"/>
      <c r="B11" s="11"/>
      <c r="C11" s="29" t="str">
        <f aca="false">IF(A11="","",SUMIFS(14_HISTORICO!$H$2:$H$2001,14_HISTORICO!$A$2:$A$2001,A11,14_HISTORICO!$C$2:$C$2001,B11,14_HISTORICO!$F$2:$F$2001,"FIN",14_HISTORICO!$I$2:$I$2001,"&lt;&gt;")/100)</f>
        <v/>
      </c>
      <c r="D11" s="29" t="str">
        <f aca="false">IF(A11="","",SUMIFS(14_HISTORICO!$H$2:$H$2001,14_HISTORICO!$A$2:$A$2001,A11,14_HISTORICO!$C$2:$C$2001,B11,14_HISTORICO!$F$2:$F$2001,"IND",14_HISTORICO!$I$2:$I$2001,"&lt;&gt;")/100)</f>
        <v/>
      </c>
      <c r="E11" s="29" t="str">
        <f aca="false">IF(A11="","",SUMIFS(14_HISTORICO!$H$2:$H$2001,14_HISTORICO!$A$2:$A$2001,A11,14_HISTORICO!$C$2:$C$2001,B11,14_HISTORICO!$F$2:$F$2001,"DEF",14_HISTORICO!$I$2:$I$2001,"&lt;&gt;")/100)</f>
        <v/>
      </c>
      <c r="F11" s="29" t="str">
        <f aca="false">IF(A11="","",SUMIFS(14_HISTORICO!$H$2:$H$2001,14_HISTORICO!$A$2:$A$2001,A11,14_HISTORICO!$C$2:$C$2001,B11,14_HISTORICO!$F$2:$F$2001,"PRO",14_HISTORICO!$I$2:$I$2001,"&lt;&gt;")/100)</f>
        <v/>
      </c>
      <c r="G11" s="31" t="str">
        <f aca="false">IF(A11="","",IF(C11&lt;0.6,"NC",ROUND(SUMIFS(14_HISTORICO!$J$2:$J$2001,14_HISTORICO!$A$2:$A$2001,A11,14_HISTORICO!$C$2:$C$2001,B11,14_HISTORICO!$F$2:$F$2001,"FIN")/SUMIFS(14_HISTORICO!$H$2:$H$2001,14_HISTORICO!$A$2:$A$2001,A11,14_HISTORICO!$C$2:$C$2001,B11,14_HISTORICO!$F$2:$F$2001,"FIN",14_HISTORICO!$I$2:$I$2001,"&lt;&gt;"),0)))</f>
        <v/>
      </c>
      <c r="H11" s="31" t="str">
        <f aca="false">IF(A11="","",IF(D11&lt;0.6,"NC",ROUND(SUMIFS(14_HISTORICO!$J$2:$J$2001,14_HISTORICO!$A$2:$A$2001,A11,14_HISTORICO!$C$2:$C$2001,B11,14_HISTORICO!$F$2:$F$2001,"IND")/SUMIFS(14_HISTORICO!$H$2:$H$2001,14_HISTORICO!$A$2:$A$2001,A11,14_HISTORICO!$C$2:$C$2001,B11,14_HISTORICO!$F$2:$F$2001,"IND",14_HISTORICO!$I$2:$I$2001,"&lt;&gt;"),0)))</f>
        <v/>
      </c>
      <c r="I11" s="31" t="str">
        <f aca="false">IF(A11="","",IF(E11&lt;0.6,"NC",ROUND(SUMIFS(14_HISTORICO!$J$2:$J$2001,14_HISTORICO!$A$2:$A$2001,A11,14_HISTORICO!$C$2:$C$2001,B11,14_HISTORICO!$F$2:$F$2001,"DEF")/SUMIFS(14_HISTORICO!$H$2:$H$2001,14_HISTORICO!$A$2:$A$2001,A11,14_HISTORICO!$C$2:$C$2001,B11,14_HISTORICO!$F$2:$F$2001,"DEF",14_HISTORICO!$I$2:$I$2001,"&lt;&gt;"),0)))</f>
        <v/>
      </c>
      <c r="J11" s="31" t="str">
        <f aca="false">IF(A11="","",IF(F11&lt;0.6,"NC",ROUND(SUMIFS(14_HISTORICO!$J$2:$J$2001,14_HISTORICO!$A$2:$A$2001,A11,14_HISTORICO!$C$2:$C$2001,B11,14_HISTORICO!$F$2:$F$2001,"PRO")/SUMIFS(14_HISTORICO!$H$2:$H$2001,14_HISTORICO!$A$2:$A$2001,A11,14_HISTORICO!$C$2:$C$2001,B11,14_HISTORICO!$F$2:$F$2001,"PRO",14_HISTORICO!$I$2:$I$2001,"&lt;&gt;"),0)))</f>
        <v/>
      </c>
      <c r="K11" s="31" t="str">
        <f aca="false">IF(A11="","",IF(COUNTIF(G11:J11,"NC")&gt;0,"NC",ROUND(G11*01_CONFIG!$B$18+H11*01_CONFIG!$B$19+I11*01_CONFIG!$B$20+J11*01_CONFIG!$B$21,0)))</f>
        <v/>
      </c>
      <c r="L11" s="16" t="str">
        <f aca="false">IF(OR(K11="",K11="NC"),"",LOOKUP(K11,16_LISTAS!$G$4:$G$8,16_LISTAS!$H$4:$H$8))</f>
        <v/>
      </c>
      <c r="M11" s="16" t="str">
        <f aca="false">IF(A11="","",IF(MIN(C11:F11)&lt;0.6,"NO CONCLUYENTE",IF(MIN(C11:F11)&lt;0.8,"CON RESERVAS","CONCLUYENTE")))</f>
        <v/>
      </c>
      <c r="N11" s="16" t="str">
        <f aca="false">IF(OR(K11="",K11="NC"),"",RANK(K11,$K$4:$K$43))</f>
        <v/>
      </c>
    </row>
    <row r="12" customFormat="false" ht="15" hidden="false" customHeight="false" outlineLevel="0" collapsed="false">
      <c r="A12" s="9"/>
      <c r="B12" s="11"/>
      <c r="C12" s="29" t="str">
        <f aca="false">IF(A12="","",SUMIFS(14_HISTORICO!$H$2:$H$2001,14_HISTORICO!$A$2:$A$2001,A12,14_HISTORICO!$C$2:$C$2001,B12,14_HISTORICO!$F$2:$F$2001,"FIN",14_HISTORICO!$I$2:$I$2001,"&lt;&gt;")/100)</f>
        <v/>
      </c>
      <c r="D12" s="29" t="str">
        <f aca="false">IF(A12="","",SUMIFS(14_HISTORICO!$H$2:$H$2001,14_HISTORICO!$A$2:$A$2001,A12,14_HISTORICO!$C$2:$C$2001,B12,14_HISTORICO!$F$2:$F$2001,"IND",14_HISTORICO!$I$2:$I$2001,"&lt;&gt;")/100)</f>
        <v/>
      </c>
      <c r="E12" s="29" t="str">
        <f aca="false">IF(A12="","",SUMIFS(14_HISTORICO!$H$2:$H$2001,14_HISTORICO!$A$2:$A$2001,A12,14_HISTORICO!$C$2:$C$2001,B12,14_HISTORICO!$F$2:$F$2001,"DEF",14_HISTORICO!$I$2:$I$2001,"&lt;&gt;")/100)</f>
        <v/>
      </c>
      <c r="F12" s="29" t="str">
        <f aca="false">IF(A12="","",SUMIFS(14_HISTORICO!$H$2:$H$2001,14_HISTORICO!$A$2:$A$2001,A12,14_HISTORICO!$C$2:$C$2001,B12,14_HISTORICO!$F$2:$F$2001,"PRO",14_HISTORICO!$I$2:$I$2001,"&lt;&gt;")/100)</f>
        <v/>
      </c>
      <c r="G12" s="31" t="str">
        <f aca="false">IF(A12="","",IF(C12&lt;0.6,"NC",ROUND(SUMIFS(14_HISTORICO!$J$2:$J$2001,14_HISTORICO!$A$2:$A$2001,A12,14_HISTORICO!$C$2:$C$2001,B12,14_HISTORICO!$F$2:$F$2001,"FIN")/SUMIFS(14_HISTORICO!$H$2:$H$2001,14_HISTORICO!$A$2:$A$2001,A12,14_HISTORICO!$C$2:$C$2001,B12,14_HISTORICO!$F$2:$F$2001,"FIN",14_HISTORICO!$I$2:$I$2001,"&lt;&gt;"),0)))</f>
        <v/>
      </c>
      <c r="H12" s="31" t="str">
        <f aca="false">IF(A12="","",IF(D12&lt;0.6,"NC",ROUND(SUMIFS(14_HISTORICO!$J$2:$J$2001,14_HISTORICO!$A$2:$A$2001,A12,14_HISTORICO!$C$2:$C$2001,B12,14_HISTORICO!$F$2:$F$2001,"IND")/SUMIFS(14_HISTORICO!$H$2:$H$2001,14_HISTORICO!$A$2:$A$2001,A12,14_HISTORICO!$C$2:$C$2001,B12,14_HISTORICO!$F$2:$F$2001,"IND",14_HISTORICO!$I$2:$I$2001,"&lt;&gt;"),0)))</f>
        <v/>
      </c>
      <c r="I12" s="31" t="str">
        <f aca="false">IF(A12="","",IF(E12&lt;0.6,"NC",ROUND(SUMIFS(14_HISTORICO!$J$2:$J$2001,14_HISTORICO!$A$2:$A$2001,A12,14_HISTORICO!$C$2:$C$2001,B12,14_HISTORICO!$F$2:$F$2001,"DEF")/SUMIFS(14_HISTORICO!$H$2:$H$2001,14_HISTORICO!$A$2:$A$2001,A12,14_HISTORICO!$C$2:$C$2001,B12,14_HISTORICO!$F$2:$F$2001,"DEF",14_HISTORICO!$I$2:$I$2001,"&lt;&gt;"),0)))</f>
        <v/>
      </c>
      <c r="J12" s="31" t="str">
        <f aca="false">IF(A12="","",IF(F12&lt;0.6,"NC",ROUND(SUMIFS(14_HISTORICO!$J$2:$J$2001,14_HISTORICO!$A$2:$A$2001,A12,14_HISTORICO!$C$2:$C$2001,B12,14_HISTORICO!$F$2:$F$2001,"PRO")/SUMIFS(14_HISTORICO!$H$2:$H$2001,14_HISTORICO!$A$2:$A$2001,A12,14_HISTORICO!$C$2:$C$2001,B12,14_HISTORICO!$F$2:$F$2001,"PRO",14_HISTORICO!$I$2:$I$2001,"&lt;&gt;"),0)))</f>
        <v/>
      </c>
      <c r="K12" s="31" t="str">
        <f aca="false">IF(A12="","",IF(COUNTIF(G12:J12,"NC")&gt;0,"NC",ROUND(G12*01_CONFIG!$B$18+H12*01_CONFIG!$B$19+I12*01_CONFIG!$B$20+J12*01_CONFIG!$B$21,0)))</f>
        <v/>
      </c>
      <c r="L12" s="16" t="str">
        <f aca="false">IF(OR(K12="",K12="NC"),"",LOOKUP(K12,16_LISTAS!$G$4:$G$8,16_LISTAS!$H$4:$H$8))</f>
        <v/>
      </c>
      <c r="M12" s="16" t="str">
        <f aca="false">IF(A12="","",IF(MIN(C12:F12)&lt;0.6,"NO CONCLUYENTE",IF(MIN(C12:F12)&lt;0.8,"CON RESERVAS","CONCLUYENTE")))</f>
        <v/>
      </c>
      <c r="N12" s="16" t="str">
        <f aca="false">IF(OR(K12="",K12="NC"),"",RANK(K12,$K$4:$K$43))</f>
        <v/>
      </c>
    </row>
    <row r="13" customFormat="false" ht="15" hidden="false" customHeight="false" outlineLevel="0" collapsed="false">
      <c r="A13" s="9"/>
      <c r="B13" s="11"/>
      <c r="C13" s="29" t="str">
        <f aca="false">IF(A13="","",SUMIFS(14_HISTORICO!$H$2:$H$2001,14_HISTORICO!$A$2:$A$2001,A13,14_HISTORICO!$C$2:$C$2001,B13,14_HISTORICO!$F$2:$F$2001,"FIN",14_HISTORICO!$I$2:$I$2001,"&lt;&gt;")/100)</f>
        <v/>
      </c>
      <c r="D13" s="29" t="str">
        <f aca="false">IF(A13="","",SUMIFS(14_HISTORICO!$H$2:$H$2001,14_HISTORICO!$A$2:$A$2001,A13,14_HISTORICO!$C$2:$C$2001,B13,14_HISTORICO!$F$2:$F$2001,"IND",14_HISTORICO!$I$2:$I$2001,"&lt;&gt;")/100)</f>
        <v/>
      </c>
      <c r="E13" s="29" t="str">
        <f aca="false">IF(A13="","",SUMIFS(14_HISTORICO!$H$2:$H$2001,14_HISTORICO!$A$2:$A$2001,A13,14_HISTORICO!$C$2:$C$2001,B13,14_HISTORICO!$F$2:$F$2001,"DEF",14_HISTORICO!$I$2:$I$2001,"&lt;&gt;")/100)</f>
        <v/>
      </c>
      <c r="F13" s="29" t="str">
        <f aca="false">IF(A13="","",SUMIFS(14_HISTORICO!$H$2:$H$2001,14_HISTORICO!$A$2:$A$2001,A13,14_HISTORICO!$C$2:$C$2001,B13,14_HISTORICO!$F$2:$F$2001,"PRO",14_HISTORICO!$I$2:$I$2001,"&lt;&gt;")/100)</f>
        <v/>
      </c>
      <c r="G13" s="31" t="str">
        <f aca="false">IF(A13="","",IF(C13&lt;0.6,"NC",ROUND(SUMIFS(14_HISTORICO!$J$2:$J$2001,14_HISTORICO!$A$2:$A$2001,A13,14_HISTORICO!$C$2:$C$2001,B13,14_HISTORICO!$F$2:$F$2001,"FIN")/SUMIFS(14_HISTORICO!$H$2:$H$2001,14_HISTORICO!$A$2:$A$2001,A13,14_HISTORICO!$C$2:$C$2001,B13,14_HISTORICO!$F$2:$F$2001,"FIN",14_HISTORICO!$I$2:$I$2001,"&lt;&gt;"),0)))</f>
        <v/>
      </c>
      <c r="H13" s="31" t="str">
        <f aca="false">IF(A13="","",IF(D13&lt;0.6,"NC",ROUND(SUMIFS(14_HISTORICO!$J$2:$J$2001,14_HISTORICO!$A$2:$A$2001,A13,14_HISTORICO!$C$2:$C$2001,B13,14_HISTORICO!$F$2:$F$2001,"IND")/SUMIFS(14_HISTORICO!$H$2:$H$2001,14_HISTORICO!$A$2:$A$2001,A13,14_HISTORICO!$C$2:$C$2001,B13,14_HISTORICO!$F$2:$F$2001,"IND",14_HISTORICO!$I$2:$I$2001,"&lt;&gt;"),0)))</f>
        <v/>
      </c>
      <c r="I13" s="31" t="str">
        <f aca="false">IF(A13="","",IF(E13&lt;0.6,"NC",ROUND(SUMIFS(14_HISTORICO!$J$2:$J$2001,14_HISTORICO!$A$2:$A$2001,A13,14_HISTORICO!$C$2:$C$2001,B13,14_HISTORICO!$F$2:$F$2001,"DEF")/SUMIFS(14_HISTORICO!$H$2:$H$2001,14_HISTORICO!$A$2:$A$2001,A13,14_HISTORICO!$C$2:$C$2001,B13,14_HISTORICO!$F$2:$F$2001,"DEF",14_HISTORICO!$I$2:$I$2001,"&lt;&gt;"),0)))</f>
        <v/>
      </c>
      <c r="J13" s="31" t="str">
        <f aca="false">IF(A13="","",IF(F13&lt;0.6,"NC",ROUND(SUMIFS(14_HISTORICO!$J$2:$J$2001,14_HISTORICO!$A$2:$A$2001,A13,14_HISTORICO!$C$2:$C$2001,B13,14_HISTORICO!$F$2:$F$2001,"PRO")/SUMIFS(14_HISTORICO!$H$2:$H$2001,14_HISTORICO!$A$2:$A$2001,A13,14_HISTORICO!$C$2:$C$2001,B13,14_HISTORICO!$F$2:$F$2001,"PRO",14_HISTORICO!$I$2:$I$2001,"&lt;&gt;"),0)))</f>
        <v/>
      </c>
      <c r="K13" s="31" t="str">
        <f aca="false">IF(A13="","",IF(COUNTIF(G13:J13,"NC")&gt;0,"NC",ROUND(G13*01_CONFIG!$B$18+H13*01_CONFIG!$B$19+I13*01_CONFIG!$B$20+J13*01_CONFIG!$B$21,0)))</f>
        <v/>
      </c>
      <c r="L13" s="16" t="str">
        <f aca="false">IF(OR(K13="",K13="NC"),"",LOOKUP(K13,16_LISTAS!$G$4:$G$8,16_LISTAS!$H$4:$H$8))</f>
        <v/>
      </c>
      <c r="M13" s="16" t="str">
        <f aca="false">IF(A13="","",IF(MIN(C13:F13)&lt;0.6,"NO CONCLUYENTE",IF(MIN(C13:F13)&lt;0.8,"CON RESERVAS","CONCLUYENTE")))</f>
        <v/>
      </c>
      <c r="N13" s="16" t="str">
        <f aca="false">IF(OR(K13="",K13="NC"),"",RANK(K13,$K$4:$K$43))</f>
        <v/>
      </c>
    </row>
    <row r="14" customFormat="false" ht="15" hidden="false" customHeight="false" outlineLevel="0" collapsed="false">
      <c r="A14" s="9"/>
      <c r="B14" s="11"/>
      <c r="C14" s="29" t="str">
        <f aca="false">IF(A14="","",SUMIFS(14_HISTORICO!$H$2:$H$2001,14_HISTORICO!$A$2:$A$2001,A14,14_HISTORICO!$C$2:$C$2001,B14,14_HISTORICO!$F$2:$F$2001,"FIN",14_HISTORICO!$I$2:$I$2001,"&lt;&gt;")/100)</f>
        <v/>
      </c>
      <c r="D14" s="29" t="str">
        <f aca="false">IF(A14="","",SUMIFS(14_HISTORICO!$H$2:$H$2001,14_HISTORICO!$A$2:$A$2001,A14,14_HISTORICO!$C$2:$C$2001,B14,14_HISTORICO!$F$2:$F$2001,"IND",14_HISTORICO!$I$2:$I$2001,"&lt;&gt;")/100)</f>
        <v/>
      </c>
      <c r="E14" s="29" t="str">
        <f aca="false">IF(A14="","",SUMIFS(14_HISTORICO!$H$2:$H$2001,14_HISTORICO!$A$2:$A$2001,A14,14_HISTORICO!$C$2:$C$2001,B14,14_HISTORICO!$F$2:$F$2001,"DEF",14_HISTORICO!$I$2:$I$2001,"&lt;&gt;")/100)</f>
        <v/>
      </c>
      <c r="F14" s="29" t="str">
        <f aca="false">IF(A14="","",SUMIFS(14_HISTORICO!$H$2:$H$2001,14_HISTORICO!$A$2:$A$2001,A14,14_HISTORICO!$C$2:$C$2001,B14,14_HISTORICO!$F$2:$F$2001,"PRO",14_HISTORICO!$I$2:$I$2001,"&lt;&gt;")/100)</f>
        <v/>
      </c>
      <c r="G14" s="31" t="str">
        <f aca="false">IF(A14="","",IF(C14&lt;0.6,"NC",ROUND(SUMIFS(14_HISTORICO!$J$2:$J$2001,14_HISTORICO!$A$2:$A$2001,A14,14_HISTORICO!$C$2:$C$2001,B14,14_HISTORICO!$F$2:$F$2001,"FIN")/SUMIFS(14_HISTORICO!$H$2:$H$2001,14_HISTORICO!$A$2:$A$2001,A14,14_HISTORICO!$C$2:$C$2001,B14,14_HISTORICO!$F$2:$F$2001,"FIN",14_HISTORICO!$I$2:$I$2001,"&lt;&gt;"),0)))</f>
        <v/>
      </c>
      <c r="H14" s="31" t="str">
        <f aca="false">IF(A14="","",IF(D14&lt;0.6,"NC",ROUND(SUMIFS(14_HISTORICO!$J$2:$J$2001,14_HISTORICO!$A$2:$A$2001,A14,14_HISTORICO!$C$2:$C$2001,B14,14_HISTORICO!$F$2:$F$2001,"IND")/SUMIFS(14_HISTORICO!$H$2:$H$2001,14_HISTORICO!$A$2:$A$2001,A14,14_HISTORICO!$C$2:$C$2001,B14,14_HISTORICO!$F$2:$F$2001,"IND",14_HISTORICO!$I$2:$I$2001,"&lt;&gt;"),0)))</f>
        <v/>
      </c>
      <c r="I14" s="31" t="str">
        <f aca="false">IF(A14="","",IF(E14&lt;0.6,"NC",ROUND(SUMIFS(14_HISTORICO!$J$2:$J$2001,14_HISTORICO!$A$2:$A$2001,A14,14_HISTORICO!$C$2:$C$2001,B14,14_HISTORICO!$F$2:$F$2001,"DEF")/SUMIFS(14_HISTORICO!$H$2:$H$2001,14_HISTORICO!$A$2:$A$2001,A14,14_HISTORICO!$C$2:$C$2001,B14,14_HISTORICO!$F$2:$F$2001,"DEF",14_HISTORICO!$I$2:$I$2001,"&lt;&gt;"),0)))</f>
        <v/>
      </c>
      <c r="J14" s="31" t="str">
        <f aca="false">IF(A14="","",IF(F14&lt;0.6,"NC",ROUND(SUMIFS(14_HISTORICO!$J$2:$J$2001,14_HISTORICO!$A$2:$A$2001,A14,14_HISTORICO!$C$2:$C$2001,B14,14_HISTORICO!$F$2:$F$2001,"PRO")/SUMIFS(14_HISTORICO!$H$2:$H$2001,14_HISTORICO!$A$2:$A$2001,A14,14_HISTORICO!$C$2:$C$2001,B14,14_HISTORICO!$F$2:$F$2001,"PRO",14_HISTORICO!$I$2:$I$2001,"&lt;&gt;"),0)))</f>
        <v/>
      </c>
      <c r="K14" s="31" t="str">
        <f aca="false">IF(A14="","",IF(COUNTIF(G14:J14,"NC")&gt;0,"NC",ROUND(G14*01_CONFIG!$B$18+H14*01_CONFIG!$B$19+I14*01_CONFIG!$B$20+J14*01_CONFIG!$B$21,0)))</f>
        <v/>
      </c>
      <c r="L14" s="16" t="str">
        <f aca="false">IF(OR(K14="",K14="NC"),"",LOOKUP(K14,16_LISTAS!$G$4:$G$8,16_LISTAS!$H$4:$H$8))</f>
        <v/>
      </c>
      <c r="M14" s="16" t="str">
        <f aca="false">IF(A14="","",IF(MIN(C14:F14)&lt;0.6,"NO CONCLUYENTE",IF(MIN(C14:F14)&lt;0.8,"CON RESERVAS","CONCLUYENTE")))</f>
        <v/>
      </c>
      <c r="N14" s="16" t="str">
        <f aca="false">IF(OR(K14="",K14="NC"),"",RANK(K14,$K$4:$K$43))</f>
        <v/>
      </c>
    </row>
    <row r="15" customFormat="false" ht="15" hidden="false" customHeight="false" outlineLevel="0" collapsed="false">
      <c r="A15" s="9"/>
      <c r="B15" s="11"/>
      <c r="C15" s="29" t="str">
        <f aca="false">IF(A15="","",SUMIFS(14_HISTORICO!$H$2:$H$2001,14_HISTORICO!$A$2:$A$2001,A15,14_HISTORICO!$C$2:$C$2001,B15,14_HISTORICO!$F$2:$F$2001,"FIN",14_HISTORICO!$I$2:$I$2001,"&lt;&gt;")/100)</f>
        <v/>
      </c>
      <c r="D15" s="29" t="str">
        <f aca="false">IF(A15="","",SUMIFS(14_HISTORICO!$H$2:$H$2001,14_HISTORICO!$A$2:$A$2001,A15,14_HISTORICO!$C$2:$C$2001,B15,14_HISTORICO!$F$2:$F$2001,"IND",14_HISTORICO!$I$2:$I$2001,"&lt;&gt;")/100)</f>
        <v/>
      </c>
      <c r="E15" s="29" t="str">
        <f aca="false">IF(A15="","",SUMIFS(14_HISTORICO!$H$2:$H$2001,14_HISTORICO!$A$2:$A$2001,A15,14_HISTORICO!$C$2:$C$2001,B15,14_HISTORICO!$F$2:$F$2001,"DEF",14_HISTORICO!$I$2:$I$2001,"&lt;&gt;")/100)</f>
        <v/>
      </c>
      <c r="F15" s="29" t="str">
        <f aca="false">IF(A15="","",SUMIFS(14_HISTORICO!$H$2:$H$2001,14_HISTORICO!$A$2:$A$2001,A15,14_HISTORICO!$C$2:$C$2001,B15,14_HISTORICO!$F$2:$F$2001,"PRO",14_HISTORICO!$I$2:$I$2001,"&lt;&gt;")/100)</f>
        <v/>
      </c>
      <c r="G15" s="31" t="str">
        <f aca="false">IF(A15="","",IF(C15&lt;0.6,"NC",ROUND(SUMIFS(14_HISTORICO!$J$2:$J$2001,14_HISTORICO!$A$2:$A$2001,A15,14_HISTORICO!$C$2:$C$2001,B15,14_HISTORICO!$F$2:$F$2001,"FIN")/SUMIFS(14_HISTORICO!$H$2:$H$2001,14_HISTORICO!$A$2:$A$2001,A15,14_HISTORICO!$C$2:$C$2001,B15,14_HISTORICO!$F$2:$F$2001,"FIN",14_HISTORICO!$I$2:$I$2001,"&lt;&gt;"),0)))</f>
        <v/>
      </c>
      <c r="H15" s="31" t="str">
        <f aca="false">IF(A15="","",IF(D15&lt;0.6,"NC",ROUND(SUMIFS(14_HISTORICO!$J$2:$J$2001,14_HISTORICO!$A$2:$A$2001,A15,14_HISTORICO!$C$2:$C$2001,B15,14_HISTORICO!$F$2:$F$2001,"IND")/SUMIFS(14_HISTORICO!$H$2:$H$2001,14_HISTORICO!$A$2:$A$2001,A15,14_HISTORICO!$C$2:$C$2001,B15,14_HISTORICO!$F$2:$F$2001,"IND",14_HISTORICO!$I$2:$I$2001,"&lt;&gt;"),0)))</f>
        <v/>
      </c>
      <c r="I15" s="31" t="str">
        <f aca="false">IF(A15="","",IF(E15&lt;0.6,"NC",ROUND(SUMIFS(14_HISTORICO!$J$2:$J$2001,14_HISTORICO!$A$2:$A$2001,A15,14_HISTORICO!$C$2:$C$2001,B15,14_HISTORICO!$F$2:$F$2001,"DEF")/SUMIFS(14_HISTORICO!$H$2:$H$2001,14_HISTORICO!$A$2:$A$2001,A15,14_HISTORICO!$C$2:$C$2001,B15,14_HISTORICO!$F$2:$F$2001,"DEF",14_HISTORICO!$I$2:$I$2001,"&lt;&gt;"),0)))</f>
        <v/>
      </c>
      <c r="J15" s="31" t="str">
        <f aca="false">IF(A15="","",IF(F15&lt;0.6,"NC",ROUND(SUMIFS(14_HISTORICO!$J$2:$J$2001,14_HISTORICO!$A$2:$A$2001,A15,14_HISTORICO!$C$2:$C$2001,B15,14_HISTORICO!$F$2:$F$2001,"PRO")/SUMIFS(14_HISTORICO!$H$2:$H$2001,14_HISTORICO!$A$2:$A$2001,A15,14_HISTORICO!$C$2:$C$2001,B15,14_HISTORICO!$F$2:$F$2001,"PRO",14_HISTORICO!$I$2:$I$2001,"&lt;&gt;"),0)))</f>
        <v/>
      </c>
      <c r="K15" s="31" t="str">
        <f aca="false">IF(A15="","",IF(COUNTIF(G15:J15,"NC")&gt;0,"NC",ROUND(G15*01_CONFIG!$B$18+H15*01_CONFIG!$B$19+I15*01_CONFIG!$B$20+J15*01_CONFIG!$B$21,0)))</f>
        <v/>
      </c>
      <c r="L15" s="16" t="str">
        <f aca="false">IF(OR(K15="",K15="NC"),"",LOOKUP(K15,16_LISTAS!$G$4:$G$8,16_LISTAS!$H$4:$H$8))</f>
        <v/>
      </c>
      <c r="M15" s="16" t="str">
        <f aca="false">IF(A15="","",IF(MIN(C15:F15)&lt;0.6,"NO CONCLUYENTE",IF(MIN(C15:F15)&lt;0.8,"CON RESERVAS","CONCLUYENTE")))</f>
        <v/>
      </c>
      <c r="N15" s="16" t="str">
        <f aca="false">IF(OR(K15="",K15="NC"),"",RANK(K15,$K$4:$K$43))</f>
        <v/>
      </c>
    </row>
    <row r="16" customFormat="false" ht="15" hidden="false" customHeight="false" outlineLevel="0" collapsed="false">
      <c r="A16" s="9"/>
      <c r="B16" s="11"/>
      <c r="C16" s="29" t="str">
        <f aca="false">IF(A16="","",SUMIFS(14_HISTORICO!$H$2:$H$2001,14_HISTORICO!$A$2:$A$2001,A16,14_HISTORICO!$C$2:$C$2001,B16,14_HISTORICO!$F$2:$F$2001,"FIN",14_HISTORICO!$I$2:$I$2001,"&lt;&gt;")/100)</f>
        <v/>
      </c>
      <c r="D16" s="29" t="str">
        <f aca="false">IF(A16="","",SUMIFS(14_HISTORICO!$H$2:$H$2001,14_HISTORICO!$A$2:$A$2001,A16,14_HISTORICO!$C$2:$C$2001,B16,14_HISTORICO!$F$2:$F$2001,"IND",14_HISTORICO!$I$2:$I$2001,"&lt;&gt;")/100)</f>
        <v/>
      </c>
      <c r="E16" s="29" t="str">
        <f aca="false">IF(A16="","",SUMIFS(14_HISTORICO!$H$2:$H$2001,14_HISTORICO!$A$2:$A$2001,A16,14_HISTORICO!$C$2:$C$2001,B16,14_HISTORICO!$F$2:$F$2001,"DEF",14_HISTORICO!$I$2:$I$2001,"&lt;&gt;")/100)</f>
        <v/>
      </c>
      <c r="F16" s="29" t="str">
        <f aca="false">IF(A16="","",SUMIFS(14_HISTORICO!$H$2:$H$2001,14_HISTORICO!$A$2:$A$2001,A16,14_HISTORICO!$C$2:$C$2001,B16,14_HISTORICO!$F$2:$F$2001,"PRO",14_HISTORICO!$I$2:$I$2001,"&lt;&gt;")/100)</f>
        <v/>
      </c>
      <c r="G16" s="31" t="str">
        <f aca="false">IF(A16="","",IF(C16&lt;0.6,"NC",ROUND(SUMIFS(14_HISTORICO!$J$2:$J$2001,14_HISTORICO!$A$2:$A$2001,A16,14_HISTORICO!$C$2:$C$2001,B16,14_HISTORICO!$F$2:$F$2001,"FIN")/SUMIFS(14_HISTORICO!$H$2:$H$2001,14_HISTORICO!$A$2:$A$2001,A16,14_HISTORICO!$C$2:$C$2001,B16,14_HISTORICO!$F$2:$F$2001,"FIN",14_HISTORICO!$I$2:$I$2001,"&lt;&gt;"),0)))</f>
        <v/>
      </c>
      <c r="H16" s="31" t="str">
        <f aca="false">IF(A16="","",IF(D16&lt;0.6,"NC",ROUND(SUMIFS(14_HISTORICO!$J$2:$J$2001,14_HISTORICO!$A$2:$A$2001,A16,14_HISTORICO!$C$2:$C$2001,B16,14_HISTORICO!$F$2:$F$2001,"IND")/SUMIFS(14_HISTORICO!$H$2:$H$2001,14_HISTORICO!$A$2:$A$2001,A16,14_HISTORICO!$C$2:$C$2001,B16,14_HISTORICO!$F$2:$F$2001,"IND",14_HISTORICO!$I$2:$I$2001,"&lt;&gt;"),0)))</f>
        <v/>
      </c>
      <c r="I16" s="31" t="str">
        <f aca="false">IF(A16="","",IF(E16&lt;0.6,"NC",ROUND(SUMIFS(14_HISTORICO!$J$2:$J$2001,14_HISTORICO!$A$2:$A$2001,A16,14_HISTORICO!$C$2:$C$2001,B16,14_HISTORICO!$F$2:$F$2001,"DEF")/SUMIFS(14_HISTORICO!$H$2:$H$2001,14_HISTORICO!$A$2:$A$2001,A16,14_HISTORICO!$C$2:$C$2001,B16,14_HISTORICO!$F$2:$F$2001,"DEF",14_HISTORICO!$I$2:$I$2001,"&lt;&gt;"),0)))</f>
        <v/>
      </c>
      <c r="J16" s="31" t="str">
        <f aca="false">IF(A16="","",IF(F16&lt;0.6,"NC",ROUND(SUMIFS(14_HISTORICO!$J$2:$J$2001,14_HISTORICO!$A$2:$A$2001,A16,14_HISTORICO!$C$2:$C$2001,B16,14_HISTORICO!$F$2:$F$2001,"PRO")/SUMIFS(14_HISTORICO!$H$2:$H$2001,14_HISTORICO!$A$2:$A$2001,A16,14_HISTORICO!$C$2:$C$2001,B16,14_HISTORICO!$F$2:$F$2001,"PRO",14_HISTORICO!$I$2:$I$2001,"&lt;&gt;"),0)))</f>
        <v/>
      </c>
      <c r="K16" s="31" t="str">
        <f aca="false">IF(A16="","",IF(COUNTIF(G16:J16,"NC")&gt;0,"NC",ROUND(G16*01_CONFIG!$B$18+H16*01_CONFIG!$B$19+I16*01_CONFIG!$B$20+J16*01_CONFIG!$B$21,0)))</f>
        <v/>
      </c>
      <c r="L16" s="16" t="str">
        <f aca="false">IF(OR(K16="",K16="NC"),"",LOOKUP(K16,16_LISTAS!$G$4:$G$8,16_LISTAS!$H$4:$H$8))</f>
        <v/>
      </c>
      <c r="M16" s="16" t="str">
        <f aca="false">IF(A16="","",IF(MIN(C16:F16)&lt;0.6,"NO CONCLUYENTE",IF(MIN(C16:F16)&lt;0.8,"CON RESERVAS","CONCLUYENTE")))</f>
        <v/>
      </c>
      <c r="N16" s="16" t="str">
        <f aca="false">IF(OR(K16="",K16="NC"),"",RANK(K16,$K$4:$K$43))</f>
        <v/>
      </c>
    </row>
    <row r="17" customFormat="false" ht="15" hidden="false" customHeight="false" outlineLevel="0" collapsed="false">
      <c r="A17" s="9"/>
      <c r="B17" s="11"/>
      <c r="C17" s="29" t="str">
        <f aca="false">IF(A17="","",SUMIFS(14_HISTORICO!$H$2:$H$2001,14_HISTORICO!$A$2:$A$2001,A17,14_HISTORICO!$C$2:$C$2001,B17,14_HISTORICO!$F$2:$F$2001,"FIN",14_HISTORICO!$I$2:$I$2001,"&lt;&gt;")/100)</f>
        <v/>
      </c>
      <c r="D17" s="29" t="str">
        <f aca="false">IF(A17="","",SUMIFS(14_HISTORICO!$H$2:$H$2001,14_HISTORICO!$A$2:$A$2001,A17,14_HISTORICO!$C$2:$C$2001,B17,14_HISTORICO!$F$2:$F$2001,"IND",14_HISTORICO!$I$2:$I$2001,"&lt;&gt;")/100)</f>
        <v/>
      </c>
      <c r="E17" s="29" t="str">
        <f aca="false">IF(A17="","",SUMIFS(14_HISTORICO!$H$2:$H$2001,14_HISTORICO!$A$2:$A$2001,A17,14_HISTORICO!$C$2:$C$2001,B17,14_HISTORICO!$F$2:$F$2001,"DEF",14_HISTORICO!$I$2:$I$2001,"&lt;&gt;")/100)</f>
        <v/>
      </c>
      <c r="F17" s="29" t="str">
        <f aca="false">IF(A17="","",SUMIFS(14_HISTORICO!$H$2:$H$2001,14_HISTORICO!$A$2:$A$2001,A17,14_HISTORICO!$C$2:$C$2001,B17,14_HISTORICO!$F$2:$F$2001,"PRO",14_HISTORICO!$I$2:$I$2001,"&lt;&gt;")/100)</f>
        <v/>
      </c>
      <c r="G17" s="31" t="str">
        <f aca="false">IF(A17="","",IF(C17&lt;0.6,"NC",ROUND(SUMIFS(14_HISTORICO!$J$2:$J$2001,14_HISTORICO!$A$2:$A$2001,A17,14_HISTORICO!$C$2:$C$2001,B17,14_HISTORICO!$F$2:$F$2001,"FIN")/SUMIFS(14_HISTORICO!$H$2:$H$2001,14_HISTORICO!$A$2:$A$2001,A17,14_HISTORICO!$C$2:$C$2001,B17,14_HISTORICO!$F$2:$F$2001,"FIN",14_HISTORICO!$I$2:$I$2001,"&lt;&gt;"),0)))</f>
        <v/>
      </c>
      <c r="H17" s="31" t="str">
        <f aca="false">IF(A17="","",IF(D17&lt;0.6,"NC",ROUND(SUMIFS(14_HISTORICO!$J$2:$J$2001,14_HISTORICO!$A$2:$A$2001,A17,14_HISTORICO!$C$2:$C$2001,B17,14_HISTORICO!$F$2:$F$2001,"IND")/SUMIFS(14_HISTORICO!$H$2:$H$2001,14_HISTORICO!$A$2:$A$2001,A17,14_HISTORICO!$C$2:$C$2001,B17,14_HISTORICO!$F$2:$F$2001,"IND",14_HISTORICO!$I$2:$I$2001,"&lt;&gt;"),0)))</f>
        <v/>
      </c>
      <c r="I17" s="31" t="str">
        <f aca="false">IF(A17="","",IF(E17&lt;0.6,"NC",ROUND(SUMIFS(14_HISTORICO!$J$2:$J$2001,14_HISTORICO!$A$2:$A$2001,A17,14_HISTORICO!$C$2:$C$2001,B17,14_HISTORICO!$F$2:$F$2001,"DEF")/SUMIFS(14_HISTORICO!$H$2:$H$2001,14_HISTORICO!$A$2:$A$2001,A17,14_HISTORICO!$C$2:$C$2001,B17,14_HISTORICO!$F$2:$F$2001,"DEF",14_HISTORICO!$I$2:$I$2001,"&lt;&gt;"),0)))</f>
        <v/>
      </c>
      <c r="J17" s="31" t="str">
        <f aca="false">IF(A17="","",IF(F17&lt;0.6,"NC",ROUND(SUMIFS(14_HISTORICO!$J$2:$J$2001,14_HISTORICO!$A$2:$A$2001,A17,14_HISTORICO!$C$2:$C$2001,B17,14_HISTORICO!$F$2:$F$2001,"PRO")/SUMIFS(14_HISTORICO!$H$2:$H$2001,14_HISTORICO!$A$2:$A$2001,A17,14_HISTORICO!$C$2:$C$2001,B17,14_HISTORICO!$F$2:$F$2001,"PRO",14_HISTORICO!$I$2:$I$2001,"&lt;&gt;"),0)))</f>
        <v/>
      </c>
      <c r="K17" s="31" t="str">
        <f aca="false">IF(A17="","",IF(COUNTIF(G17:J17,"NC")&gt;0,"NC",ROUND(G17*01_CONFIG!$B$18+H17*01_CONFIG!$B$19+I17*01_CONFIG!$B$20+J17*01_CONFIG!$B$21,0)))</f>
        <v/>
      </c>
      <c r="L17" s="16" t="str">
        <f aca="false">IF(OR(K17="",K17="NC"),"",LOOKUP(K17,16_LISTAS!$G$4:$G$8,16_LISTAS!$H$4:$H$8))</f>
        <v/>
      </c>
      <c r="M17" s="16" t="str">
        <f aca="false">IF(A17="","",IF(MIN(C17:F17)&lt;0.6,"NO CONCLUYENTE",IF(MIN(C17:F17)&lt;0.8,"CON RESERVAS","CONCLUYENTE")))</f>
        <v/>
      </c>
      <c r="N17" s="16" t="str">
        <f aca="false">IF(OR(K17="",K17="NC"),"",RANK(K17,$K$4:$K$43))</f>
        <v/>
      </c>
    </row>
    <row r="18" customFormat="false" ht="15" hidden="false" customHeight="false" outlineLevel="0" collapsed="false">
      <c r="A18" s="9"/>
      <c r="B18" s="11"/>
      <c r="C18" s="29" t="str">
        <f aca="false">IF(A18="","",SUMIFS(14_HISTORICO!$H$2:$H$2001,14_HISTORICO!$A$2:$A$2001,A18,14_HISTORICO!$C$2:$C$2001,B18,14_HISTORICO!$F$2:$F$2001,"FIN",14_HISTORICO!$I$2:$I$2001,"&lt;&gt;")/100)</f>
        <v/>
      </c>
      <c r="D18" s="29" t="str">
        <f aca="false">IF(A18="","",SUMIFS(14_HISTORICO!$H$2:$H$2001,14_HISTORICO!$A$2:$A$2001,A18,14_HISTORICO!$C$2:$C$2001,B18,14_HISTORICO!$F$2:$F$2001,"IND",14_HISTORICO!$I$2:$I$2001,"&lt;&gt;")/100)</f>
        <v/>
      </c>
      <c r="E18" s="29" t="str">
        <f aca="false">IF(A18="","",SUMIFS(14_HISTORICO!$H$2:$H$2001,14_HISTORICO!$A$2:$A$2001,A18,14_HISTORICO!$C$2:$C$2001,B18,14_HISTORICO!$F$2:$F$2001,"DEF",14_HISTORICO!$I$2:$I$2001,"&lt;&gt;")/100)</f>
        <v/>
      </c>
      <c r="F18" s="29" t="str">
        <f aca="false">IF(A18="","",SUMIFS(14_HISTORICO!$H$2:$H$2001,14_HISTORICO!$A$2:$A$2001,A18,14_HISTORICO!$C$2:$C$2001,B18,14_HISTORICO!$F$2:$F$2001,"PRO",14_HISTORICO!$I$2:$I$2001,"&lt;&gt;")/100)</f>
        <v/>
      </c>
      <c r="G18" s="31" t="str">
        <f aca="false">IF(A18="","",IF(C18&lt;0.6,"NC",ROUND(SUMIFS(14_HISTORICO!$J$2:$J$2001,14_HISTORICO!$A$2:$A$2001,A18,14_HISTORICO!$C$2:$C$2001,B18,14_HISTORICO!$F$2:$F$2001,"FIN")/SUMIFS(14_HISTORICO!$H$2:$H$2001,14_HISTORICO!$A$2:$A$2001,A18,14_HISTORICO!$C$2:$C$2001,B18,14_HISTORICO!$F$2:$F$2001,"FIN",14_HISTORICO!$I$2:$I$2001,"&lt;&gt;"),0)))</f>
        <v/>
      </c>
      <c r="H18" s="31" t="str">
        <f aca="false">IF(A18="","",IF(D18&lt;0.6,"NC",ROUND(SUMIFS(14_HISTORICO!$J$2:$J$2001,14_HISTORICO!$A$2:$A$2001,A18,14_HISTORICO!$C$2:$C$2001,B18,14_HISTORICO!$F$2:$F$2001,"IND")/SUMIFS(14_HISTORICO!$H$2:$H$2001,14_HISTORICO!$A$2:$A$2001,A18,14_HISTORICO!$C$2:$C$2001,B18,14_HISTORICO!$F$2:$F$2001,"IND",14_HISTORICO!$I$2:$I$2001,"&lt;&gt;"),0)))</f>
        <v/>
      </c>
      <c r="I18" s="31" t="str">
        <f aca="false">IF(A18="","",IF(E18&lt;0.6,"NC",ROUND(SUMIFS(14_HISTORICO!$J$2:$J$2001,14_HISTORICO!$A$2:$A$2001,A18,14_HISTORICO!$C$2:$C$2001,B18,14_HISTORICO!$F$2:$F$2001,"DEF")/SUMIFS(14_HISTORICO!$H$2:$H$2001,14_HISTORICO!$A$2:$A$2001,A18,14_HISTORICO!$C$2:$C$2001,B18,14_HISTORICO!$F$2:$F$2001,"DEF",14_HISTORICO!$I$2:$I$2001,"&lt;&gt;"),0)))</f>
        <v/>
      </c>
      <c r="J18" s="31" t="str">
        <f aca="false">IF(A18="","",IF(F18&lt;0.6,"NC",ROUND(SUMIFS(14_HISTORICO!$J$2:$J$2001,14_HISTORICO!$A$2:$A$2001,A18,14_HISTORICO!$C$2:$C$2001,B18,14_HISTORICO!$F$2:$F$2001,"PRO")/SUMIFS(14_HISTORICO!$H$2:$H$2001,14_HISTORICO!$A$2:$A$2001,A18,14_HISTORICO!$C$2:$C$2001,B18,14_HISTORICO!$F$2:$F$2001,"PRO",14_HISTORICO!$I$2:$I$2001,"&lt;&gt;"),0)))</f>
        <v/>
      </c>
      <c r="K18" s="31" t="str">
        <f aca="false">IF(A18="","",IF(COUNTIF(G18:J18,"NC")&gt;0,"NC",ROUND(G18*01_CONFIG!$B$18+H18*01_CONFIG!$B$19+I18*01_CONFIG!$B$20+J18*01_CONFIG!$B$21,0)))</f>
        <v/>
      </c>
      <c r="L18" s="16" t="str">
        <f aca="false">IF(OR(K18="",K18="NC"),"",LOOKUP(K18,16_LISTAS!$G$4:$G$8,16_LISTAS!$H$4:$H$8))</f>
        <v/>
      </c>
      <c r="M18" s="16" t="str">
        <f aca="false">IF(A18="","",IF(MIN(C18:F18)&lt;0.6,"NO CONCLUYENTE",IF(MIN(C18:F18)&lt;0.8,"CON RESERVAS","CONCLUYENTE")))</f>
        <v/>
      </c>
      <c r="N18" s="16" t="str">
        <f aca="false">IF(OR(K18="",K18="NC"),"",RANK(K18,$K$4:$K$43))</f>
        <v/>
      </c>
    </row>
    <row r="19" customFormat="false" ht="15" hidden="false" customHeight="false" outlineLevel="0" collapsed="false">
      <c r="A19" s="9"/>
      <c r="B19" s="11"/>
      <c r="C19" s="29" t="str">
        <f aca="false">IF(A19="","",SUMIFS(14_HISTORICO!$H$2:$H$2001,14_HISTORICO!$A$2:$A$2001,A19,14_HISTORICO!$C$2:$C$2001,B19,14_HISTORICO!$F$2:$F$2001,"FIN",14_HISTORICO!$I$2:$I$2001,"&lt;&gt;")/100)</f>
        <v/>
      </c>
      <c r="D19" s="29" t="str">
        <f aca="false">IF(A19="","",SUMIFS(14_HISTORICO!$H$2:$H$2001,14_HISTORICO!$A$2:$A$2001,A19,14_HISTORICO!$C$2:$C$2001,B19,14_HISTORICO!$F$2:$F$2001,"IND",14_HISTORICO!$I$2:$I$2001,"&lt;&gt;")/100)</f>
        <v/>
      </c>
      <c r="E19" s="29" t="str">
        <f aca="false">IF(A19="","",SUMIFS(14_HISTORICO!$H$2:$H$2001,14_HISTORICO!$A$2:$A$2001,A19,14_HISTORICO!$C$2:$C$2001,B19,14_HISTORICO!$F$2:$F$2001,"DEF",14_HISTORICO!$I$2:$I$2001,"&lt;&gt;")/100)</f>
        <v/>
      </c>
      <c r="F19" s="29" t="str">
        <f aca="false">IF(A19="","",SUMIFS(14_HISTORICO!$H$2:$H$2001,14_HISTORICO!$A$2:$A$2001,A19,14_HISTORICO!$C$2:$C$2001,B19,14_HISTORICO!$F$2:$F$2001,"PRO",14_HISTORICO!$I$2:$I$2001,"&lt;&gt;")/100)</f>
        <v/>
      </c>
      <c r="G19" s="31" t="str">
        <f aca="false">IF(A19="","",IF(C19&lt;0.6,"NC",ROUND(SUMIFS(14_HISTORICO!$J$2:$J$2001,14_HISTORICO!$A$2:$A$2001,A19,14_HISTORICO!$C$2:$C$2001,B19,14_HISTORICO!$F$2:$F$2001,"FIN")/SUMIFS(14_HISTORICO!$H$2:$H$2001,14_HISTORICO!$A$2:$A$2001,A19,14_HISTORICO!$C$2:$C$2001,B19,14_HISTORICO!$F$2:$F$2001,"FIN",14_HISTORICO!$I$2:$I$2001,"&lt;&gt;"),0)))</f>
        <v/>
      </c>
      <c r="H19" s="31" t="str">
        <f aca="false">IF(A19="","",IF(D19&lt;0.6,"NC",ROUND(SUMIFS(14_HISTORICO!$J$2:$J$2001,14_HISTORICO!$A$2:$A$2001,A19,14_HISTORICO!$C$2:$C$2001,B19,14_HISTORICO!$F$2:$F$2001,"IND")/SUMIFS(14_HISTORICO!$H$2:$H$2001,14_HISTORICO!$A$2:$A$2001,A19,14_HISTORICO!$C$2:$C$2001,B19,14_HISTORICO!$F$2:$F$2001,"IND",14_HISTORICO!$I$2:$I$2001,"&lt;&gt;"),0)))</f>
        <v/>
      </c>
      <c r="I19" s="31" t="str">
        <f aca="false">IF(A19="","",IF(E19&lt;0.6,"NC",ROUND(SUMIFS(14_HISTORICO!$J$2:$J$2001,14_HISTORICO!$A$2:$A$2001,A19,14_HISTORICO!$C$2:$C$2001,B19,14_HISTORICO!$F$2:$F$2001,"DEF")/SUMIFS(14_HISTORICO!$H$2:$H$2001,14_HISTORICO!$A$2:$A$2001,A19,14_HISTORICO!$C$2:$C$2001,B19,14_HISTORICO!$F$2:$F$2001,"DEF",14_HISTORICO!$I$2:$I$2001,"&lt;&gt;"),0)))</f>
        <v/>
      </c>
      <c r="J19" s="31" t="str">
        <f aca="false">IF(A19="","",IF(F19&lt;0.6,"NC",ROUND(SUMIFS(14_HISTORICO!$J$2:$J$2001,14_HISTORICO!$A$2:$A$2001,A19,14_HISTORICO!$C$2:$C$2001,B19,14_HISTORICO!$F$2:$F$2001,"PRO")/SUMIFS(14_HISTORICO!$H$2:$H$2001,14_HISTORICO!$A$2:$A$2001,A19,14_HISTORICO!$C$2:$C$2001,B19,14_HISTORICO!$F$2:$F$2001,"PRO",14_HISTORICO!$I$2:$I$2001,"&lt;&gt;"),0)))</f>
        <v/>
      </c>
      <c r="K19" s="31" t="str">
        <f aca="false">IF(A19="","",IF(COUNTIF(G19:J19,"NC")&gt;0,"NC",ROUND(G19*01_CONFIG!$B$18+H19*01_CONFIG!$B$19+I19*01_CONFIG!$B$20+J19*01_CONFIG!$B$21,0)))</f>
        <v/>
      </c>
      <c r="L19" s="16" t="str">
        <f aca="false">IF(OR(K19="",K19="NC"),"",LOOKUP(K19,16_LISTAS!$G$4:$G$8,16_LISTAS!$H$4:$H$8))</f>
        <v/>
      </c>
      <c r="M19" s="16" t="str">
        <f aca="false">IF(A19="","",IF(MIN(C19:F19)&lt;0.6,"NO CONCLUYENTE",IF(MIN(C19:F19)&lt;0.8,"CON RESERVAS","CONCLUYENTE")))</f>
        <v/>
      </c>
      <c r="N19" s="16" t="str">
        <f aca="false">IF(OR(K19="",K19="NC"),"",RANK(K19,$K$4:$K$43))</f>
        <v/>
      </c>
    </row>
    <row r="20" customFormat="false" ht="15" hidden="false" customHeight="false" outlineLevel="0" collapsed="false">
      <c r="A20" s="9"/>
      <c r="B20" s="11"/>
      <c r="C20" s="29" t="str">
        <f aca="false">IF(A20="","",SUMIFS(14_HISTORICO!$H$2:$H$2001,14_HISTORICO!$A$2:$A$2001,A20,14_HISTORICO!$C$2:$C$2001,B20,14_HISTORICO!$F$2:$F$2001,"FIN",14_HISTORICO!$I$2:$I$2001,"&lt;&gt;")/100)</f>
        <v/>
      </c>
      <c r="D20" s="29" t="str">
        <f aca="false">IF(A20="","",SUMIFS(14_HISTORICO!$H$2:$H$2001,14_HISTORICO!$A$2:$A$2001,A20,14_HISTORICO!$C$2:$C$2001,B20,14_HISTORICO!$F$2:$F$2001,"IND",14_HISTORICO!$I$2:$I$2001,"&lt;&gt;")/100)</f>
        <v/>
      </c>
      <c r="E20" s="29" t="str">
        <f aca="false">IF(A20="","",SUMIFS(14_HISTORICO!$H$2:$H$2001,14_HISTORICO!$A$2:$A$2001,A20,14_HISTORICO!$C$2:$C$2001,B20,14_HISTORICO!$F$2:$F$2001,"DEF",14_HISTORICO!$I$2:$I$2001,"&lt;&gt;")/100)</f>
        <v/>
      </c>
      <c r="F20" s="29" t="str">
        <f aca="false">IF(A20="","",SUMIFS(14_HISTORICO!$H$2:$H$2001,14_HISTORICO!$A$2:$A$2001,A20,14_HISTORICO!$C$2:$C$2001,B20,14_HISTORICO!$F$2:$F$2001,"PRO",14_HISTORICO!$I$2:$I$2001,"&lt;&gt;")/100)</f>
        <v/>
      </c>
      <c r="G20" s="31" t="str">
        <f aca="false">IF(A20="","",IF(C20&lt;0.6,"NC",ROUND(SUMIFS(14_HISTORICO!$J$2:$J$2001,14_HISTORICO!$A$2:$A$2001,A20,14_HISTORICO!$C$2:$C$2001,B20,14_HISTORICO!$F$2:$F$2001,"FIN")/SUMIFS(14_HISTORICO!$H$2:$H$2001,14_HISTORICO!$A$2:$A$2001,A20,14_HISTORICO!$C$2:$C$2001,B20,14_HISTORICO!$F$2:$F$2001,"FIN",14_HISTORICO!$I$2:$I$2001,"&lt;&gt;"),0)))</f>
        <v/>
      </c>
      <c r="H20" s="31" t="str">
        <f aca="false">IF(A20="","",IF(D20&lt;0.6,"NC",ROUND(SUMIFS(14_HISTORICO!$J$2:$J$2001,14_HISTORICO!$A$2:$A$2001,A20,14_HISTORICO!$C$2:$C$2001,B20,14_HISTORICO!$F$2:$F$2001,"IND")/SUMIFS(14_HISTORICO!$H$2:$H$2001,14_HISTORICO!$A$2:$A$2001,A20,14_HISTORICO!$C$2:$C$2001,B20,14_HISTORICO!$F$2:$F$2001,"IND",14_HISTORICO!$I$2:$I$2001,"&lt;&gt;"),0)))</f>
        <v/>
      </c>
      <c r="I20" s="31" t="str">
        <f aca="false">IF(A20="","",IF(E20&lt;0.6,"NC",ROUND(SUMIFS(14_HISTORICO!$J$2:$J$2001,14_HISTORICO!$A$2:$A$2001,A20,14_HISTORICO!$C$2:$C$2001,B20,14_HISTORICO!$F$2:$F$2001,"DEF")/SUMIFS(14_HISTORICO!$H$2:$H$2001,14_HISTORICO!$A$2:$A$2001,A20,14_HISTORICO!$C$2:$C$2001,B20,14_HISTORICO!$F$2:$F$2001,"DEF",14_HISTORICO!$I$2:$I$2001,"&lt;&gt;"),0)))</f>
        <v/>
      </c>
      <c r="J20" s="31" t="str">
        <f aca="false">IF(A20="","",IF(F20&lt;0.6,"NC",ROUND(SUMIFS(14_HISTORICO!$J$2:$J$2001,14_HISTORICO!$A$2:$A$2001,A20,14_HISTORICO!$C$2:$C$2001,B20,14_HISTORICO!$F$2:$F$2001,"PRO")/SUMIFS(14_HISTORICO!$H$2:$H$2001,14_HISTORICO!$A$2:$A$2001,A20,14_HISTORICO!$C$2:$C$2001,B20,14_HISTORICO!$F$2:$F$2001,"PRO",14_HISTORICO!$I$2:$I$2001,"&lt;&gt;"),0)))</f>
        <v/>
      </c>
      <c r="K20" s="31" t="str">
        <f aca="false">IF(A20="","",IF(COUNTIF(G20:J20,"NC")&gt;0,"NC",ROUND(G20*01_CONFIG!$B$18+H20*01_CONFIG!$B$19+I20*01_CONFIG!$B$20+J20*01_CONFIG!$B$21,0)))</f>
        <v/>
      </c>
      <c r="L20" s="16" t="str">
        <f aca="false">IF(OR(K20="",K20="NC"),"",LOOKUP(K20,16_LISTAS!$G$4:$G$8,16_LISTAS!$H$4:$H$8))</f>
        <v/>
      </c>
      <c r="M20" s="16" t="str">
        <f aca="false">IF(A20="","",IF(MIN(C20:F20)&lt;0.6,"NO CONCLUYENTE",IF(MIN(C20:F20)&lt;0.8,"CON RESERVAS","CONCLUYENTE")))</f>
        <v/>
      </c>
      <c r="N20" s="16" t="str">
        <f aca="false">IF(OR(K20="",K20="NC"),"",RANK(K20,$K$4:$K$43))</f>
        <v/>
      </c>
    </row>
    <row r="21" customFormat="false" ht="15" hidden="false" customHeight="false" outlineLevel="0" collapsed="false">
      <c r="A21" s="9"/>
      <c r="B21" s="11"/>
      <c r="C21" s="29" t="str">
        <f aca="false">IF(A21="","",SUMIFS(14_HISTORICO!$H$2:$H$2001,14_HISTORICO!$A$2:$A$2001,A21,14_HISTORICO!$C$2:$C$2001,B21,14_HISTORICO!$F$2:$F$2001,"FIN",14_HISTORICO!$I$2:$I$2001,"&lt;&gt;")/100)</f>
        <v/>
      </c>
      <c r="D21" s="29" t="str">
        <f aca="false">IF(A21="","",SUMIFS(14_HISTORICO!$H$2:$H$2001,14_HISTORICO!$A$2:$A$2001,A21,14_HISTORICO!$C$2:$C$2001,B21,14_HISTORICO!$F$2:$F$2001,"IND",14_HISTORICO!$I$2:$I$2001,"&lt;&gt;")/100)</f>
        <v/>
      </c>
      <c r="E21" s="29" t="str">
        <f aca="false">IF(A21="","",SUMIFS(14_HISTORICO!$H$2:$H$2001,14_HISTORICO!$A$2:$A$2001,A21,14_HISTORICO!$C$2:$C$2001,B21,14_HISTORICO!$F$2:$F$2001,"DEF",14_HISTORICO!$I$2:$I$2001,"&lt;&gt;")/100)</f>
        <v/>
      </c>
      <c r="F21" s="29" t="str">
        <f aca="false">IF(A21="","",SUMIFS(14_HISTORICO!$H$2:$H$2001,14_HISTORICO!$A$2:$A$2001,A21,14_HISTORICO!$C$2:$C$2001,B21,14_HISTORICO!$F$2:$F$2001,"PRO",14_HISTORICO!$I$2:$I$2001,"&lt;&gt;")/100)</f>
        <v/>
      </c>
      <c r="G21" s="31" t="str">
        <f aca="false">IF(A21="","",IF(C21&lt;0.6,"NC",ROUND(SUMIFS(14_HISTORICO!$J$2:$J$2001,14_HISTORICO!$A$2:$A$2001,A21,14_HISTORICO!$C$2:$C$2001,B21,14_HISTORICO!$F$2:$F$2001,"FIN")/SUMIFS(14_HISTORICO!$H$2:$H$2001,14_HISTORICO!$A$2:$A$2001,A21,14_HISTORICO!$C$2:$C$2001,B21,14_HISTORICO!$F$2:$F$2001,"FIN",14_HISTORICO!$I$2:$I$2001,"&lt;&gt;"),0)))</f>
        <v/>
      </c>
      <c r="H21" s="31" t="str">
        <f aca="false">IF(A21="","",IF(D21&lt;0.6,"NC",ROUND(SUMIFS(14_HISTORICO!$J$2:$J$2001,14_HISTORICO!$A$2:$A$2001,A21,14_HISTORICO!$C$2:$C$2001,B21,14_HISTORICO!$F$2:$F$2001,"IND")/SUMIFS(14_HISTORICO!$H$2:$H$2001,14_HISTORICO!$A$2:$A$2001,A21,14_HISTORICO!$C$2:$C$2001,B21,14_HISTORICO!$F$2:$F$2001,"IND",14_HISTORICO!$I$2:$I$2001,"&lt;&gt;"),0)))</f>
        <v/>
      </c>
      <c r="I21" s="31" t="str">
        <f aca="false">IF(A21="","",IF(E21&lt;0.6,"NC",ROUND(SUMIFS(14_HISTORICO!$J$2:$J$2001,14_HISTORICO!$A$2:$A$2001,A21,14_HISTORICO!$C$2:$C$2001,B21,14_HISTORICO!$F$2:$F$2001,"DEF")/SUMIFS(14_HISTORICO!$H$2:$H$2001,14_HISTORICO!$A$2:$A$2001,A21,14_HISTORICO!$C$2:$C$2001,B21,14_HISTORICO!$F$2:$F$2001,"DEF",14_HISTORICO!$I$2:$I$2001,"&lt;&gt;"),0)))</f>
        <v/>
      </c>
      <c r="J21" s="31" t="str">
        <f aca="false">IF(A21="","",IF(F21&lt;0.6,"NC",ROUND(SUMIFS(14_HISTORICO!$J$2:$J$2001,14_HISTORICO!$A$2:$A$2001,A21,14_HISTORICO!$C$2:$C$2001,B21,14_HISTORICO!$F$2:$F$2001,"PRO")/SUMIFS(14_HISTORICO!$H$2:$H$2001,14_HISTORICO!$A$2:$A$2001,A21,14_HISTORICO!$C$2:$C$2001,B21,14_HISTORICO!$F$2:$F$2001,"PRO",14_HISTORICO!$I$2:$I$2001,"&lt;&gt;"),0)))</f>
        <v/>
      </c>
      <c r="K21" s="31" t="str">
        <f aca="false">IF(A21="","",IF(COUNTIF(G21:J21,"NC")&gt;0,"NC",ROUND(G21*01_CONFIG!$B$18+H21*01_CONFIG!$B$19+I21*01_CONFIG!$B$20+J21*01_CONFIG!$B$21,0)))</f>
        <v/>
      </c>
      <c r="L21" s="16" t="str">
        <f aca="false">IF(OR(K21="",K21="NC"),"",LOOKUP(K21,16_LISTAS!$G$4:$G$8,16_LISTAS!$H$4:$H$8))</f>
        <v/>
      </c>
      <c r="M21" s="16" t="str">
        <f aca="false">IF(A21="","",IF(MIN(C21:F21)&lt;0.6,"NO CONCLUYENTE",IF(MIN(C21:F21)&lt;0.8,"CON RESERVAS","CONCLUYENTE")))</f>
        <v/>
      </c>
      <c r="N21" s="16" t="str">
        <f aca="false">IF(OR(K21="",K21="NC"),"",RANK(K21,$K$4:$K$43))</f>
        <v/>
      </c>
    </row>
    <row r="22" customFormat="false" ht="15" hidden="false" customHeight="false" outlineLevel="0" collapsed="false">
      <c r="A22" s="9"/>
      <c r="B22" s="11"/>
      <c r="C22" s="29" t="str">
        <f aca="false">IF(A22="","",SUMIFS(14_HISTORICO!$H$2:$H$2001,14_HISTORICO!$A$2:$A$2001,A22,14_HISTORICO!$C$2:$C$2001,B22,14_HISTORICO!$F$2:$F$2001,"FIN",14_HISTORICO!$I$2:$I$2001,"&lt;&gt;")/100)</f>
        <v/>
      </c>
      <c r="D22" s="29" t="str">
        <f aca="false">IF(A22="","",SUMIFS(14_HISTORICO!$H$2:$H$2001,14_HISTORICO!$A$2:$A$2001,A22,14_HISTORICO!$C$2:$C$2001,B22,14_HISTORICO!$F$2:$F$2001,"IND",14_HISTORICO!$I$2:$I$2001,"&lt;&gt;")/100)</f>
        <v/>
      </c>
      <c r="E22" s="29" t="str">
        <f aca="false">IF(A22="","",SUMIFS(14_HISTORICO!$H$2:$H$2001,14_HISTORICO!$A$2:$A$2001,A22,14_HISTORICO!$C$2:$C$2001,B22,14_HISTORICO!$F$2:$F$2001,"DEF",14_HISTORICO!$I$2:$I$2001,"&lt;&gt;")/100)</f>
        <v/>
      </c>
      <c r="F22" s="29" t="str">
        <f aca="false">IF(A22="","",SUMIFS(14_HISTORICO!$H$2:$H$2001,14_HISTORICO!$A$2:$A$2001,A22,14_HISTORICO!$C$2:$C$2001,B22,14_HISTORICO!$F$2:$F$2001,"PRO",14_HISTORICO!$I$2:$I$2001,"&lt;&gt;")/100)</f>
        <v/>
      </c>
      <c r="G22" s="31" t="str">
        <f aca="false">IF(A22="","",IF(C22&lt;0.6,"NC",ROUND(SUMIFS(14_HISTORICO!$J$2:$J$2001,14_HISTORICO!$A$2:$A$2001,A22,14_HISTORICO!$C$2:$C$2001,B22,14_HISTORICO!$F$2:$F$2001,"FIN")/SUMIFS(14_HISTORICO!$H$2:$H$2001,14_HISTORICO!$A$2:$A$2001,A22,14_HISTORICO!$C$2:$C$2001,B22,14_HISTORICO!$F$2:$F$2001,"FIN",14_HISTORICO!$I$2:$I$2001,"&lt;&gt;"),0)))</f>
        <v/>
      </c>
      <c r="H22" s="31" t="str">
        <f aca="false">IF(A22="","",IF(D22&lt;0.6,"NC",ROUND(SUMIFS(14_HISTORICO!$J$2:$J$2001,14_HISTORICO!$A$2:$A$2001,A22,14_HISTORICO!$C$2:$C$2001,B22,14_HISTORICO!$F$2:$F$2001,"IND")/SUMIFS(14_HISTORICO!$H$2:$H$2001,14_HISTORICO!$A$2:$A$2001,A22,14_HISTORICO!$C$2:$C$2001,B22,14_HISTORICO!$F$2:$F$2001,"IND",14_HISTORICO!$I$2:$I$2001,"&lt;&gt;"),0)))</f>
        <v/>
      </c>
      <c r="I22" s="31" t="str">
        <f aca="false">IF(A22="","",IF(E22&lt;0.6,"NC",ROUND(SUMIFS(14_HISTORICO!$J$2:$J$2001,14_HISTORICO!$A$2:$A$2001,A22,14_HISTORICO!$C$2:$C$2001,B22,14_HISTORICO!$F$2:$F$2001,"DEF")/SUMIFS(14_HISTORICO!$H$2:$H$2001,14_HISTORICO!$A$2:$A$2001,A22,14_HISTORICO!$C$2:$C$2001,B22,14_HISTORICO!$F$2:$F$2001,"DEF",14_HISTORICO!$I$2:$I$2001,"&lt;&gt;"),0)))</f>
        <v/>
      </c>
      <c r="J22" s="31" t="str">
        <f aca="false">IF(A22="","",IF(F22&lt;0.6,"NC",ROUND(SUMIFS(14_HISTORICO!$J$2:$J$2001,14_HISTORICO!$A$2:$A$2001,A22,14_HISTORICO!$C$2:$C$2001,B22,14_HISTORICO!$F$2:$F$2001,"PRO")/SUMIFS(14_HISTORICO!$H$2:$H$2001,14_HISTORICO!$A$2:$A$2001,A22,14_HISTORICO!$C$2:$C$2001,B22,14_HISTORICO!$F$2:$F$2001,"PRO",14_HISTORICO!$I$2:$I$2001,"&lt;&gt;"),0)))</f>
        <v/>
      </c>
      <c r="K22" s="31" t="str">
        <f aca="false">IF(A22="","",IF(COUNTIF(G22:J22,"NC")&gt;0,"NC",ROUND(G22*01_CONFIG!$B$18+H22*01_CONFIG!$B$19+I22*01_CONFIG!$B$20+J22*01_CONFIG!$B$21,0)))</f>
        <v/>
      </c>
      <c r="L22" s="16" t="str">
        <f aca="false">IF(OR(K22="",K22="NC"),"",LOOKUP(K22,16_LISTAS!$G$4:$G$8,16_LISTAS!$H$4:$H$8))</f>
        <v/>
      </c>
      <c r="M22" s="16" t="str">
        <f aca="false">IF(A22="","",IF(MIN(C22:F22)&lt;0.6,"NO CONCLUYENTE",IF(MIN(C22:F22)&lt;0.8,"CON RESERVAS","CONCLUYENTE")))</f>
        <v/>
      </c>
      <c r="N22" s="16" t="str">
        <f aca="false">IF(OR(K22="",K22="NC"),"",RANK(K22,$K$4:$K$43))</f>
        <v/>
      </c>
    </row>
    <row r="23" customFormat="false" ht="15" hidden="false" customHeight="false" outlineLevel="0" collapsed="false">
      <c r="A23" s="9"/>
      <c r="B23" s="11"/>
      <c r="C23" s="29" t="str">
        <f aca="false">IF(A23="","",SUMIFS(14_HISTORICO!$H$2:$H$2001,14_HISTORICO!$A$2:$A$2001,A23,14_HISTORICO!$C$2:$C$2001,B23,14_HISTORICO!$F$2:$F$2001,"FIN",14_HISTORICO!$I$2:$I$2001,"&lt;&gt;")/100)</f>
        <v/>
      </c>
      <c r="D23" s="29" t="str">
        <f aca="false">IF(A23="","",SUMIFS(14_HISTORICO!$H$2:$H$2001,14_HISTORICO!$A$2:$A$2001,A23,14_HISTORICO!$C$2:$C$2001,B23,14_HISTORICO!$F$2:$F$2001,"IND",14_HISTORICO!$I$2:$I$2001,"&lt;&gt;")/100)</f>
        <v/>
      </c>
      <c r="E23" s="29" t="str">
        <f aca="false">IF(A23="","",SUMIFS(14_HISTORICO!$H$2:$H$2001,14_HISTORICO!$A$2:$A$2001,A23,14_HISTORICO!$C$2:$C$2001,B23,14_HISTORICO!$F$2:$F$2001,"DEF",14_HISTORICO!$I$2:$I$2001,"&lt;&gt;")/100)</f>
        <v/>
      </c>
      <c r="F23" s="29" t="str">
        <f aca="false">IF(A23="","",SUMIFS(14_HISTORICO!$H$2:$H$2001,14_HISTORICO!$A$2:$A$2001,A23,14_HISTORICO!$C$2:$C$2001,B23,14_HISTORICO!$F$2:$F$2001,"PRO",14_HISTORICO!$I$2:$I$2001,"&lt;&gt;")/100)</f>
        <v/>
      </c>
      <c r="G23" s="31" t="str">
        <f aca="false">IF(A23="","",IF(C23&lt;0.6,"NC",ROUND(SUMIFS(14_HISTORICO!$J$2:$J$2001,14_HISTORICO!$A$2:$A$2001,A23,14_HISTORICO!$C$2:$C$2001,B23,14_HISTORICO!$F$2:$F$2001,"FIN")/SUMIFS(14_HISTORICO!$H$2:$H$2001,14_HISTORICO!$A$2:$A$2001,A23,14_HISTORICO!$C$2:$C$2001,B23,14_HISTORICO!$F$2:$F$2001,"FIN",14_HISTORICO!$I$2:$I$2001,"&lt;&gt;"),0)))</f>
        <v/>
      </c>
      <c r="H23" s="31" t="str">
        <f aca="false">IF(A23="","",IF(D23&lt;0.6,"NC",ROUND(SUMIFS(14_HISTORICO!$J$2:$J$2001,14_HISTORICO!$A$2:$A$2001,A23,14_HISTORICO!$C$2:$C$2001,B23,14_HISTORICO!$F$2:$F$2001,"IND")/SUMIFS(14_HISTORICO!$H$2:$H$2001,14_HISTORICO!$A$2:$A$2001,A23,14_HISTORICO!$C$2:$C$2001,B23,14_HISTORICO!$F$2:$F$2001,"IND",14_HISTORICO!$I$2:$I$2001,"&lt;&gt;"),0)))</f>
        <v/>
      </c>
      <c r="I23" s="31" t="str">
        <f aca="false">IF(A23="","",IF(E23&lt;0.6,"NC",ROUND(SUMIFS(14_HISTORICO!$J$2:$J$2001,14_HISTORICO!$A$2:$A$2001,A23,14_HISTORICO!$C$2:$C$2001,B23,14_HISTORICO!$F$2:$F$2001,"DEF")/SUMIFS(14_HISTORICO!$H$2:$H$2001,14_HISTORICO!$A$2:$A$2001,A23,14_HISTORICO!$C$2:$C$2001,B23,14_HISTORICO!$F$2:$F$2001,"DEF",14_HISTORICO!$I$2:$I$2001,"&lt;&gt;"),0)))</f>
        <v/>
      </c>
      <c r="J23" s="31" t="str">
        <f aca="false">IF(A23="","",IF(F23&lt;0.6,"NC",ROUND(SUMIFS(14_HISTORICO!$J$2:$J$2001,14_HISTORICO!$A$2:$A$2001,A23,14_HISTORICO!$C$2:$C$2001,B23,14_HISTORICO!$F$2:$F$2001,"PRO")/SUMIFS(14_HISTORICO!$H$2:$H$2001,14_HISTORICO!$A$2:$A$2001,A23,14_HISTORICO!$C$2:$C$2001,B23,14_HISTORICO!$F$2:$F$2001,"PRO",14_HISTORICO!$I$2:$I$2001,"&lt;&gt;"),0)))</f>
        <v/>
      </c>
      <c r="K23" s="31" t="str">
        <f aca="false">IF(A23="","",IF(COUNTIF(G23:J23,"NC")&gt;0,"NC",ROUND(G23*01_CONFIG!$B$18+H23*01_CONFIG!$B$19+I23*01_CONFIG!$B$20+J23*01_CONFIG!$B$21,0)))</f>
        <v/>
      </c>
      <c r="L23" s="16" t="str">
        <f aca="false">IF(OR(K23="",K23="NC"),"",LOOKUP(K23,16_LISTAS!$G$4:$G$8,16_LISTAS!$H$4:$H$8))</f>
        <v/>
      </c>
      <c r="M23" s="16" t="str">
        <f aca="false">IF(A23="","",IF(MIN(C23:F23)&lt;0.6,"NO CONCLUYENTE",IF(MIN(C23:F23)&lt;0.8,"CON RESERVAS","CONCLUYENTE")))</f>
        <v/>
      </c>
      <c r="N23" s="16" t="str">
        <f aca="false">IF(OR(K23="",K23="NC"),"",RANK(K23,$K$4:$K$43))</f>
        <v/>
      </c>
    </row>
    <row r="24" customFormat="false" ht="15" hidden="false" customHeight="false" outlineLevel="0" collapsed="false">
      <c r="A24" s="9"/>
      <c r="B24" s="11"/>
      <c r="C24" s="29" t="str">
        <f aca="false">IF(A24="","",SUMIFS(14_HISTORICO!$H$2:$H$2001,14_HISTORICO!$A$2:$A$2001,A24,14_HISTORICO!$C$2:$C$2001,B24,14_HISTORICO!$F$2:$F$2001,"FIN",14_HISTORICO!$I$2:$I$2001,"&lt;&gt;")/100)</f>
        <v/>
      </c>
      <c r="D24" s="29" t="str">
        <f aca="false">IF(A24="","",SUMIFS(14_HISTORICO!$H$2:$H$2001,14_HISTORICO!$A$2:$A$2001,A24,14_HISTORICO!$C$2:$C$2001,B24,14_HISTORICO!$F$2:$F$2001,"IND",14_HISTORICO!$I$2:$I$2001,"&lt;&gt;")/100)</f>
        <v/>
      </c>
      <c r="E24" s="29" t="str">
        <f aca="false">IF(A24="","",SUMIFS(14_HISTORICO!$H$2:$H$2001,14_HISTORICO!$A$2:$A$2001,A24,14_HISTORICO!$C$2:$C$2001,B24,14_HISTORICO!$F$2:$F$2001,"DEF",14_HISTORICO!$I$2:$I$2001,"&lt;&gt;")/100)</f>
        <v/>
      </c>
      <c r="F24" s="29" t="str">
        <f aca="false">IF(A24="","",SUMIFS(14_HISTORICO!$H$2:$H$2001,14_HISTORICO!$A$2:$A$2001,A24,14_HISTORICO!$C$2:$C$2001,B24,14_HISTORICO!$F$2:$F$2001,"PRO",14_HISTORICO!$I$2:$I$2001,"&lt;&gt;")/100)</f>
        <v/>
      </c>
      <c r="G24" s="31" t="str">
        <f aca="false">IF(A24="","",IF(C24&lt;0.6,"NC",ROUND(SUMIFS(14_HISTORICO!$J$2:$J$2001,14_HISTORICO!$A$2:$A$2001,A24,14_HISTORICO!$C$2:$C$2001,B24,14_HISTORICO!$F$2:$F$2001,"FIN")/SUMIFS(14_HISTORICO!$H$2:$H$2001,14_HISTORICO!$A$2:$A$2001,A24,14_HISTORICO!$C$2:$C$2001,B24,14_HISTORICO!$F$2:$F$2001,"FIN",14_HISTORICO!$I$2:$I$2001,"&lt;&gt;"),0)))</f>
        <v/>
      </c>
      <c r="H24" s="31" t="str">
        <f aca="false">IF(A24="","",IF(D24&lt;0.6,"NC",ROUND(SUMIFS(14_HISTORICO!$J$2:$J$2001,14_HISTORICO!$A$2:$A$2001,A24,14_HISTORICO!$C$2:$C$2001,B24,14_HISTORICO!$F$2:$F$2001,"IND")/SUMIFS(14_HISTORICO!$H$2:$H$2001,14_HISTORICO!$A$2:$A$2001,A24,14_HISTORICO!$C$2:$C$2001,B24,14_HISTORICO!$F$2:$F$2001,"IND",14_HISTORICO!$I$2:$I$2001,"&lt;&gt;"),0)))</f>
        <v/>
      </c>
      <c r="I24" s="31" t="str">
        <f aca="false">IF(A24="","",IF(E24&lt;0.6,"NC",ROUND(SUMIFS(14_HISTORICO!$J$2:$J$2001,14_HISTORICO!$A$2:$A$2001,A24,14_HISTORICO!$C$2:$C$2001,B24,14_HISTORICO!$F$2:$F$2001,"DEF")/SUMIFS(14_HISTORICO!$H$2:$H$2001,14_HISTORICO!$A$2:$A$2001,A24,14_HISTORICO!$C$2:$C$2001,B24,14_HISTORICO!$F$2:$F$2001,"DEF",14_HISTORICO!$I$2:$I$2001,"&lt;&gt;"),0)))</f>
        <v/>
      </c>
      <c r="J24" s="31" t="str">
        <f aca="false">IF(A24="","",IF(F24&lt;0.6,"NC",ROUND(SUMIFS(14_HISTORICO!$J$2:$J$2001,14_HISTORICO!$A$2:$A$2001,A24,14_HISTORICO!$C$2:$C$2001,B24,14_HISTORICO!$F$2:$F$2001,"PRO")/SUMIFS(14_HISTORICO!$H$2:$H$2001,14_HISTORICO!$A$2:$A$2001,A24,14_HISTORICO!$C$2:$C$2001,B24,14_HISTORICO!$F$2:$F$2001,"PRO",14_HISTORICO!$I$2:$I$2001,"&lt;&gt;"),0)))</f>
        <v/>
      </c>
      <c r="K24" s="31" t="str">
        <f aca="false">IF(A24="","",IF(COUNTIF(G24:J24,"NC")&gt;0,"NC",ROUND(G24*01_CONFIG!$B$18+H24*01_CONFIG!$B$19+I24*01_CONFIG!$B$20+J24*01_CONFIG!$B$21,0)))</f>
        <v/>
      </c>
      <c r="L24" s="16" t="str">
        <f aca="false">IF(OR(K24="",K24="NC"),"",LOOKUP(K24,16_LISTAS!$G$4:$G$8,16_LISTAS!$H$4:$H$8))</f>
        <v/>
      </c>
      <c r="M24" s="16" t="str">
        <f aca="false">IF(A24="","",IF(MIN(C24:F24)&lt;0.6,"NO CONCLUYENTE",IF(MIN(C24:F24)&lt;0.8,"CON RESERVAS","CONCLUYENTE")))</f>
        <v/>
      </c>
      <c r="N24" s="16" t="str">
        <f aca="false">IF(OR(K24="",K24="NC"),"",RANK(K24,$K$4:$K$43))</f>
        <v/>
      </c>
    </row>
    <row r="25" customFormat="false" ht="15" hidden="false" customHeight="false" outlineLevel="0" collapsed="false">
      <c r="A25" s="9"/>
      <c r="B25" s="11"/>
      <c r="C25" s="29" t="str">
        <f aca="false">IF(A25="","",SUMIFS(14_HISTORICO!$H$2:$H$2001,14_HISTORICO!$A$2:$A$2001,A25,14_HISTORICO!$C$2:$C$2001,B25,14_HISTORICO!$F$2:$F$2001,"FIN",14_HISTORICO!$I$2:$I$2001,"&lt;&gt;")/100)</f>
        <v/>
      </c>
      <c r="D25" s="29" t="str">
        <f aca="false">IF(A25="","",SUMIFS(14_HISTORICO!$H$2:$H$2001,14_HISTORICO!$A$2:$A$2001,A25,14_HISTORICO!$C$2:$C$2001,B25,14_HISTORICO!$F$2:$F$2001,"IND",14_HISTORICO!$I$2:$I$2001,"&lt;&gt;")/100)</f>
        <v/>
      </c>
      <c r="E25" s="29" t="str">
        <f aca="false">IF(A25="","",SUMIFS(14_HISTORICO!$H$2:$H$2001,14_HISTORICO!$A$2:$A$2001,A25,14_HISTORICO!$C$2:$C$2001,B25,14_HISTORICO!$F$2:$F$2001,"DEF",14_HISTORICO!$I$2:$I$2001,"&lt;&gt;")/100)</f>
        <v/>
      </c>
      <c r="F25" s="29" t="str">
        <f aca="false">IF(A25="","",SUMIFS(14_HISTORICO!$H$2:$H$2001,14_HISTORICO!$A$2:$A$2001,A25,14_HISTORICO!$C$2:$C$2001,B25,14_HISTORICO!$F$2:$F$2001,"PRO",14_HISTORICO!$I$2:$I$2001,"&lt;&gt;")/100)</f>
        <v/>
      </c>
      <c r="G25" s="31" t="str">
        <f aca="false">IF(A25="","",IF(C25&lt;0.6,"NC",ROUND(SUMIFS(14_HISTORICO!$J$2:$J$2001,14_HISTORICO!$A$2:$A$2001,A25,14_HISTORICO!$C$2:$C$2001,B25,14_HISTORICO!$F$2:$F$2001,"FIN")/SUMIFS(14_HISTORICO!$H$2:$H$2001,14_HISTORICO!$A$2:$A$2001,A25,14_HISTORICO!$C$2:$C$2001,B25,14_HISTORICO!$F$2:$F$2001,"FIN",14_HISTORICO!$I$2:$I$2001,"&lt;&gt;"),0)))</f>
        <v/>
      </c>
      <c r="H25" s="31" t="str">
        <f aca="false">IF(A25="","",IF(D25&lt;0.6,"NC",ROUND(SUMIFS(14_HISTORICO!$J$2:$J$2001,14_HISTORICO!$A$2:$A$2001,A25,14_HISTORICO!$C$2:$C$2001,B25,14_HISTORICO!$F$2:$F$2001,"IND")/SUMIFS(14_HISTORICO!$H$2:$H$2001,14_HISTORICO!$A$2:$A$2001,A25,14_HISTORICO!$C$2:$C$2001,B25,14_HISTORICO!$F$2:$F$2001,"IND",14_HISTORICO!$I$2:$I$2001,"&lt;&gt;"),0)))</f>
        <v/>
      </c>
      <c r="I25" s="31" t="str">
        <f aca="false">IF(A25="","",IF(E25&lt;0.6,"NC",ROUND(SUMIFS(14_HISTORICO!$J$2:$J$2001,14_HISTORICO!$A$2:$A$2001,A25,14_HISTORICO!$C$2:$C$2001,B25,14_HISTORICO!$F$2:$F$2001,"DEF")/SUMIFS(14_HISTORICO!$H$2:$H$2001,14_HISTORICO!$A$2:$A$2001,A25,14_HISTORICO!$C$2:$C$2001,B25,14_HISTORICO!$F$2:$F$2001,"DEF",14_HISTORICO!$I$2:$I$2001,"&lt;&gt;"),0)))</f>
        <v/>
      </c>
      <c r="J25" s="31" t="str">
        <f aca="false">IF(A25="","",IF(F25&lt;0.6,"NC",ROUND(SUMIFS(14_HISTORICO!$J$2:$J$2001,14_HISTORICO!$A$2:$A$2001,A25,14_HISTORICO!$C$2:$C$2001,B25,14_HISTORICO!$F$2:$F$2001,"PRO")/SUMIFS(14_HISTORICO!$H$2:$H$2001,14_HISTORICO!$A$2:$A$2001,A25,14_HISTORICO!$C$2:$C$2001,B25,14_HISTORICO!$F$2:$F$2001,"PRO",14_HISTORICO!$I$2:$I$2001,"&lt;&gt;"),0)))</f>
        <v/>
      </c>
      <c r="K25" s="31" t="str">
        <f aca="false">IF(A25="","",IF(COUNTIF(G25:J25,"NC")&gt;0,"NC",ROUND(G25*01_CONFIG!$B$18+H25*01_CONFIG!$B$19+I25*01_CONFIG!$B$20+J25*01_CONFIG!$B$21,0)))</f>
        <v/>
      </c>
      <c r="L25" s="16" t="str">
        <f aca="false">IF(OR(K25="",K25="NC"),"",LOOKUP(K25,16_LISTAS!$G$4:$G$8,16_LISTAS!$H$4:$H$8))</f>
        <v/>
      </c>
      <c r="M25" s="16" t="str">
        <f aca="false">IF(A25="","",IF(MIN(C25:F25)&lt;0.6,"NO CONCLUYENTE",IF(MIN(C25:F25)&lt;0.8,"CON RESERVAS","CONCLUYENTE")))</f>
        <v/>
      </c>
      <c r="N25" s="16" t="str">
        <f aca="false">IF(OR(K25="",K25="NC"),"",RANK(K25,$K$4:$K$43))</f>
        <v/>
      </c>
    </row>
    <row r="26" customFormat="false" ht="15" hidden="false" customHeight="false" outlineLevel="0" collapsed="false">
      <c r="A26" s="9"/>
      <c r="B26" s="11"/>
      <c r="C26" s="29" t="str">
        <f aca="false">IF(A26="","",SUMIFS(14_HISTORICO!$H$2:$H$2001,14_HISTORICO!$A$2:$A$2001,A26,14_HISTORICO!$C$2:$C$2001,B26,14_HISTORICO!$F$2:$F$2001,"FIN",14_HISTORICO!$I$2:$I$2001,"&lt;&gt;")/100)</f>
        <v/>
      </c>
      <c r="D26" s="29" t="str">
        <f aca="false">IF(A26="","",SUMIFS(14_HISTORICO!$H$2:$H$2001,14_HISTORICO!$A$2:$A$2001,A26,14_HISTORICO!$C$2:$C$2001,B26,14_HISTORICO!$F$2:$F$2001,"IND",14_HISTORICO!$I$2:$I$2001,"&lt;&gt;")/100)</f>
        <v/>
      </c>
      <c r="E26" s="29" t="str">
        <f aca="false">IF(A26="","",SUMIFS(14_HISTORICO!$H$2:$H$2001,14_HISTORICO!$A$2:$A$2001,A26,14_HISTORICO!$C$2:$C$2001,B26,14_HISTORICO!$F$2:$F$2001,"DEF",14_HISTORICO!$I$2:$I$2001,"&lt;&gt;")/100)</f>
        <v/>
      </c>
      <c r="F26" s="29" t="str">
        <f aca="false">IF(A26="","",SUMIFS(14_HISTORICO!$H$2:$H$2001,14_HISTORICO!$A$2:$A$2001,A26,14_HISTORICO!$C$2:$C$2001,B26,14_HISTORICO!$F$2:$F$2001,"PRO",14_HISTORICO!$I$2:$I$2001,"&lt;&gt;")/100)</f>
        <v/>
      </c>
      <c r="G26" s="31" t="str">
        <f aca="false">IF(A26="","",IF(C26&lt;0.6,"NC",ROUND(SUMIFS(14_HISTORICO!$J$2:$J$2001,14_HISTORICO!$A$2:$A$2001,A26,14_HISTORICO!$C$2:$C$2001,B26,14_HISTORICO!$F$2:$F$2001,"FIN")/SUMIFS(14_HISTORICO!$H$2:$H$2001,14_HISTORICO!$A$2:$A$2001,A26,14_HISTORICO!$C$2:$C$2001,B26,14_HISTORICO!$F$2:$F$2001,"FIN",14_HISTORICO!$I$2:$I$2001,"&lt;&gt;"),0)))</f>
        <v/>
      </c>
      <c r="H26" s="31" t="str">
        <f aca="false">IF(A26="","",IF(D26&lt;0.6,"NC",ROUND(SUMIFS(14_HISTORICO!$J$2:$J$2001,14_HISTORICO!$A$2:$A$2001,A26,14_HISTORICO!$C$2:$C$2001,B26,14_HISTORICO!$F$2:$F$2001,"IND")/SUMIFS(14_HISTORICO!$H$2:$H$2001,14_HISTORICO!$A$2:$A$2001,A26,14_HISTORICO!$C$2:$C$2001,B26,14_HISTORICO!$F$2:$F$2001,"IND",14_HISTORICO!$I$2:$I$2001,"&lt;&gt;"),0)))</f>
        <v/>
      </c>
      <c r="I26" s="31" t="str">
        <f aca="false">IF(A26="","",IF(E26&lt;0.6,"NC",ROUND(SUMIFS(14_HISTORICO!$J$2:$J$2001,14_HISTORICO!$A$2:$A$2001,A26,14_HISTORICO!$C$2:$C$2001,B26,14_HISTORICO!$F$2:$F$2001,"DEF")/SUMIFS(14_HISTORICO!$H$2:$H$2001,14_HISTORICO!$A$2:$A$2001,A26,14_HISTORICO!$C$2:$C$2001,B26,14_HISTORICO!$F$2:$F$2001,"DEF",14_HISTORICO!$I$2:$I$2001,"&lt;&gt;"),0)))</f>
        <v/>
      </c>
      <c r="J26" s="31" t="str">
        <f aca="false">IF(A26="","",IF(F26&lt;0.6,"NC",ROUND(SUMIFS(14_HISTORICO!$J$2:$J$2001,14_HISTORICO!$A$2:$A$2001,A26,14_HISTORICO!$C$2:$C$2001,B26,14_HISTORICO!$F$2:$F$2001,"PRO")/SUMIFS(14_HISTORICO!$H$2:$H$2001,14_HISTORICO!$A$2:$A$2001,A26,14_HISTORICO!$C$2:$C$2001,B26,14_HISTORICO!$F$2:$F$2001,"PRO",14_HISTORICO!$I$2:$I$2001,"&lt;&gt;"),0)))</f>
        <v/>
      </c>
      <c r="K26" s="31" t="str">
        <f aca="false">IF(A26="","",IF(COUNTIF(G26:J26,"NC")&gt;0,"NC",ROUND(G26*01_CONFIG!$B$18+H26*01_CONFIG!$B$19+I26*01_CONFIG!$B$20+J26*01_CONFIG!$B$21,0)))</f>
        <v/>
      </c>
      <c r="L26" s="16" t="str">
        <f aca="false">IF(OR(K26="",K26="NC"),"",LOOKUP(K26,16_LISTAS!$G$4:$G$8,16_LISTAS!$H$4:$H$8))</f>
        <v/>
      </c>
      <c r="M26" s="16" t="str">
        <f aca="false">IF(A26="","",IF(MIN(C26:F26)&lt;0.6,"NO CONCLUYENTE",IF(MIN(C26:F26)&lt;0.8,"CON RESERVAS","CONCLUYENTE")))</f>
        <v/>
      </c>
      <c r="N26" s="16" t="str">
        <f aca="false">IF(OR(K26="",K26="NC"),"",RANK(K26,$K$4:$K$43))</f>
        <v/>
      </c>
    </row>
    <row r="27" customFormat="false" ht="15" hidden="false" customHeight="false" outlineLevel="0" collapsed="false">
      <c r="A27" s="9"/>
      <c r="B27" s="11"/>
      <c r="C27" s="29" t="str">
        <f aca="false">IF(A27="","",SUMIFS(14_HISTORICO!$H$2:$H$2001,14_HISTORICO!$A$2:$A$2001,A27,14_HISTORICO!$C$2:$C$2001,B27,14_HISTORICO!$F$2:$F$2001,"FIN",14_HISTORICO!$I$2:$I$2001,"&lt;&gt;")/100)</f>
        <v/>
      </c>
      <c r="D27" s="29" t="str">
        <f aca="false">IF(A27="","",SUMIFS(14_HISTORICO!$H$2:$H$2001,14_HISTORICO!$A$2:$A$2001,A27,14_HISTORICO!$C$2:$C$2001,B27,14_HISTORICO!$F$2:$F$2001,"IND",14_HISTORICO!$I$2:$I$2001,"&lt;&gt;")/100)</f>
        <v/>
      </c>
      <c r="E27" s="29" t="str">
        <f aca="false">IF(A27="","",SUMIFS(14_HISTORICO!$H$2:$H$2001,14_HISTORICO!$A$2:$A$2001,A27,14_HISTORICO!$C$2:$C$2001,B27,14_HISTORICO!$F$2:$F$2001,"DEF",14_HISTORICO!$I$2:$I$2001,"&lt;&gt;")/100)</f>
        <v/>
      </c>
      <c r="F27" s="29" t="str">
        <f aca="false">IF(A27="","",SUMIFS(14_HISTORICO!$H$2:$H$2001,14_HISTORICO!$A$2:$A$2001,A27,14_HISTORICO!$C$2:$C$2001,B27,14_HISTORICO!$F$2:$F$2001,"PRO",14_HISTORICO!$I$2:$I$2001,"&lt;&gt;")/100)</f>
        <v/>
      </c>
      <c r="G27" s="31" t="str">
        <f aca="false">IF(A27="","",IF(C27&lt;0.6,"NC",ROUND(SUMIFS(14_HISTORICO!$J$2:$J$2001,14_HISTORICO!$A$2:$A$2001,A27,14_HISTORICO!$C$2:$C$2001,B27,14_HISTORICO!$F$2:$F$2001,"FIN")/SUMIFS(14_HISTORICO!$H$2:$H$2001,14_HISTORICO!$A$2:$A$2001,A27,14_HISTORICO!$C$2:$C$2001,B27,14_HISTORICO!$F$2:$F$2001,"FIN",14_HISTORICO!$I$2:$I$2001,"&lt;&gt;"),0)))</f>
        <v/>
      </c>
      <c r="H27" s="31" t="str">
        <f aca="false">IF(A27="","",IF(D27&lt;0.6,"NC",ROUND(SUMIFS(14_HISTORICO!$J$2:$J$2001,14_HISTORICO!$A$2:$A$2001,A27,14_HISTORICO!$C$2:$C$2001,B27,14_HISTORICO!$F$2:$F$2001,"IND")/SUMIFS(14_HISTORICO!$H$2:$H$2001,14_HISTORICO!$A$2:$A$2001,A27,14_HISTORICO!$C$2:$C$2001,B27,14_HISTORICO!$F$2:$F$2001,"IND",14_HISTORICO!$I$2:$I$2001,"&lt;&gt;"),0)))</f>
        <v/>
      </c>
      <c r="I27" s="31" t="str">
        <f aca="false">IF(A27="","",IF(E27&lt;0.6,"NC",ROUND(SUMIFS(14_HISTORICO!$J$2:$J$2001,14_HISTORICO!$A$2:$A$2001,A27,14_HISTORICO!$C$2:$C$2001,B27,14_HISTORICO!$F$2:$F$2001,"DEF")/SUMIFS(14_HISTORICO!$H$2:$H$2001,14_HISTORICO!$A$2:$A$2001,A27,14_HISTORICO!$C$2:$C$2001,B27,14_HISTORICO!$F$2:$F$2001,"DEF",14_HISTORICO!$I$2:$I$2001,"&lt;&gt;"),0)))</f>
        <v/>
      </c>
      <c r="J27" s="31" t="str">
        <f aca="false">IF(A27="","",IF(F27&lt;0.6,"NC",ROUND(SUMIFS(14_HISTORICO!$J$2:$J$2001,14_HISTORICO!$A$2:$A$2001,A27,14_HISTORICO!$C$2:$C$2001,B27,14_HISTORICO!$F$2:$F$2001,"PRO")/SUMIFS(14_HISTORICO!$H$2:$H$2001,14_HISTORICO!$A$2:$A$2001,A27,14_HISTORICO!$C$2:$C$2001,B27,14_HISTORICO!$F$2:$F$2001,"PRO",14_HISTORICO!$I$2:$I$2001,"&lt;&gt;"),0)))</f>
        <v/>
      </c>
      <c r="K27" s="31" t="str">
        <f aca="false">IF(A27="","",IF(COUNTIF(G27:J27,"NC")&gt;0,"NC",ROUND(G27*01_CONFIG!$B$18+H27*01_CONFIG!$B$19+I27*01_CONFIG!$B$20+J27*01_CONFIG!$B$21,0)))</f>
        <v/>
      </c>
      <c r="L27" s="16" t="str">
        <f aca="false">IF(OR(K27="",K27="NC"),"",LOOKUP(K27,16_LISTAS!$G$4:$G$8,16_LISTAS!$H$4:$H$8))</f>
        <v/>
      </c>
      <c r="M27" s="16" t="str">
        <f aca="false">IF(A27="","",IF(MIN(C27:F27)&lt;0.6,"NO CONCLUYENTE",IF(MIN(C27:F27)&lt;0.8,"CON RESERVAS","CONCLUYENTE")))</f>
        <v/>
      </c>
      <c r="N27" s="16" t="str">
        <f aca="false">IF(OR(K27="",K27="NC"),"",RANK(K27,$K$4:$K$43))</f>
        <v/>
      </c>
    </row>
    <row r="28" customFormat="false" ht="15" hidden="false" customHeight="false" outlineLevel="0" collapsed="false">
      <c r="A28" s="9"/>
      <c r="B28" s="11"/>
      <c r="C28" s="29" t="str">
        <f aca="false">IF(A28="","",SUMIFS(14_HISTORICO!$H$2:$H$2001,14_HISTORICO!$A$2:$A$2001,A28,14_HISTORICO!$C$2:$C$2001,B28,14_HISTORICO!$F$2:$F$2001,"FIN",14_HISTORICO!$I$2:$I$2001,"&lt;&gt;")/100)</f>
        <v/>
      </c>
      <c r="D28" s="29" t="str">
        <f aca="false">IF(A28="","",SUMIFS(14_HISTORICO!$H$2:$H$2001,14_HISTORICO!$A$2:$A$2001,A28,14_HISTORICO!$C$2:$C$2001,B28,14_HISTORICO!$F$2:$F$2001,"IND",14_HISTORICO!$I$2:$I$2001,"&lt;&gt;")/100)</f>
        <v/>
      </c>
      <c r="E28" s="29" t="str">
        <f aca="false">IF(A28="","",SUMIFS(14_HISTORICO!$H$2:$H$2001,14_HISTORICO!$A$2:$A$2001,A28,14_HISTORICO!$C$2:$C$2001,B28,14_HISTORICO!$F$2:$F$2001,"DEF",14_HISTORICO!$I$2:$I$2001,"&lt;&gt;")/100)</f>
        <v/>
      </c>
      <c r="F28" s="29" t="str">
        <f aca="false">IF(A28="","",SUMIFS(14_HISTORICO!$H$2:$H$2001,14_HISTORICO!$A$2:$A$2001,A28,14_HISTORICO!$C$2:$C$2001,B28,14_HISTORICO!$F$2:$F$2001,"PRO",14_HISTORICO!$I$2:$I$2001,"&lt;&gt;")/100)</f>
        <v/>
      </c>
      <c r="G28" s="31" t="str">
        <f aca="false">IF(A28="","",IF(C28&lt;0.6,"NC",ROUND(SUMIFS(14_HISTORICO!$J$2:$J$2001,14_HISTORICO!$A$2:$A$2001,A28,14_HISTORICO!$C$2:$C$2001,B28,14_HISTORICO!$F$2:$F$2001,"FIN")/SUMIFS(14_HISTORICO!$H$2:$H$2001,14_HISTORICO!$A$2:$A$2001,A28,14_HISTORICO!$C$2:$C$2001,B28,14_HISTORICO!$F$2:$F$2001,"FIN",14_HISTORICO!$I$2:$I$2001,"&lt;&gt;"),0)))</f>
        <v/>
      </c>
      <c r="H28" s="31" t="str">
        <f aca="false">IF(A28="","",IF(D28&lt;0.6,"NC",ROUND(SUMIFS(14_HISTORICO!$J$2:$J$2001,14_HISTORICO!$A$2:$A$2001,A28,14_HISTORICO!$C$2:$C$2001,B28,14_HISTORICO!$F$2:$F$2001,"IND")/SUMIFS(14_HISTORICO!$H$2:$H$2001,14_HISTORICO!$A$2:$A$2001,A28,14_HISTORICO!$C$2:$C$2001,B28,14_HISTORICO!$F$2:$F$2001,"IND",14_HISTORICO!$I$2:$I$2001,"&lt;&gt;"),0)))</f>
        <v/>
      </c>
      <c r="I28" s="31" t="str">
        <f aca="false">IF(A28="","",IF(E28&lt;0.6,"NC",ROUND(SUMIFS(14_HISTORICO!$J$2:$J$2001,14_HISTORICO!$A$2:$A$2001,A28,14_HISTORICO!$C$2:$C$2001,B28,14_HISTORICO!$F$2:$F$2001,"DEF")/SUMIFS(14_HISTORICO!$H$2:$H$2001,14_HISTORICO!$A$2:$A$2001,A28,14_HISTORICO!$C$2:$C$2001,B28,14_HISTORICO!$F$2:$F$2001,"DEF",14_HISTORICO!$I$2:$I$2001,"&lt;&gt;"),0)))</f>
        <v/>
      </c>
      <c r="J28" s="31" t="str">
        <f aca="false">IF(A28="","",IF(F28&lt;0.6,"NC",ROUND(SUMIFS(14_HISTORICO!$J$2:$J$2001,14_HISTORICO!$A$2:$A$2001,A28,14_HISTORICO!$C$2:$C$2001,B28,14_HISTORICO!$F$2:$F$2001,"PRO")/SUMIFS(14_HISTORICO!$H$2:$H$2001,14_HISTORICO!$A$2:$A$2001,A28,14_HISTORICO!$C$2:$C$2001,B28,14_HISTORICO!$F$2:$F$2001,"PRO",14_HISTORICO!$I$2:$I$2001,"&lt;&gt;"),0)))</f>
        <v/>
      </c>
      <c r="K28" s="31" t="str">
        <f aca="false">IF(A28="","",IF(COUNTIF(G28:J28,"NC")&gt;0,"NC",ROUND(G28*01_CONFIG!$B$18+H28*01_CONFIG!$B$19+I28*01_CONFIG!$B$20+J28*01_CONFIG!$B$21,0)))</f>
        <v/>
      </c>
      <c r="L28" s="16" t="str">
        <f aca="false">IF(OR(K28="",K28="NC"),"",LOOKUP(K28,16_LISTAS!$G$4:$G$8,16_LISTAS!$H$4:$H$8))</f>
        <v/>
      </c>
      <c r="M28" s="16" t="str">
        <f aca="false">IF(A28="","",IF(MIN(C28:F28)&lt;0.6,"NO CONCLUYENTE",IF(MIN(C28:F28)&lt;0.8,"CON RESERVAS","CONCLUYENTE")))</f>
        <v/>
      </c>
      <c r="N28" s="16" t="str">
        <f aca="false">IF(OR(K28="",K28="NC"),"",RANK(K28,$K$4:$K$43))</f>
        <v/>
      </c>
    </row>
    <row r="29" customFormat="false" ht="15" hidden="false" customHeight="false" outlineLevel="0" collapsed="false">
      <c r="A29" s="9"/>
      <c r="B29" s="11"/>
      <c r="C29" s="29" t="str">
        <f aca="false">IF(A29="","",SUMIFS(14_HISTORICO!$H$2:$H$2001,14_HISTORICO!$A$2:$A$2001,A29,14_HISTORICO!$C$2:$C$2001,B29,14_HISTORICO!$F$2:$F$2001,"FIN",14_HISTORICO!$I$2:$I$2001,"&lt;&gt;")/100)</f>
        <v/>
      </c>
      <c r="D29" s="29" t="str">
        <f aca="false">IF(A29="","",SUMIFS(14_HISTORICO!$H$2:$H$2001,14_HISTORICO!$A$2:$A$2001,A29,14_HISTORICO!$C$2:$C$2001,B29,14_HISTORICO!$F$2:$F$2001,"IND",14_HISTORICO!$I$2:$I$2001,"&lt;&gt;")/100)</f>
        <v/>
      </c>
      <c r="E29" s="29" t="str">
        <f aca="false">IF(A29="","",SUMIFS(14_HISTORICO!$H$2:$H$2001,14_HISTORICO!$A$2:$A$2001,A29,14_HISTORICO!$C$2:$C$2001,B29,14_HISTORICO!$F$2:$F$2001,"DEF",14_HISTORICO!$I$2:$I$2001,"&lt;&gt;")/100)</f>
        <v/>
      </c>
      <c r="F29" s="29" t="str">
        <f aca="false">IF(A29="","",SUMIFS(14_HISTORICO!$H$2:$H$2001,14_HISTORICO!$A$2:$A$2001,A29,14_HISTORICO!$C$2:$C$2001,B29,14_HISTORICO!$F$2:$F$2001,"PRO",14_HISTORICO!$I$2:$I$2001,"&lt;&gt;")/100)</f>
        <v/>
      </c>
      <c r="G29" s="31" t="str">
        <f aca="false">IF(A29="","",IF(C29&lt;0.6,"NC",ROUND(SUMIFS(14_HISTORICO!$J$2:$J$2001,14_HISTORICO!$A$2:$A$2001,A29,14_HISTORICO!$C$2:$C$2001,B29,14_HISTORICO!$F$2:$F$2001,"FIN")/SUMIFS(14_HISTORICO!$H$2:$H$2001,14_HISTORICO!$A$2:$A$2001,A29,14_HISTORICO!$C$2:$C$2001,B29,14_HISTORICO!$F$2:$F$2001,"FIN",14_HISTORICO!$I$2:$I$2001,"&lt;&gt;"),0)))</f>
        <v/>
      </c>
      <c r="H29" s="31" t="str">
        <f aca="false">IF(A29="","",IF(D29&lt;0.6,"NC",ROUND(SUMIFS(14_HISTORICO!$J$2:$J$2001,14_HISTORICO!$A$2:$A$2001,A29,14_HISTORICO!$C$2:$C$2001,B29,14_HISTORICO!$F$2:$F$2001,"IND")/SUMIFS(14_HISTORICO!$H$2:$H$2001,14_HISTORICO!$A$2:$A$2001,A29,14_HISTORICO!$C$2:$C$2001,B29,14_HISTORICO!$F$2:$F$2001,"IND",14_HISTORICO!$I$2:$I$2001,"&lt;&gt;"),0)))</f>
        <v/>
      </c>
      <c r="I29" s="31" t="str">
        <f aca="false">IF(A29="","",IF(E29&lt;0.6,"NC",ROUND(SUMIFS(14_HISTORICO!$J$2:$J$2001,14_HISTORICO!$A$2:$A$2001,A29,14_HISTORICO!$C$2:$C$2001,B29,14_HISTORICO!$F$2:$F$2001,"DEF")/SUMIFS(14_HISTORICO!$H$2:$H$2001,14_HISTORICO!$A$2:$A$2001,A29,14_HISTORICO!$C$2:$C$2001,B29,14_HISTORICO!$F$2:$F$2001,"DEF",14_HISTORICO!$I$2:$I$2001,"&lt;&gt;"),0)))</f>
        <v/>
      </c>
      <c r="J29" s="31" t="str">
        <f aca="false">IF(A29="","",IF(F29&lt;0.6,"NC",ROUND(SUMIFS(14_HISTORICO!$J$2:$J$2001,14_HISTORICO!$A$2:$A$2001,A29,14_HISTORICO!$C$2:$C$2001,B29,14_HISTORICO!$F$2:$F$2001,"PRO")/SUMIFS(14_HISTORICO!$H$2:$H$2001,14_HISTORICO!$A$2:$A$2001,A29,14_HISTORICO!$C$2:$C$2001,B29,14_HISTORICO!$F$2:$F$2001,"PRO",14_HISTORICO!$I$2:$I$2001,"&lt;&gt;"),0)))</f>
        <v/>
      </c>
      <c r="K29" s="31" t="str">
        <f aca="false">IF(A29="","",IF(COUNTIF(G29:J29,"NC")&gt;0,"NC",ROUND(G29*01_CONFIG!$B$18+H29*01_CONFIG!$B$19+I29*01_CONFIG!$B$20+J29*01_CONFIG!$B$21,0)))</f>
        <v/>
      </c>
      <c r="L29" s="16" t="str">
        <f aca="false">IF(OR(K29="",K29="NC"),"",LOOKUP(K29,16_LISTAS!$G$4:$G$8,16_LISTAS!$H$4:$H$8))</f>
        <v/>
      </c>
      <c r="M29" s="16" t="str">
        <f aca="false">IF(A29="","",IF(MIN(C29:F29)&lt;0.6,"NO CONCLUYENTE",IF(MIN(C29:F29)&lt;0.8,"CON RESERVAS","CONCLUYENTE")))</f>
        <v/>
      </c>
      <c r="N29" s="16" t="str">
        <f aca="false">IF(OR(K29="",K29="NC"),"",RANK(K29,$K$4:$K$43))</f>
        <v/>
      </c>
    </row>
    <row r="30" customFormat="false" ht="15" hidden="false" customHeight="false" outlineLevel="0" collapsed="false">
      <c r="A30" s="9"/>
      <c r="B30" s="11"/>
      <c r="C30" s="29" t="str">
        <f aca="false">IF(A30="","",SUMIFS(14_HISTORICO!$H$2:$H$2001,14_HISTORICO!$A$2:$A$2001,A30,14_HISTORICO!$C$2:$C$2001,B30,14_HISTORICO!$F$2:$F$2001,"FIN",14_HISTORICO!$I$2:$I$2001,"&lt;&gt;")/100)</f>
        <v/>
      </c>
      <c r="D30" s="29" t="str">
        <f aca="false">IF(A30="","",SUMIFS(14_HISTORICO!$H$2:$H$2001,14_HISTORICO!$A$2:$A$2001,A30,14_HISTORICO!$C$2:$C$2001,B30,14_HISTORICO!$F$2:$F$2001,"IND",14_HISTORICO!$I$2:$I$2001,"&lt;&gt;")/100)</f>
        <v/>
      </c>
      <c r="E30" s="29" t="str">
        <f aca="false">IF(A30="","",SUMIFS(14_HISTORICO!$H$2:$H$2001,14_HISTORICO!$A$2:$A$2001,A30,14_HISTORICO!$C$2:$C$2001,B30,14_HISTORICO!$F$2:$F$2001,"DEF",14_HISTORICO!$I$2:$I$2001,"&lt;&gt;")/100)</f>
        <v/>
      </c>
      <c r="F30" s="29" t="str">
        <f aca="false">IF(A30="","",SUMIFS(14_HISTORICO!$H$2:$H$2001,14_HISTORICO!$A$2:$A$2001,A30,14_HISTORICO!$C$2:$C$2001,B30,14_HISTORICO!$F$2:$F$2001,"PRO",14_HISTORICO!$I$2:$I$2001,"&lt;&gt;")/100)</f>
        <v/>
      </c>
      <c r="G30" s="31" t="str">
        <f aca="false">IF(A30="","",IF(C30&lt;0.6,"NC",ROUND(SUMIFS(14_HISTORICO!$J$2:$J$2001,14_HISTORICO!$A$2:$A$2001,A30,14_HISTORICO!$C$2:$C$2001,B30,14_HISTORICO!$F$2:$F$2001,"FIN")/SUMIFS(14_HISTORICO!$H$2:$H$2001,14_HISTORICO!$A$2:$A$2001,A30,14_HISTORICO!$C$2:$C$2001,B30,14_HISTORICO!$F$2:$F$2001,"FIN",14_HISTORICO!$I$2:$I$2001,"&lt;&gt;"),0)))</f>
        <v/>
      </c>
      <c r="H30" s="31" t="str">
        <f aca="false">IF(A30="","",IF(D30&lt;0.6,"NC",ROUND(SUMIFS(14_HISTORICO!$J$2:$J$2001,14_HISTORICO!$A$2:$A$2001,A30,14_HISTORICO!$C$2:$C$2001,B30,14_HISTORICO!$F$2:$F$2001,"IND")/SUMIFS(14_HISTORICO!$H$2:$H$2001,14_HISTORICO!$A$2:$A$2001,A30,14_HISTORICO!$C$2:$C$2001,B30,14_HISTORICO!$F$2:$F$2001,"IND",14_HISTORICO!$I$2:$I$2001,"&lt;&gt;"),0)))</f>
        <v/>
      </c>
      <c r="I30" s="31" t="str">
        <f aca="false">IF(A30="","",IF(E30&lt;0.6,"NC",ROUND(SUMIFS(14_HISTORICO!$J$2:$J$2001,14_HISTORICO!$A$2:$A$2001,A30,14_HISTORICO!$C$2:$C$2001,B30,14_HISTORICO!$F$2:$F$2001,"DEF")/SUMIFS(14_HISTORICO!$H$2:$H$2001,14_HISTORICO!$A$2:$A$2001,A30,14_HISTORICO!$C$2:$C$2001,B30,14_HISTORICO!$F$2:$F$2001,"DEF",14_HISTORICO!$I$2:$I$2001,"&lt;&gt;"),0)))</f>
        <v/>
      </c>
      <c r="J30" s="31" t="str">
        <f aca="false">IF(A30="","",IF(F30&lt;0.6,"NC",ROUND(SUMIFS(14_HISTORICO!$J$2:$J$2001,14_HISTORICO!$A$2:$A$2001,A30,14_HISTORICO!$C$2:$C$2001,B30,14_HISTORICO!$F$2:$F$2001,"PRO")/SUMIFS(14_HISTORICO!$H$2:$H$2001,14_HISTORICO!$A$2:$A$2001,A30,14_HISTORICO!$C$2:$C$2001,B30,14_HISTORICO!$F$2:$F$2001,"PRO",14_HISTORICO!$I$2:$I$2001,"&lt;&gt;"),0)))</f>
        <v/>
      </c>
      <c r="K30" s="31" t="str">
        <f aca="false">IF(A30="","",IF(COUNTIF(G30:J30,"NC")&gt;0,"NC",ROUND(G30*01_CONFIG!$B$18+H30*01_CONFIG!$B$19+I30*01_CONFIG!$B$20+J30*01_CONFIG!$B$21,0)))</f>
        <v/>
      </c>
      <c r="L30" s="16" t="str">
        <f aca="false">IF(OR(K30="",K30="NC"),"",LOOKUP(K30,16_LISTAS!$G$4:$G$8,16_LISTAS!$H$4:$H$8))</f>
        <v/>
      </c>
      <c r="M30" s="16" t="str">
        <f aca="false">IF(A30="","",IF(MIN(C30:F30)&lt;0.6,"NO CONCLUYENTE",IF(MIN(C30:F30)&lt;0.8,"CON RESERVAS","CONCLUYENTE")))</f>
        <v/>
      </c>
      <c r="N30" s="16" t="str">
        <f aca="false">IF(OR(K30="",K30="NC"),"",RANK(K30,$K$4:$K$43))</f>
        <v/>
      </c>
    </row>
    <row r="31" customFormat="false" ht="15" hidden="false" customHeight="false" outlineLevel="0" collapsed="false">
      <c r="A31" s="9"/>
      <c r="B31" s="11"/>
      <c r="C31" s="29" t="str">
        <f aca="false">IF(A31="","",SUMIFS(14_HISTORICO!$H$2:$H$2001,14_HISTORICO!$A$2:$A$2001,A31,14_HISTORICO!$C$2:$C$2001,B31,14_HISTORICO!$F$2:$F$2001,"FIN",14_HISTORICO!$I$2:$I$2001,"&lt;&gt;")/100)</f>
        <v/>
      </c>
      <c r="D31" s="29" t="str">
        <f aca="false">IF(A31="","",SUMIFS(14_HISTORICO!$H$2:$H$2001,14_HISTORICO!$A$2:$A$2001,A31,14_HISTORICO!$C$2:$C$2001,B31,14_HISTORICO!$F$2:$F$2001,"IND",14_HISTORICO!$I$2:$I$2001,"&lt;&gt;")/100)</f>
        <v/>
      </c>
      <c r="E31" s="29" t="str">
        <f aca="false">IF(A31="","",SUMIFS(14_HISTORICO!$H$2:$H$2001,14_HISTORICO!$A$2:$A$2001,A31,14_HISTORICO!$C$2:$C$2001,B31,14_HISTORICO!$F$2:$F$2001,"DEF",14_HISTORICO!$I$2:$I$2001,"&lt;&gt;")/100)</f>
        <v/>
      </c>
      <c r="F31" s="29" t="str">
        <f aca="false">IF(A31="","",SUMIFS(14_HISTORICO!$H$2:$H$2001,14_HISTORICO!$A$2:$A$2001,A31,14_HISTORICO!$C$2:$C$2001,B31,14_HISTORICO!$F$2:$F$2001,"PRO",14_HISTORICO!$I$2:$I$2001,"&lt;&gt;")/100)</f>
        <v/>
      </c>
      <c r="G31" s="31" t="str">
        <f aca="false">IF(A31="","",IF(C31&lt;0.6,"NC",ROUND(SUMIFS(14_HISTORICO!$J$2:$J$2001,14_HISTORICO!$A$2:$A$2001,A31,14_HISTORICO!$C$2:$C$2001,B31,14_HISTORICO!$F$2:$F$2001,"FIN")/SUMIFS(14_HISTORICO!$H$2:$H$2001,14_HISTORICO!$A$2:$A$2001,A31,14_HISTORICO!$C$2:$C$2001,B31,14_HISTORICO!$F$2:$F$2001,"FIN",14_HISTORICO!$I$2:$I$2001,"&lt;&gt;"),0)))</f>
        <v/>
      </c>
      <c r="H31" s="31" t="str">
        <f aca="false">IF(A31="","",IF(D31&lt;0.6,"NC",ROUND(SUMIFS(14_HISTORICO!$J$2:$J$2001,14_HISTORICO!$A$2:$A$2001,A31,14_HISTORICO!$C$2:$C$2001,B31,14_HISTORICO!$F$2:$F$2001,"IND")/SUMIFS(14_HISTORICO!$H$2:$H$2001,14_HISTORICO!$A$2:$A$2001,A31,14_HISTORICO!$C$2:$C$2001,B31,14_HISTORICO!$F$2:$F$2001,"IND",14_HISTORICO!$I$2:$I$2001,"&lt;&gt;"),0)))</f>
        <v/>
      </c>
      <c r="I31" s="31" t="str">
        <f aca="false">IF(A31="","",IF(E31&lt;0.6,"NC",ROUND(SUMIFS(14_HISTORICO!$J$2:$J$2001,14_HISTORICO!$A$2:$A$2001,A31,14_HISTORICO!$C$2:$C$2001,B31,14_HISTORICO!$F$2:$F$2001,"DEF")/SUMIFS(14_HISTORICO!$H$2:$H$2001,14_HISTORICO!$A$2:$A$2001,A31,14_HISTORICO!$C$2:$C$2001,B31,14_HISTORICO!$F$2:$F$2001,"DEF",14_HISTORICO!$I$2:$I$2001,"&lt;&gt;"),0)))</f>
        <v/>
      </c>
      <c r="J31" s="31" t="str">
        <f aca="false">IF(A31="","",IF(F31&lt;0.6,"NC",ROUND(SUMIFS(14_HISTORICO!$J$2:$J$2001,14_HISTORICO!$A$2:$A$2001,A31,14_HISTORICO!$C$2:$C$2001,B31,14_HISTORICO!$F$2:$F$2001,"PRO")/SUMIFS(14_HISTORICO!$H$2:$H$2001,14_HISTORICO!$A$2:$A$2001,A31,14_HISTORICO!$C$2:$C$2001,B31,14_HISTORICO!$F$2:$F$2001,"PRO",14_HISTORICO!$I$2:$I$2001,"&lt;&gt;"),0)))</f>
        <v/>
      </c>
      <c r="K31" s="31" t="str">
        <f aca="false">IF(A31="","",IF(COUNTIF(G31:J31,"NC")&gt;0,"NC",ROUND(G31*01_CONFIG!$B$18+H31*01_CONFIG!$B$19+I31*01_CONFIG!$B$20+J31*01_CONFIG!$B$21,0)))</f>
        <v/>
      </c>
      <c r="L31" s="16" t="str">
        <f aca="false">IF(OR(K31="",K31="NC"),"",LOOKUP(K31,16_LISTAS!$G$4:$G$8,16_LISTAS!$H$4:$H$8))</f>
        <v/>
      </c>
      <c r="M31" s="16" t="str">
        <f aca="false">IF(A31="","",IF(MIN(C31:F31)&lt;0.6,"NO CONCLUYENTE",IF(MIN(C31:F31)&lt;0.8,"CON RESERVAS","CONCLUYENTE")))</f>
        <v/>
      </c>
      <c r="N31" s="16" t="str">
        <f aca="false">IF(OR(K31="",K31="NC"),"",RANK(K31,$K$4:$K$43))</f>
        <v/>
      </c>
    </row>
    <row r="32" customFormat="false" ht="15" hidden="false" customHeight="false" outlineLevel="0" collapsed="false">
      <c r="A32" s="9"/>
      <c r="B32" s="11"/>
      <c r="C32" s="29" t="str">
        <f aca="false">IF(A32="","",SUMIFS(14_HISTORICO!$H$2:$H$2001,14_HISTORICO!$A$2:$A$2001,A32,14_HISTORICO!$C$2:$C$2001,B32,14_HISTORICO!$F$2:$F$2001,"FIN",14_HISTORICO!$I$2:$I$2001,"&lt;&gt;")/100)</f>
        <v/>
      </c>
      <c r="D32" s="29" t="str">
        <f aca="false">IF(A32="","",SUMIFS(14_HISTORICO!$H$2:$H$2001,14_HISTORICO!$A$2:$A$2001,A32,14_HISTORICO!$C$2:$C$2001,B32,14_HISTORICO!$F$2:$F$2001,"IND",14_HISTORICO!$I$2:$I$2001,"&lt;&gt;")/100)</f>
        <v/>
      </c>
      <c r="E32" s="29" t="str">
        <f aca="false">IF(A32="","",SUMIFS(14_HISTORICO!$H$2:$H$2001,14_HISTORICO!$A$2:$A$2001,A32,14_HISTORICO!$C$2:$C$2001,B32,14_HISTORICO!$F$2:$F$2001,"DEF",14_HISTORICO!$I$2:$I$2001,"&lt;&gt;")/100)</f>
        <v/>
      </c>
      <c r="F32" s="29" t="str">
        <f aca="false">IF(A32="","",SUMIFS(14_HISTORICO!$H$2:$H$2001,14_HISTORICO!$A$2:$A$2001,A32,14_HISTORICO!$C$2:$C$2001,B32,14_HISTORICO!$F$2:$F$2001,"PRO",14_HISTORICO!$I$2:$I$2001,"&lt;&gt;")/100)</f>
        <v/>
      </c>
      <c r="G32" s="31" t="str">
        <f aca="false">IF(A32="","",IF(C32&lt;0.6,"NC",ROUND(SUMIFS(14_HISTORICO!$J$2:$J$2001,14_HISTORICO!$A$2:$A$2001,A32,14_HISTORICO!$C$2:$C$2001,B32,14_HISTORICO!$F$2:$F$2001,"FIN")/SUMIFS(14_HISTORICO!$H$2:$H$2001,14_HISTORICO!$A$2:$A$2001,A32,14_HISTORICO!$C$2:$C$2001,B32,14_HISTORICO!$F$2:$F$2001,"FIN",14_HISTORICO!$I$2:$I$2001,"&lt;&gt;"),0)))</f>
        <v/>
      </c>
      <c r="H32" s="31" t="str">
        <f aca="false">IF(A32="","",IF(D32&lt;0.6,"NC",ROUND(SUMIFS(14_HISTORICO!$J$2:$J$2001,14_HISTORICO!$A$2:$A$2001,A32,14_HISTORICO!$C$2:$C$2001,B32,14_HISTORICO!$F$2:$F$2001,"IND")/SUMIFS(14_HISTORICO!$H$2:$H$2001,14_HISTORICO!$A$2:$A$2001,A32,14_HISTORICO!$C$2:$C$2001,B32,14_HISTORICO!$F$2:$F$2001,"IND",14_HISTORICO!$I$2:$I$2001,"&lt;&gt;"),0)))</f>
        <v/>
      </c>
      <c r="I32" s="31" t="str">
        <f aca="false">IF(A32="","",IF(E32&lt;0.6,"NC",ROUND(SUMIFS(14_HISTORICO!$J$2:$J$2001,14_HISTORICO!$A$2:$A$2001,A32,14_HISTORICO!$C$2:$C$2001,B32,14_HISTORICO!$F$2:$F$2001,"DEF")/SUMIFS(14_HISTORICO!$H$2:$H$2001,14_HISTORICO!$A$2:$A$2001,A32,14_HISTORICO!$C$2:$C$2001,B32,14_HISTORICO!$F$2:$F$2001,"DEF",14_HISTORICO!$I$2:$I$2001,"&lt;&gt;"),0)))</f>
        <v/>
      </c>
      <c r="J32" s="31" t="str">
        <f aca="false">IF(A32="","",IF(F32&lt;0.6,"NC",ROUND(SUMIFS(14_HISTORICO!$J$2:$J$2001,14_HISTORICO!$A$2:$A$2001,A32,14_HISTORICO!$C$2:$C$2001,B32,14_HISTORICO!$F$2:$F$2001,"PRO")/SUMIFS(14_HISTORICO!$H$2:$H$2001,14_HISTORICO!$A$2:$A$2001,A32,14_HISTORICO!$C$2:$C$2001,B32,14_HISTORICO!$F$2:$F$2001,"PRO",14_HISTORICO!$I$2:$I$2001,"&lt;&gt;"),0)))</f>
        <v/>
      </c>
      <c r="K32" s="31" t="str">
        <f aca="false">IF(A32="","",IF(COUNTIF(G32:J32,"NC")&gt;0,"NC",ROUND(G32*01_CONFIG!$B$18+H32*01_CONFIG!$B$19+I32*01_CONFIG!$B$20+J32*01_CONFIG!$B$21,0)))</f>
        <v/>
      </c>
      <c r="L32" s="16" t="str">
        <f aca="false">IF(OR(K32="",K32="NC"),"",LOOKUP(K32,16_LISTAS!$G$4:$G$8,16_LISTAS!$H$4:$H$8))</f>
        <v/>
      </c>
      <c r="M32" s="16" t="str">
        <f aca="false">IF(A32="","",IF(MIN(C32:F32)&lt;0.6,"NO CONCLUYENTE",IF(MIN(C32:F32)&lt;0.8,"CON RESERVAS","CONCLUYENTE")))</f>
        <v/>
      </c>
      <c r="N32" s="16" t="str">
        <f aca="false">IF(OR(K32="",K32="NC"),"",RANK(K32,$K$4:$K$43))</f>
        <v/>
      </c>
    </row>
    <row r="33" customFormat="false" ht="15" hidden="false" customHeight="false" outlineLevel="0" collapsed="false">
      <c r="A33" s="9"/>
      <c r="B33" s="11"/>
      <c r="C33" s="29" t="str">
        <f aca="false">IF(A33="","",SUMIFS(14_HISTORICO!$H$2:$H$2001,14_HISTORICO!$A$2:$A$2001,A33,14_HISTORICO!$C$2:$C$2001,B33,14_HISTORICO!$F$2:$F$2001,"FIN",14_HISTORICO!$I$2:$I$2001,"&lt;&gt;")/100)</f>
        <v/>
      </c>
      <c r="D33" s="29" t="str">
        <f aca="false">IF(A33="","",SUMIFS(14_HISTORICO!$H$2:$H$2001,14_HISTORICO!$A$2:$A$2001,A33,14_HISTORICO!$C$2:$C$2001,B33,14_HISTORICO!$F$2:$F$2001,"IND",14_HISTORICO!$I$2:$I$2001,"&lt;&gt;")/100)</f>
        <v/>
      </c>
      <c r="E33" s="29" t="str">
        <f aca="false">IF(A33="","",SUMIFS(14_HISTORICO!$H$2:$H$2001,14_HISTORICO!$A$2:$A$2001,A33,14_HISTORICO!$C$2:$C$2001,B33,14_HISTORICO!$F$2:$F$2001,"DEF",14_HISTORICO!$I$2:$I$2001,"&lt;&gt;")/100)</f>
        <v/>
      </c>
      <c r="F33" s="29" t="str">
        <f aca="false">IF(A33="","",SUMIFS(14_HISTORICO!$H$2:$H$2001,14_HISTORICO!$A$2:$A$2001,A33,14_HISTORICO!$C$2:$C$2001,B33,14_HISTORICO!$F$2:$F$2001,"PRO",14_HISTORICO!$I$2:$I$2001,"&lt;&gt;")/100)</f>
        <v/>
      </c>
      <c r="G33" s="31" t="str">
        <f aca="false">IF(A33="","",IF(C33&lt;0.6,"NC",ROUND(SUMIFS(14_HISTORICO!$J$2:$J$2001,14_HISTORICO!$A$2:$A$2001,A33,14_HISTORICO!$C$2:$C$2001,B33,14_HISTORICO!$F$2:$F$2001,"FIN")/SUMIFS(14_HISTORICO!$H$2:$H$2001,14_HISTORICO!$A$2:$A$2001,A33,14_HISTORICO!$C$2:$C$2001,B33,14_HISTORICO!$F$2:$F$2001,"FIN",14_HISTORICO!$I$2:$I$2001,"&lt;&gt;"),0)))</f>
        <v/>
      </c>
      <c r="H33" s="31" t="str">
        <f aca="false">IF(A33="","",IF(D33&lt;0.6,"NC",ROUND(SUMIFS(14_HISTORICO!$J$2:$J$2001,14_HISTORICO!$A$2:$A$2001,A33,14_HISTORICO!$C$2:$C$2001,B33,14_HISTORICO!$F$2:$F$2001,"IND")/SUMIFS(14_HISTORICO!$H$2:$H$2001,14_HISTORICO!$A$2:$A$2001,A33,14_HISTORICO!$C$2:$C$2001,B33,14_HISTORICO!$F$2:$F$2001,"IND",14_HISTORICO!$I$2:$I$2001,"&lt;&gt;"),0)))</f>
        <v/>
      </c>
      <c r="I33" s="31" t="str">
        <f aca="false">IF(A33="","",IF(E33&lt;0.6,"NC",ROUND(SUMIFS(14_HISTORICO!$J$2:$J$2001,14_HISTORICO!$A$2:$A$2001,A33,14_HISTORICO!$C$2:$C$2001,B33,14_HISTORICO!$F$2:$F$2001,"DEF")/SUMIFS(14_HISTORICO!$H$2:$H$2001,14_HISTORICO!$A$2:$A$2001,A33,14_HISTORICO!$C$2:$C$2001,B33,14_HISTORICO!$F$2:$F$2001,"DEF",14_HISTORICO!$I$2:$I$2001,"&lt;&gt;"),0)))</f>
        <v/>
      </c>
      <c r="J33" s="31" t="str">
        <f aca="false">IF(A33="","",IF(F33&lt;0.6,"NC",ROUND(SUMIFS(14_HISTORICO!$J$2:$J$2001,14_HISTORICO!$A$2:$A$2001,A33,14_HISTORICO!$C$2:$C$2001,B33,14_HISTORICO!$F$2:$F$2001,"PRO")/SUMIFS(14_HISTORICO!$H$2:$H$2001,14_HISTORICO!$A$2:$A$2001,A33,14_HISTORICO!$C$2:$C$2001,B33,14_HISTORICO!$F$2:$F$2001,"PRO",14_HISTORICO!$I$2:$I$2001,"&lt;&gt;"),0)))</f>
        <v/>
      </c>
      <c r="K33" s="31" t="str">
        <f aca="false">IF(A33="","",IF(COUNTIF(G33:J33,"NC")&gt;0,"NC",ROUND(G33*01_CONFIG!$B$18+H33*01_CONFIG!$B$19+I33*01_CONFIG!$B$20+J33*01_CONFIG!$B$21,0)))</f>
        <v/>
      </c>
      <c r="L33" s="16" t="str">
        <f aca="false">IF(OR(K33="",K33="NC"),"",LOOKUP(K33,16_LISTAS!$G$4:$G$8,16_LISTAS!$H$4:$H$8))</f>
        <v/>
      </c>
      <c r="M33" s="16" t="str">
        <f aca="false">IF(A33="","",IF(MIN(C33:F33)&lt;0.6,"NO CONCLUYENTE",IF(MIN(C33:F33)&lt;0.8,"CON RESERVAS","CONCLUYENTE")))</f>
        <v/>
      </c>
      <c r="N33" s="16" t="str">
        <f aca="false">IF(OR(K33="",K33="NC"),"",RANK(K33,$K$4:$K$43))</f>
        <v/>
      </c>
    </row>
    <row r="34" customFormat="false" ht="15" hidden="false" customHeight="false" outlineLevel="0" collapsed="false">
      <c r="A34" s="9"/>
      <c r="B34" s="11"/>
      <c r="C34" s="29" t="str">
        <f aca="false">IF(A34="","",SUMIFS(14_HISTORICO!$H$2:$H$2001,14_HISTORICO!$A$2:$A$2001,A34,14_HISTORICO!$C$2:$C$2001,B34,14_HISTORICO!$F$2:$F$2001,"FIN",14_HISTORICO!$I$2:$I$2001,"&lt;&gt;")/100)</f>
        <v/>
      </c>
      <c r="D34" s="29" t="str">
        <f aca="false">IF(A34="","",SUMIFS(14_HISTORICO!$H$2:$H$2001,14_HISTORICO!$A$2:$A$2001,A34,14_HISTORICO!$C$2:$C$2001,B34,14_HISTORICO!$F$2:$F$2001,"IND",14_HISTORICO!$I$2:$I$2001,"&lt;&gt;")/100)</f>
        <v/>
      </c>
      <c r="E34" s="29" t="str">
        <f aca="false">IF(A34="","",SUMIFS(14_HISTORICO!$H$2:$H$2001,14_HISTORICO!$A$2:$A$2001,A34,14_HISTORICO!$C$2:$C$2001,B34,14_HISTORICO!$F$2:$F$2001,"DEF",14_HISTORICO!$I$2:$I$2001,"&lt;&gt;")/100)</f>
        <v/>
      </c>
      <c r="F34" s="29" t="str">
        <f aca="false">IF(A34="","",SUMIFS(14_HISTORICO!$H$2:$H$2001,14_HISTORICO!$A$2:$A$2001,A34,14_HISTORICO!$C$2:$C$2001,B34,14_HISTORICO!$F$2:$F$2001,"PRO",14_HISTORICO!$I$2:$I$2001,"&lt;&gt;")/100)</f>
        <v/>
      </c>
      <c r="G34" s="31" t="str">
        <f aca="false">IF(A34="","",IF(C34&lt;0.6,"NC",ROUND(SUMIFS(14_HISTORICO!$J$2:$J$2001,14_HISTORICO!$A$2:$A$2001,A34,14_HISTORICO!$C$2:$C$2001,B34,14_HISTORICO!$F$2:$F$2001,"FIN")/SUMIFS(14_HISTORICO!$H$2:$H$2001,14_HISTORICO!$A$2:$A$2001,A34,14_HISTORICO!$C$2:$C$2001,B34,14_HISTORICO!$F$2:$F$2001,"FIN",14_HISTORICO!$I$2:$I$2001,"&lt;&gt;"),0)))</f>
        <v/>
      </c>
      <c r="H34" s="31" t="str">
        <f aca="false">IF(A34="","",IF(D34&lt;0.6,"NC",ROUND(SUMIFS(14_HISTORICO!$J$2:$J$2001,14_HISTORICO!$A$2:$A$2001,A34,14_HISTORICO!$C$2:$C$2001,B34,14_HISTORICO!$F$2:$F$2001,"IND")/SUMIFS(14_HISTORICO!$H$2:$H$2001,14_HISTORICO!$A$2:$A$2001,A34,14_HISTORICO!$C$2:$C$2001,B34,14_HISTORICO!$F$2:$F$2001,"IND",14_HISTORICO!$I$2:$I$2001,"&lt;&gt;"),0)))</f>
        <v/>
      </c>
      <c r="I34" s="31" t="str">
        <f aca="false">IF(A34="","",IF(E34&lt;0.6,"NC",ROUND(SUMIFS(14_HISTORICO!$J$2:$J$2001,14_HISTORICO!$A$2:$A$2001,A34,14_HISTORICO!$C$2:$C$2001,B34,14_HISTORICO!$F$2:$F$2001,"DEF")/SUMIFS(14_HISTORICO!$H$2:$H$2001,14_HISTORICO!$A$2:$A$2001,A34,14_HISTORICO!$C$2:$C$2001,B34,14_HISTORICO!$F$2:$F$2001,"DEF",14_HISTORICO!$I$2:$I$2001,"&lt;&gt;"),0)))</f>
        <v/>
      </c>
      <c r="J34" s="31" t="str">
        <f aca="false">IF(A34="","",IF(F34&lt;0.6,"NC",ROUND(SUMIFS(14_HISTORICO!$J$2:$J$2001,14_HISTORICO!$A$2:$A$2001,A34,14_HISTORICO!$C$2:$C$2001,B34,14_HISTORICO!$F$2:$F$2001,"PRO")/SUMIFS(14_HISTORICO!$H$2:$H$2001,14_HISTORICO!$A$2:$A$2001,A34,14_HISTORICO!$C$2:$C$2001,B34,14_HISTORICO!$F$2:$F$2001,"PRO",14_HISTORICO!$I$2:$I$2001,"&lt;&gt;"),0)))</f>
        <v/>
      </c>
      <c r="K34" s="31" t="str">
        <f aca="false">IF(A34="","",IF(COUNTIF(G34:J34,"NC")&gt;0,"NC",ROUND(G34*01_CONFIG!$B$18+H34*01_CONFIG!$B$19+I34*01_CONFIG!$B$20+J34*01_CONFIG!$B$21,0)))</f>
        <v/>
      </c>
      <c r="L34" s="16" t="str">
        <f aca="false">IF(OR(K34="",K34="NC"),"",LOOKUP(K34,16_LISTAS!$G$4:$G$8,16_LISTAS!$H$4:$H$8))</f>
        <v/>
      </c>
      <c r="M34" s="16" t="str">
        <f aca="false">IF(A34="","",IF(MIN(C34:F34)&lt;0.6,"NO CONCLUYENTE",IF(MIN(C34:F34)&lt;0.8,"CON RESERVAS","CONCLUYENTE")))</f>
        <v/>
      </c>
      <c r="N34" s="16" t="str">
        <f aca="false">IF(OR(K34="",K34="NC"),"",RANK(K34,$K$4:$K$43))</f>
        <v/>
      </c>
    </row>
    <row r="35" customFormat="false" ht="15" hidden="false" customHeight="false" outlineLevel="0" collapsed="false">
      <c r="A35" s="9"/>
      <c r="B35" s="11"/>
      <c r="C35" s="29" t="str">
        <f aca="false">IF(A35="","",SUMIFS(14_HISTORICO!$H$2:$H$2001,14_HISTORICO!$A$2:$A$2001,A35,14_HISTORICO!$C$2:$C$2001,B35,14_HISTORICO!$F$2:$F$2001,"FIN",14_HISTORICO!$I$2:$I$2001,"&lt;&gt;")/100)</f>
        <v/>
      </c>
      <c r="D35" s="29" t="str">
        <f aca="false">IF(A35="","",SUMIFS(14_HISTORICO!$H$2:$H$2001,14_HISTORICO!$A$2:$A$2001,A35,14_HISTORICO!$C$2:$C$2001,B35,14_HISTORICO!$F$2:$F$2001,"IND",14_HISTORICO!$I$2:$I$2001,"&lt;&gt;")/100)</f>
        <v/>
      </c>
      <c r="E35" s="29" t="str">
        <f aca="false">IF(A35="","",SUMIFS(14_HISTORICO!$H$2:$H$2001,14_HISTORICO!$A$2:$A$2001,A35,14_HISTORICO!$C$2:$C$2001,B35,14_HISTORICO!$F$2:$F$2001,"DEF",14_HISTORICO!$I$2:$I$2001,"&lt;&gt;")/100)</f>
        <v/>
      </c>
      <c r="F35" s="29" t="str">
        <f aca="false">IF(A35="","",SUMIFS(14_HISTORICO!$H$2:$H$2001,14_HISTORICO!$A$2:$A$2001,A35,14_HISTORICO!$C$2:$C$2001,B35,14_HISTORICO!$F$2:$F$2001,"PRO",14_HISTORICO!$I$2:$I$2001,"&lt;&gt;")/100)</f>
        <v/>
      </c>
      <c r="G35" s="31" t="str">
        <f aca="false">IF(A35="","",IF(C35&lt;0.6,"NC",ROUND(SUMIFS(14_HISTORICO!$J$2:$J$2001,14_HISTORICO!$A$2:$A$2001,A35,14_HISTORICO!$C$2:$C$2001,B35,14_HISTORICO!$F$2:$F$2001,"FIN")/SUMIFS(14_HISTORICO!$H$2:$H$2001,14_HISTORICO!$A$2:$A$2001,A35,14_HISTORICO!$C$2:$C$2001,B35,14_HISTORICO!$F$2:$F$2001,"FIN",14_HISTORICO!$I$2:$I$2001,"&lt;&gt;"),0)))</f>
        <v/>
      </c>
      <c r="H35" s="31" t="str">
        <f aca="false">IF(A35="","",IF(D35&lt;0.6,"NC",ROUND(SUMIFS(14_HISTORICO!$J$2:$J$2001,14_HISTORICO!$A$2:$A$2001,A35,14_HISTORICO!$C$2:$C$2001,B35,14_HISTORICO!$F$2:$F$2001,"IND")/SUMIFS(14_HISTORICO!$H$2:$H$2001,14_HISTORICO!$A$2:$A$2001,A35,14_HISTORICO!$C$2:$C$2001,B35,14_HISTORICO!$F$2:$F$2001,"IND",14_HISTORICO!$I$2:$I$2001,"&lt;&gt;"),0)))</f>
        <v/>
      </c>
      <c r="I35" s="31" t="str">
        <f aca="false">IF(A35="","",IF(E35&lt;0.6,"NC",ROUND(SUMIFS(14_HISTORICO!$J$2:$J$2001,14_HISTORICO!$A$2:$A$2001,A35,14_HISTORICO!$C$2:$C$2001,B35,14_HISTORICO!$F$2:$F$2001,"DEF")/SUMIFS(14_HISTORICO!$H$2:$H$2001,14_HISTORICO!$A$2:$A$2001,A35,14_HISTORICO!$C$2:$C$2001,B35,14_HISTORICO!$F$2:$F$2001,"DEF",14_HISTORICO!$I$2:$I$2001,"&lt;&gt;"),0)))</f>
        <v/>
      </c>
      <c r="J35" s="31" t="str">
        <f aca="false">IF(A35="","",IF(F35&lt;0.6,"NC",ROUND(SUMIFS(14_HISTORICO!$J$2:$J$2001,14_HISTORICO!$A$2:$A$2001,A35,14_HISTORICO!$C$2:$C$2001,B35,14_HISTORICO!$F$2:$F$2001,"PRO")/SUMIFS(14_HISTORICO!$H$2:$H$2001,14_HISTORICO!$A$2:$A$2001,A35,14_HISTORICO!$C$2:$C$2001,B35,14_HISTORICO!$F$2:$F$2001,"PRO",14_HISTORICO!$I$2:$I$2001,"&lt;&gt;"),0)))</f>
        <v/>
      </c>
      <c r="K35" s="31" t="str">
        <f aca="false">IF(A35="","",IF(COUNTIF(G35:J35,"NC")&gt;0,"NC",ROUND(G35*01_CONFIG!$B$18+H35*01_CONFIG!$B$19+I35*01_CONFIG!$B$20+J35*01_CONFIG!$B$21,0)))</f>
        <v/>
      </c>
      <c r="L35" s="16" t="str">
        <f aca="false">IF(OR(K35="",K35="NC"),"",LOOKUP(K35,16_LISTAS!$G$4:$G$8,16_LISTAS!$H$4:$H$8))</f>
        <v/>
      </c>
      <c r="M35" s="16" t="str">
        <f aca="false">IF(A35="","",IF(MIN(C35:F35)&lt;0.6,"NO CONCLUYENTE",IF(MIN(C35:F35)&lt;0.8,"CON RESERVAS","CONCLUYENTE")))</f>
        <v/>
      </c>
      <c r="N35" s="16" t="str">
        <f aca="false">IF(OR(K35="",K35="NC"),"",RANK(K35,$K$4:$K$43))</f>
        <v/>
      </c>
    </row>
    <row r="36" customFormat="false" ht="15" hidden="false" customHeight="false" outlineLevel="0" collapsed="false">
      <c r="A36" s="9"/>
      <c r="B36" s="11"/>
      <c r="C36" s="29" t="str">
        <f aca="false">IF(A36="","",SUMIFS(14_HISTORICO!$H$2:$H$2001,14_HISTORICO!$A$2:$A$2001,A36,14_HISTORICO!$C$2:$C$2001,B36,14_HISTORICO!$F$2:$F$2001,"FIN",14_HISTORICO!$I$2:$I$2001,"&lt;&gt;")/100)</f>
        <v/>
      </c>
      <c r="D36" s="29" t="str">
        <f aca="false">IF(A36="","",SUMIFS(14_HISTORICO!$H$2:$H$2001,14_HISTORICO!$A$2:$A$2001,A36,14_HISTORICO!$C$2:$C$2001,B36,14_HISTORICO!$F$2:$F$2001,"IND",14_HISTORICO!$I$2:$I$2001,"&lt;&gt;")/100)</f>
        <v/>
      </c>
      <c r="E36" s="29" t="str">
        <f aca="false">IF(A36="","",SUMIFS(14_HISTORICO!$H$2:$H$2001,14_HISTORICO!$A$2:$A$2001,A36,14_HISTORICO!$C$2:$C$2001,B36,14_HISTORICO!$F$2:$F$2001,"DEF",14_HISTORICO!$I$2:$I$2001,"&lt;&gt;")/100)</f>
        <v/>
      </c>
      <c r="F36" s="29" t="str">
        <f aca="false">IF(A36="","",SUMIFS(14_HISTORICO!$H$2:$H$2001,14_HISTORICO!$A$2:$A$2001,A36,14_HISTORICO!$C$2:$C$2001,B36,14_HISTORICO!$F$2:$F$2001,"PRO",14_HISTORICO!$I$2:$I$2001,"&lt;&gt;")/100)</f>
        <v/>
      </c>
      <c r="G36" s="31" t="str">
        <f aca="false">IF(A36="","",IF(C36&lt;0.6,"NC",ROUND(SUMIFS(14_HISTORICO!$J$2:$J$2001,14_HISTORICO!$A$2:$A$2001,A36,14_HISTORICO!$C$2:$C$2001,B36,14_HISTORICO!$F$2:$F$2001,"FIN")/SUMIFS(14_HISTORICO!$H$2:$H$2001,14_HISTORICO!$A$2:$A$2001,A36,14_HISTORICO!$C$2:$C$2001,B36,14_HISTORICO!$F$2:$F$2001,"FIN",14_HISTORICO!$I$2:$I$2001,"&lt;&gt;"),0)))</f>
        <v/>
      </c>
      <c r="H36" s="31" t="str">
        <f aca="false">IF(A36="","",IF(D36&lt;0.6,"NC",ROUND(SUMIFS(14_HISTORICO!$J$2:$J$2001,14_HISTORICO!$A$2:$A$2001,A36,14_HISTORICO!$C$2:$C$2001,B36,14_HISTORICO!$F$2:$F$2001,"IND")/SUMIFS(14_HISTORICO!$H$2:$H$2001,14_HISTORICO!$A$2:$A$2001,A36,14_HISTORICO!$C$2:$C$2001,B36,14_HISTORICO!$F$2:$F$2001,"IND",14_HISTORICO!$I$2:$I$2001,"&lt;&gt;"),0)))</f>
        <v/>
      </c>
      <c r="I36" s="31" t="str">
        <f aca="false">IF(A36="","",IF(E36&lt;0.6,"NC",ROUND(SUMIFS(14_HISTORICO!$J$2:$J$2001,14_HISTORICO!$A$2:$A$2001,A36,14_HISTORICO!$C$2:$C$2001,B36,14_HISTORICO!$F$2:$F$2001,"DEF")/SUMIFS(14_HISTORICO!$H$2:$H$2001,14_HISTORICO!$A$2:$A$2001,A36,14_HISTORICO!$C$2:$C$2001,B36,14_HISTORICO!$F$2:$F$2001,"DEF",14_HISTORICO!$I$2:$I$2001,"&lt;&gt;"),0)))</f>
        <v/>
      </c>
      <c r="J36" s="31" t="str">
        <f aca="false">IF(A36="","",IF(F36&lt;0.6,"NC",ROUND(SUMIFS(14_HISTORICO!$J$2:$J$2001,14_HISTORICO!$A$2:$A$2001,A36,14_HISTORICO!$C$2:$C$2001,B36,14_HISTORICO!$F$2:$F$2001,"PRO")/SUMIFS(14_HISTORICO!$H$2:$H$2001,14_HISTORICO!$A$2:$A$2001,A36,14_HISTORICO!$C$2:$C$2001,B36,14_HISTORICO!$F$2:$F$2001,"PRO",14_HISTORICO!$I$2:$I$2001,"&lt;&gt;"),0)))</f>
        <v/>
      </c>
      <c r="K36" s="31" t="str">
        <f aca="false">IF(A36="","",IF(COUNTIF(G36:J36,"NC")&gt;0,"NC",ROUND(G36*01_CONFIG!$B$18+H36*01_CONFIG!$B$19+I36*01_CONFIG!$B$20+J36*01_CONFIG!$B$21,0)))</f>
        <v/>
      </c>
      <c r="L36" s="16" t="str">
        <f aca="false">IF(OR(K36="",K36="NC"),"",LOOKUP(K36,16_LISTAS!$G$4:$G$8,16_LISTAS!$H$4:$H$8))</f>
        <v/>
      </c>
      <c r="M36" s="16" t="str">
        <f aca="false">IF(A36="","",IF(MIN(C36:F36)&lt;0.6,"NO CONCLUYENTE",IF(MIN(C36:F36)&lt;0.8,"CON RESERVAS","CONCLUYENTE")))</f>
        <v/>
      </c>
      <c r="N36" s="16" t="str">
        <f aca="false">IF(OR(K36="",K36="NC"),"",RANK(K36,$K$4:$K$43))</f>
        <v/>
      </c>
    </row>
    <row r="37" customFormat="false" ht="15" hidden="false" customHeight="false" outlineLevel="0" collapsed="false">
      <c r="A37" s="9"/>
      <c r="B37" s="11"/>
      <c r="C37" s="29" t="str">
        <f aca="false">IF(A37="","",SUMIFS(14_HISTORICO!$H$2:$H$2001,14_HISTORICO!$A$2:$A$2001,A37,14_HISTORICO!$C$2:$C$2001,B37,14_HISTORICO!$F$2:$F$2001,"FIN",14_HISTORICO!$I$2:$I$2001,"&lt;&gt;")/100)</f>
        <v/>
      </c>
      <c r="D37" s="29" t="str">
        <f aca="false">IF(A37="","",SUMIFS(14_HISTORICO!$H$2:$H$2001,14_HISTORICO!$A$2:$A$2001,A37,14_HISTORICO!$C$2:$C$2001,B37,14_HISTORICO!$F$2:$F$2001,"IND",14_HISTORICO!$I$2:$I$2001,"&lt;&gt;")/100)</f>
        <v/>
      </c>
      <c r="E37" s="29" t="str">
        <f aca="false">IF(A37="","",SUMIFS(14_HISTORICO!$H$2:$H$2001,14_HISTORICO!$A$2:$A$2001,A37,14_HISTORICO!$C$2:$C$2001,B37,14_HISTORICO!$F$2:$F$2001,"DEF",14_HISTORICO!$I$2:$I$2001,"&lt;&gt;")/100)</f>
        <v/>
      </c>
      <c r="F37" s="29" t="str">
        <f aca="false">IF(A37="","",SUMIFS(14_HISTORICO!$H$2:$H$2001,14_HISTORICO!$A$2:$A$2001,A37,14_HISTORICO!$C$2:$C$2001,B37,14_HISTORICO!$F$2:$F$2001,"PRO",14_HISTORICO!$I$2:$I$2001,"&lt;&gt;")/100)</f>
        <v/>
      </c>
      <c r="G37" s="31" t="str">
        <f aca="false">IF(A37="","",IF(C37&lt;0.6,"NC",ROUND(SUMIFS(14_HISTORICO!$J$2:$J$2001,14_HISTORICO!$A$2:$A$2001,A37,14_HISTORICO!$C$2:$C$2001,B37,14_HISTORICO!$F$2:$F$2001,"FIN")/SUMIFS(14_HISTORICO!$H$2:$H$2001,14_HISTORICO!$A$2:$A$2001,A37,14_HISTORICO!$C$2:$C$2001,B37,14_HISTORICO!$F$2:$F$2001,"FIN",14_HISTORICO!$I$2:$I$2001,"&lt;&gt;"),0)))</f>
        <v/>
      </c>
      <c r="H37" s="31" t="str">
        <f aca="false">IF(A37="","",IF(D37&lt;0.6,"NC",ROUND(SUMIFS(14_HISTORICO!$J$2:$J$2001,14_HISTORICO!$A$2:$A$2001,A37,14_HISTORICO!$C$2:$C$2001,B37,14_HISTORICO!$F$2:$F$2001,"IND")/SUMIFS(14_HISTORICO!$H$2:$H$2001,14_HISTORICO!$A$2:$A$2001,A37,14_HISTORICO!$C$2:$C$2001,B37,14_HISTORICO!$F$2:$F$2001,"IND",14_HISTORICO!$I$2:$I$2001,"&lt;&gt;"),0)))</f>
        <v/>
      </c>
      <c r="I37" s="31" t="str">
        <f aca="false">IF(A37="","",IF(E37&lt;0.6,"NC",ROUND(SUMIFS(14_HISTORICO!$J$2:$J$2001,14_HISTORICO!$A$2:$A$2001,A37,14_HISTORICO!$C$2:$C$2001,B37,14_HISTORICO!$F$2:$F$2001,"DEF")/SUMIFS(14_HISTORICO!$H$2:$H$2001,14_HISTORICO!$A$2:$A$2001,A37,14_HISTORICO!$C$2:$C$2001,B37,14_HISTORICO!$F$2:$F$2001,"DEF",14_HISTORICO!$I$2:$I$2001,"&lt;&gt;"),0)))</f>
        <v/>
      </c>
      <c r="J37" s="31" t="str">
        <f aca="false">IF(A37="","",IF(F37&lt;0.6,"NC",ROUND(SUMIFS(14_HISTORICO!$J$2:$J$2001,14_HISTORICO!$A$2:$A$2001,A37,14_HISTORICO!$C$2:$C$2001,B37,14_HISTORICO!$F$2:$F$2001,"PRO")/SUMIFS(14_HISTORICO!$H$2:$H$2001,14_HISTORICO!$A$2:$A$2001,A37,14_HISTORICO!$C$2:$C$2001,B37,14_HISTORICO!$F$2:$F$2001,"PRO",14_HISTORICO!$I$2:$I$2001,"&lt;&gt;"),0)))</f>
        <v/>
      </c>
      <c r="K37" s="31" t="str">
        <f aca="false">IF(A37="","",IF(COUNTIF(G37:J37,"NC")&gt;0,"NC",ROUND(G37*01_CONFIG!$B$18+H37*01_CONFIG!$B$19+I37*01_CONFIG!$B$20+J37*01_CONFIG!$B$21,0)))</f>
        <v/>
      </c>
      <c r="L37" s="16" t="str">
        <f aca="false">IF(OR(K37="",K37="NC"),"",LOOKUP(K37,16_LISTAS!$G$4:$G$8,16_LISTAS!$H$4:$H$8))</f>
        <v/>
      </c>
      <c r="M37" s="16" t="str">
        <f aca="false">IF(A37="","",IF(MIN(C37:F37)&lt;0.6,"NO CONCLUYENTE",IF(MIN(C37:F37)&lt;0.8,"CON RESERVAS","CONCLUYENTE")))</f>
        <v/>
      </c>
      <c r="N37" s="16" t="str">
        <f aca="false">IF(OR(K37="",K37="NC"),"",RANK(K37,$K$4:$K$43))</f>
        <v/>
      </c>
    </row>
    <row r="38" customFormat="false" ht="15" hidden="false" customHeight="false" outlineLevel="0" collapsed="false">
      <c r="A38" s="9"/>
      <c r="B38" s="11"/>
      <c r="C38" s="29" t="str">
        <f aca="false">IF(A38="","",SUMIFS(14_HISTORICO!$H$2:$H$2001,14_HISTORICO!$A$2:$A$2001,A38,14_HISTORICO!$C$2:$C$2001,B38,14_HISTORICO!$F$2:$F$2001,"FIN",14_HISTORICO!$I$2:$I$2001,"&lt;&gt;")/100)</f>
        <v/>
      </c>
      <c r="D38" s="29" t="str">
        <f aca="false">IF(A38="","",SUMIFS(14_HISTORICO!$H$2:$H$2001,14_HISTORICO!$A$2:$A$2001,A38,14_HISTORICO!$C$2:$C$2001,B38,14_HISTORICO!$F$2:$F$2001,"IND",14_HISTORICO!$I$2:$I$2001,"&lt;&gt;")/100)</f>
        <v/>
      </c>
      <c r="E38" s="29" t="str">
        <f aca="false">IF(A38="","",SUMIFS(14_HISTORICO!$H$2:$H$2001,14_HISTORICO!$A$2:$A$2001,A38,14_HISTORICO!$C$2:$C$2001,B38,14_HISTORICO!$F$2:$F$2001,"DEF",14_HISTORICO!$I$2:$I$2001,"&lt;&gt;")/100)</f>
        <v/>
      </c>
      <c r="F38" s="29" t="str">
        <f aca="false">IF(A38="","",SUMIFS(14_HISTORICO!$H$2:$H$2001,14_HISTORICO!$A$2:$A$2001,A38,14_HISTORICO!$C$2:$C$2001,B38,14_HISTORICO!$F$2:$F$2001,"PRO",14_HISTORICO!$I$2:$I$2001,"&lt;&gt;")/100)</f>
        <v/>
      </c>
      <c r="G38" s="31" t="str">
        <f aca="false">IF(A38="","",IF(C38&lt;0.6,"NC",ROUND(SUMIFS(14_HISTORICO!$J$2:$J$2001,14_HISTORICO!$A$2:$A$2001,A38,14_HISTORICO!$C$2:$C$2001,B38,14_HISTORICO!$F$2:$F$2001,"FIN")/SUMIFS(14_HISTORICO!$H$2:$H$2001,14_HISTORICO!$A$2:$A$2001,A38,14_HISTORICO!$C$2:$C$2001,B38,14_HISTORICO!$F$2:$F$2001,"FIN",14_HISTORICO!$I$2:$I$2001,"&lt;&gt;"),0)))</f>
        <v/>
      </c>
      <c r="H38" s="31" t="str">
        <f aca="false">IF(A38="","",IF(D38&lt;0.6,"NC",ROUND(SUMIFS(14_HISTORICO!$J$2:$J$2001,14_HISTORICO!$A$2:$A$2001,A38,14_HISTORICO!$C$2:$C$2001,B38,14_HISTORICO!$F$2:$F$2001,"IND")/SUMIFS(14_HISTORICO!$H$2:$H$2001,14_HISTORICO!$A$2:$A$2001,A38,14_HISTORICO!$C$2:$C$2001,B38,14_HISTORICO!$F$2:$F$2001,"IND",14_HISTORICO!$I$2:$I$2001,"&lt;&gt;"),0)))</f>
        <v/>
      </c>
      <c r="I38" s="31" t="str">
        <f aca="false">IF(A38="","",IF(E38&lt;0.6,"NC",ROUND(SUMIFS(14_HISTORICO!$J$2:$J$2001,14_HISTORICO!$A$2:$A$2001,A38,14_HISTORICO!$C$2:$C$2001,B38,14_HISTORICO!$F$2:$F$2001,"DEF")/SUMIFS(14_HISTORICO!$H$2:$H$2001,14_HISTORICO!$A$2:$A$2001,A38,14_HISTORICO!$C$2:$C$2001,B38,14_HISTORICO!$F$2:$F$2001,"DEF",14_HISTORICO!$I$2:$I$2001,"&lt;&gt;"),0)))</f>
        <v/>
      </c>
      <c r="J38" s="31" t="str">
        <f aca="false">IF(A38="","",IF(F38&lt;0.6,"NC",ROUND(SUMIFS(14_HISTORICO!$J$2:$J$2001,14_HISTORICO!$A$2:$A$2001,A38,14_HISTORICO!$C$2:$C$2001,B38,14_HISTORICO!$F$2:$F$2001,"PRO")/SUMIFS(14_HISTORICO!$H$2:$H$2001,14_HISTORICO!$A$2:$A$2001,A38,14_HISTORICO!$C$2:$C$2001,B38,14_HISTORICO!$F$2:$F$2001,"PRO",14_HISTORICO!$I$2:$I$2001,"&lt;&gt;"),0)))</f>
        <v/>
      </c>
      <c r="K38" s="31" t="str">
        <f aca="false">IF(A38="","",IF(COUNTIF(G38:J38,"NC")&gt;0,"NC",ROUND(G38*01_CONFIG!$B$18+H38*01_CONFIG!$B$19+I38*01_CONFIG!$B$20+J38*01_CONFIG!$B$21,0)))</f>
        <v/>
      </c>
      <c r="L38" s="16" t="str">
        <f aca="false">IF(OR(K38="",K38="NC"),"",LOOKUP(K38,16_LISTAS!$G$4:$G$8,16_LISTAS!$H$4:$H$8))</f>
        <v/>
      </c>
      <c r="M38" s="16" t="str">
        <f aca="false">IF(A38="","",IF(MIN(C38:F38)&lt;0.6,"NO CONCLUYENTE",IF(MIN(C38:F38)&lt;0.8,"CON RESERVAS","CONCLUYENTE")))</f>
        <v/>
      </c>
      <c r="N38" s="16" t="str">
        <f aca="false">IF(OR(K38="",K38="NC"),"",RANK(K38,$K$4:$K$43))</f>
        <v/>
      </c>
    </row>
    <row r="39" customFormat="false" ht="15" hidden="false" customHeight="false" outlineLevel="0" collapsed="false">
      <c r="A39" s="9"/>
      <c r="B39" s="11"/>
      <c r="C39" s="29" t="str">
        <f aca="false">IF(A39="","",SUMIFS(14_HISTORICO!$H$2:$H$2001,14_HISTORICO!$A$2:$A$2001,A39,14_HISTORICO!$C$2:$C$2001,B39,14_HISTORICO!$F$2:$F$2001,"FIN",14_HISTORICO!$I$2:$I$2001,"&lt;&gt;")/100)</f>
        <v/>
      </c>
      <c r="D39" s="29" t="str">
        <f aca="false">IF(A39="","",SUMIFS(14_HISTORICO!$H$2:$H$2001,14_HISTORICO!$A$2:$A$2001,A39,14_HISTORICO!$C$2:$C$2001,B39,14_HISTORICO!$F$2:$F$2001,"IND",14_HISTORICO!$I$2:$I$2001,"&lt;&gt;")/100)</f>
        <v/>
      </c>
      <c r="E39" s="29" t="str">
        <f aca="false">IF(A39="","",SUMIFS(14_HISTORICO!$H$2:$H$2001,14_HISTORICO!$A$2:$A$2001,A39,14_HISTORICO!$C$2:$C$2001,B39,14_HISTORICO!$F$2:$F$2001,"DEF",14_HISTORICO!$I$2:$I$2001,"&lt;&gt;")/100)</f>
        <v/>
      </c>
      <c r="F39" s="29" t="str">
        <f aca="false">IF(A39="","",SUMIFS(14_HISTORICO!$H$2:$H$2001,14_HISTORICO!$A$2:$A$2001,A39,14_HISTORICO!$C$2:$C$2001,B39,14_HISTORICO!$F$2:$F$2001,"PRO",14_HISTORICO!$I$2:$I$2001,"&lt;&gt;")/100)</f>
        <v/>
      </c>
      <c r="G39" s="31" t="str">
        <f aca="false">IF(A39="","",IF(C39&lt;0.6,"NC",ROUND(SUMIFS(14_HISTORICO!$J$2:$J$2001,14_HISTORICO!$A$2:$A$2001,A39,14_HISTORICO!$C$2:$C$2001,B39,14_HISTORICO!$F$2:$F$2001,"FIN")/SUMIFS(14_HISTORICO!$H$2:$H$2001,14_HISTORICO!$A$2:$A$2001,A39,14_HISTORICO!$C$2:$C$2001,B39,14_HISTORICO!$F$2:$F$2001,"FIN",14_HISTORICO!$I$2:$I$2001,"&lt;&gt;"),0)))</f>
        <v/>
      </c>
      <c r="H39" s="31" t="str">
        <f aca="false">IF(A39="","",IF(D39&lt;0.6,"NC",ROUND(SUMIFS(14_HISTORICO!$J$2:$J$2001,14_HISTORICO!$A$2:$A$2001,A39,14_HISTORICO!$C$2:$C$2001,B39,14_HISTORICO!$F$2:$F$2001,"IND")/SUMIFS(14_HISTORICO!$H$2:$H$2001,14_HISTORICO!$A$2:$A$2001,A39,14_HISTORICO!$C$2:$C$2001,B39,14_HISTORICO!$F$2:$F$2001,"IND",14_HISTORICO!$I$2:$I$2001,"&lt;&gt;"),0)))</f>
        <v/>
      </c>
      <c r="I39" s="31" t="str">
        <f aca="false">IF(A39="","",IF(E39&lt;0.6,"NC",ROUND(SUMIFS(14_HISTORICO!$J$2:$J$2001,14_HISTORICO!$A$2:$A$2001,A39,14_HISTORICO!$C$2:$C$2001,B39,14_HISTORICO!$F$2:$F$2001,"DEF")/SUMIFS(14_HISTORICO!$H$2:$H$2001,14_HISTORICO!$A$2:$A$2001,A39,14_HISTORICO!$C$2:$C$2001,B39,14_HISTORICO!$F$2:$F$2001,"DEF",14_HISTORICO!$I$2:$I$2001,"&lt;&gt;"),0)))</f>
        <v/>
      </c>
      <c r="J39" s="31" t="str">
        <f aca="false">IF(A39="","",IF(F39&lt;0.6,"NC",ROUND(SUMIFS(14_HISTORICO!$J$2:$J$2001,14_HISTORICO!$A$2:$A$2001,A39,14_HISTORICO!$C$2:$C$2001,B39,14_HISTORICO!$F$2:$F$2001,"PRO")/SUMIFS(14_HISTORICO!$H$2:$H$2001,14_HISTORICO!$A$2:$A$2001,A39,14_HISTORICO!$C$2:$C$2001,B39,14_HISTORICO!$F$2:$F$2001,"PRO",14_HISTORICO!$I$2:$I$2001,"&lt;&gt;"),0)))</f>
        <v/>
      </c>
      <c r="K39" s="31" t="str">
        <f aca="false">IF(A39="","",IF(COUNTIF(G39:J39,"NC")&gt;0,"NC",ROUND(G39*01_CONFIG!$B$18+H39*01_CONFIG!$B$19+I39*01_CONFIG!$B$20+J39*01_CONFIG!$B$21,0)))</f>
        <v/>
      </c>
      <c r="L39" s="16" t="str">
        <f aca="false">IF(OR(K39="",K39="NC"),"",LOOKUP(K39,16_LISTAS!$G$4:$G$8,16_LISTAS!$H$4:$H$8))</f>
        <v/>
      </c>
      <c r="M39" s="16" t="str">
        <f aca="false">IF(A39="","",IF(MIN(C39:F39)&lt;0.6,"NO CONCLUYENTE",IF(MIN(C39:F39)&lt;0.8,"CON RESERVAS","CONCLUYENTE")))</f>
        <v/>
      </c>
      <c r="N39" s="16" t="str">
        <f aca="false">IF(OR(K39="",K39="NC"),"",RANK(K39,$K$4:$K$43))</f>
        <v/>
      </c>
    </row>
    <row r="40" customFormat="false" ht="15" hidden="false" customHeight="false" outlineLevel="0" collapsed="false">
      <c r="A40" s="9"/>
      <c r="B40" s="11"/>
      <c r="C40" s="29" t="str">
        <f aca="false">IF(A40="","",SUMIFS(14_HISTORICO!$H$2:$H$2001,14_HISTORICO!$A$2:$A$2001,A40,14_HISTORICO!$C$2:$C$2001,B40,14_HISTORICO!$F$2:$F$2001,"FIN",14_HISTORICO!$I$2:$I$2001,"&lt;&gt;")/100)</f>
        <v/>
      </c>
      <c r="D40" s="29" t="str">
        <f aca="false">IF(A40="","",SUMIFS(14_HISTORICO!$H$2:$H$2001,14_HISTORICO!$A$2:$A$2001,A40,14_HISTORICO!$C$2:$C$2001,B40,14_HISTORICO!$F$2:$F$2001,"IND",14_HISTORICO!$I$2:$I$2001,"&lt;&gt;")/100)</f>
        <v/>
      </c>
      <c r="E40" s="29" t="str">
        <f aca="false">IF(A40="","",SUMIFS(14_HISTORICO!$H$2:$H$2001,14_HISTORICO!$A$2:$A$2001,A40,14_HISTORICO!$C$2:$C$2001,B40,14_HISTORICO!$F$2:$F$2001,"DEF",14_HISTORICO!$I$2:$I$2001,"&lt;&gt;")/100)</f>
        <v/>
      </c>
      <c r="F40" s="29" t="str">
        <f aca="false">IF(A40="","",SUMIFS(14_HISTORICO!$H$2:$H$2001,14_HISTORICO!$A$2:$A$2001,A40,14_HISTORICO!$C$2:$C$2001,B40,14_HISTORICO!$F$2:$F$2001,"PRO",14_HISTORICO!$I$2:$I$2001,"&lt;&gt;")/100)</f>
        <v/>
      </c>
      <c r="G40" s="31" t="str">
        <f aca="false">IF(A40="","",IF(C40&lt;0.6,"NC",ROUND(SUMIFS(14_HISTORICO!$J$2:$J$2001,14_HISTORICO!$A$2:$A$2001,A40,14_HISTORICO!$C$2:$C$2001,B40,14_HISTORICO!$F$2:$F$2001,"FIN")/SUMIFS(14_HISTORICO!$H$2:$H$2001,14_HISTORICO!$A$2:$A$2001,A40,14_HISTORICO!$C$2:$C$2001,B40,14_HISTORICO!$F$2:$F$2001,"FIN",14_HISTORICO!$I$2:$I$2001,"&lt;&gt;"),0)))</f>
        <v/>
      </c>
      <c r="H40" s="31" t="str">
        <f aca="false">IF(A40="","",IF(D40&lt;0.6,"NC",ROUND(SUMIFS(14_HISTORICO!$J$2:$J$2001,14_HISTORICO!$A$2:$A$2001,A40,14_HISTORICO!$C$2:$C$2001,B40,14_HISTORICO!$F$2:$F$2001,"IND")/SUMIFS(14_HISTORICO!$H$2:$H$2001,14_HISTORICO!$A$2:$A$2001,A40,14_HISTORICO!$C$2:$C$2001,B40,14_HISTORICO!$F$2:$F$2001,"IND",14_HISTORICO!$I$2:$I$2001,"&lt;&gt;"),0)))</f>
        <v/>
      </c>
      <c r="I40" s="31" t="str">
        <f aca="false">IF(A40="","",IF(E40&lt;0.6,"NC",ROUND(SUMIFS(14_HISTORICO!$J$2:$J$2001,14_HISTORICO!$A$2:$A$2001,A40,14_HISTORICO!$C$2:$C$2001,B40,14_HISTORICO!$F$2:$F$2001,"DEF")/SUMIFS(14_HISTORICO!$H$2:$H$2001,14_HISTORICO!$A$2:$A$2001,A40,14_HISTORICO!$C$2:$C$2001,B40,14_HISTORICO!$F$2:$F$2001,"DEF",14_HISTORICO!$I$2:$I$2001,"&lt;&gt;"),0)))</f>
        <v/>
      </c>
      <c r="J40" s="31" t="str">
        <f aca="false">IF(A40="","",IF(F40&lt;0.6,"NC",ROUND(SUMIFS(14_HISTORICO!$J$2:$J$2001,14_HISTORICO!$A$2:$A$2001,A40,14_HISTORICO!$C$2:$C$2001,B40,14_HISTORICO!$F$2:$F$2001,"PRO")/SUMIFS(14_HISTORICO!$H$2:$H$2001,14_HISTORICO!$A$2:$A$2001,A40,14_HISTORICO!$C$2:$C$2001,B40,14_HISTORICO!$F$2:$F$2001,"PRO",14_HISTORICO!$I$2:$I$2001,"&lt;&gt;"),0)))</f>
        <v/>
      </c>
      <c r="K40" s="31" t="str">
        <f aca="false">IF(A40="","",IF(COUNTIF(G40:J40,"NC")&gt;0,"NC",ROUND(G40*01_CONFIG!$B$18+H40*01_CONFIG!$B$19+I40*01_CONFIG!$B$20+J40*01_CONFIG!$B$21,0)))</f>
        <v/>
      </c>
      <c r="L40" s="16" t="str">
        <f aca="false">IF(OR(K40="",K40="NC"),"",LOOKUP(K40,16_LISTAS!$G$4:$G$8,16_LISTAS!$H$4:$H$8))</f>
        <v/>
      </c>
      <c r="M40" s="16" t="str">
        <f aca="false">IF(A40="","",IF(MIN(C40:F40)&lt;0.6,"NO CONCLUYENTE",IF(MIN(C40:F40)&lt;0.8,"CON RESERVAS","CONCLUYENTE")))</f>
        <v/>
      </c>
      <c r="N40" s="16" t="str">
        <f aca="false">IF(OR(K40="",K40="NC"),"",RANK(K40,$K$4:$K$43))</f>
        <v/>
      </c>
    </row>
    <row r="41" customFormat="false" ht="15" hidden="false" customHeight="false" outlineLevel="0" collapsed="false">
      <c r="A41" s="9"/>
      <c r="B41" s="11"/>
      <c r="C41" s="29" t="str">
        <f aca="false">IF(A41="","",SUMIFS(14_HISTORICO!$H$2:$H$2001,14_HISTORICO!$A$2:$A$2001,A41,14_HISTORICO!$C$2:$C$2001,B41,14_HISTORICO!$F$2:$F$2001,"FIN",14_HISTORICO!$I$2:$I$2001,"&lt;&gt;")/100)</f>
        <v/>
      </c>
      <c r="D41" s="29" t="str">
        <f aca="false">IF(A41="","",SUMIFS(14_HISTORICO!$H$2:$H$2001,14_HISTORICO!$A$2:$A$2001,A41,14_HISTORICO!$C$2:$C$2001,B41,14_HISTORICO!$F$2:$F$2001,"IND",14_HISTORICO!$I$2:$I$2001,"&lt;&gt;")/100)</f>
        <v/>
      </c>
      <c r="E41" s="29" t="str">
        <f aca="false">IF(A41="","",SUMIFS(14_HISTORICO!$H$2:$H$2001,14_HISTORICO!$A$2:$A$2001,A41,14_HISTORICO!$C$2:$C$2001,B41,14_HISTORICO!$F$2:$F$2001,"DEF",14_HISTORICO!$I$2:$I$2001,"&lt;&gt;")/100)</f>
        <v/>
      </c>
      <c r="F41" s="29" t="str">
        <f aca="false">IF(A41="","",SUMIFS(14_HISTORICO!$H$2:$H$2001,14_HISTORICO!$A$2:$A$2001,A41,14_HISTORICO!$C$2:$C$2001,B41,14_HISTORICO!$F$2:$F$2001,"PRO",14_HISTORICO!$I$2:$I$2001,"&lt;&gt;")/100)</f>
        <v/>
      </c>
      <c r="G41" s="31" t="str">
        <f aca="false">IF(A41="","",IF(C41&lt;0.6,"NC",ROUND(SUMIFS(14_HISTORICO!$J$2:$J$2001,14_HISTORICO!$A$2:$A$2001,A41,14_HISTORICO!$C$2:$C$2001,B41,14_HISTORICO!$F$2:$F$2001,"FIN")/SUMIFS(14_HISTORICO!$H$2:$H$2001,14_HISTORICO!$A$2:$A$2001,A41,14_HISTORICO!$C$2:$C$2001,B41,14_HISTORICO!$F$2:$F$2001,"FIN",14_HISTORICO!$I$2:$I$2001,"&lt;&gt;"),0)))</f>
        <v/>
      </c>
      <c r="H41" s="31" t="str">
        <f aca="false">IF(A41="","",IF(D41&lt;0.6,"NC",ROUND(SUMIFS(14_HISTORICO!$J$2:$J$2001,14_HISTORICO!$A$2:$A$2001,A41,14_HISTORICO!$C$2:$C$2001,B41,14_HISTORICO!$F$2:$F$2001,"IND")/SUMIFS(14_HISTORICO!$H$2:$H$2001,14_HISTORICO!$A$2:$A$2001,A41,14_HISTORICO!$C$2:$C$2001,B41,14_HISTORICO!$F$2:$F$2001,"IND",14_HISTORICO!$I$2:$I$2001,"&lt;&gt;"),0)))</f>
        <v/>
      </c>
      <c r="I41" s="31" t="str">
        <f aca="false">IF(A41="","",IF(E41&lt;0.6,"NC",ROUND(SUMIFS(14_HISTORICO!$J$2:$J$2001,14_HISTORICO!$A$2:$A$2001,A41,14_HISTORICO!$C$2:$C$2001,B41,14_HISTORICO!$F$2:$F$2001,"DEF")/SUMIFS(14_HISTORICO!$H$2:$H$2001,14_HISTORICO!$A$2:$A$2001,A41,14_HISTORICO!$C$2:$C$2001,B41,14_HISTORICO!$F$2:$F$2001,"DEF",14_HISTORICO!$I$2:$I$2001,"&lt;&gt;"),0)))</f>
        <v/>
      </c>
      <c r="J41" s="31" t="str">
        <f aca="false">IF(A41="","",IF(F41&lt;0.6,"NC",ROUND(SUMIFS(14_HISTORICO!$J$2:$J$2001,14_HISTORICO!$A$2:$A$2001,A41,14_HISTORICO!$C$2:$C$2001,B41,14_HISTORICO!$F$2:$F$2001,"PRO")/SUMIFS(14_HISTORICO!$H$2:$H$2001,14_HISTORICO!$A$2:$A$2001,A41,14_HISTORICO!$C$2:$C$2001,B41,14_HISTORICO!$F$2:$F$2001,"PRO",14_HISTORICO!$I$2:$I$2001,"&lt;&gt;"),0)))</f>
        <v/>
      </c>
      <c r="K41" s="31" t="str">
        <f aca="false">IF(A41="","",IF(COUNTIF(G41:J41,"NC")&gt;0,"NC",ROUND(G41*01_CONFIG!$B$18+H41*01_CONFIG!$B$19+I41*01_CONFIG!$B$20+J41*01_CONFIG!$B$21,0)))</f>
        <v/>
      </c>
      <c r="L41" s="16" t="str">
        <f aca="false">IF(OR(K41="",K41="NC"),"",LOOKUP(K41,16_LISTAS!$G$4:$G$8,16_LISTAS!$H$4:$H$8))</f>
        <v/>
      </c>
      <c r="M41" s="16" t="str">
        <f aca="false">IF(A41="","",IF(MIN(C41:F41)&lt;0.6,"NO CONCLUYENTE",IF(MIN(C41:F41)&lt;0.8,"CON RESERVAS","CONCLUYENTE")))</f>
        <v/>
      </c>
      <c r="N41" s="16" t="str">
        <f aca="false">IF(OR(K41="",K41="NC"),"",RANK(K41,$K$4:$K$43))</f>
        <v/>
      </c>
    </row>
    <row r="42" customFormat="false" ht="15" hidden="false" customHeight="false" outlineLevel="0" collapsed="false">
      <c r="A42" s="9"/>
      <c r="B42" s="11"/>
      <c r="C42" s="29" t="str">
        <f aca="false">IF(A42="","",SUMIFS(14_HISTORICO!$H$2:$H$2001,14_HISTORICO!$A$2:$A$2001,A42,14_HISTORICO!$C$2:$C$2001,B42,14_HISTORICO!$F$2:$F$2001,"FIN",14_HISTORICO!$I$2:$I$2001,"&lt;&gt;")/100)</f>
        <v/>
      </c>
      <c r="D42" s="29" t="str">
        <f aca="false">IF(A42="","",SUMIFS(14_HISTORICO!$H$2:$H$2001,14_HISTORICO!$A$2:$A$2001,A42,14_HISTORICO!$C$2:$C$2001,B42,14_HISTORICO!$F$2:$F$2001,"IND",14_HISTORICO!$I$2:$I$2001,"&lt;&gt;")/100)</f>
        <v/>
      </c>
      <c r="E42" s="29" t="str">
        <f aca="false">IF(A42="","",SUMIFS(14_HISTORICO!$H$2:$H$2001,14_HISTORICO!$A$2:$A$2001,A42,14_HISTORICO!$C$2:$C$2001,B42,14_HISTORICO!$F$2:$F$2001,"DEF",14_HISTORICO!$I$2:$I$2001,"&lt;&gt;")/100)</f>
        <v/>
      </c>
      <c r="F42" s="29" t="str">
        <f aca="false">IF(A42="","",SUMIFS(14_HISTORICO!$H$2:$H$2001,14_HISTORICO!$A$2:$A$2001,A42,14_HISTORICO!$C$2:$C$2001,B42,14_HISTORICO!$F$2:$F$2001,"PRO",14_HISTORICO!$I$2:$I$2001,"&lt;&gt;")/100)</f>
        <v/>
      </c>
      <c r="G42" s="31" t="str">
        <f aca="false">IF(A42="","",IF(C42&lt;0.6,"NC",ROUND(SUMIFS(14_HISTORICO!$J$2:$J$2001,14_HISTORICO!$A$2:$A$2001,A42,14_HISTORICO!$C$2:$C$2001,B42,14_HISTORICO!$F$2:$F$2001,"FIN")/SUMIFS(14_HISTORICO!$H$2:$H$2001,14_HISTORICO!$A$2:$A$2001,A42,14_HISTORICO!$C$2:$C$2001,B42,14_HISTORICO!$F$2:$F$2001,"FIN",14_HISTORICO!$I$2:$I$2001,"&lt;&gt;"),0)))</f>
        <v/>
      </c>
      <c r="H42" s="31" t="str">
        <f aca="false">IF(A42="","",IF(D42&lt;0.6,"NC",ROUND(SUMIFS(14_HISTORICO!$J$2:$J$2001,14_HISTORICO!$A$2:$A$2001,A42,14_HISTORICO!$C$2:$C$2001,B42,14_HISTORICO!$F$2:$F$2001,"IND")/SUMIFS(14_HISTORICO!$H$2:$H$2001,14_HISTORICO!$A$2:$A$2001,A42,14_HISTORICO!$C$2:$C$2001,B42,14_HISTORICO!$F$2:$F$2001,"IND",14_HISTORICO!$I$2:$I$2001,"&lt;&gt;"),0)))</f>
        <v/>
      </c>
      <c r="I42" s="31" t="str">
        <f aca="false">IF(A42="","",IF(E42&lt;0.6,"NC",ROUND(SUMIFS(14_HISTORICO!$J$2:$J$2001,14_HISTORICO!$A$2:$A$2001,A42,14_HISTORICO!$C$2:$C$2001,B42,14_HISTORICO!$F$2:$F$2001,"DEF")/SUMIFS(14_HISTORICO!$H$2:$H$2001,14_HISTORICO!$A$2:$A$2001,A42,14_HISTORICO!$C$2:$C$2001,B42,14_HISTORICO!$F$2:$F$2001,"DEF",14_HISTORICO!$I$2:$I$2001,"&lt;&gt;"),0)))</f>
        <v/>
      </c>
      <c r="J42" s="31" t="str">
        <f aca="false">IF(A42="","",IF(F42&lt;0.6,"NC",ROUND(SUMIFS(14_HISTORICO!$J$2:$J$2001,14_HISTORICO!$A$2:$A$2001,A42,14_HISTORICO!$C$2:$C$2001,B42,14_HISTORICO!$F$2:$F$2001,"PRO")/SUMIFS(14_HISTORICO!$H$2:$H$2001,14_HISTORICO!$A$2:$A$2001,A42,14_HISTORICO!$C$2:$C$2001,B42,14_HISTORICO!$F$2:$F$2001,"PRO",14_HISTORICO!$I$2:$I$2001,"&lt;&gt;"),0)))</f>
        <v/>
      </c>
      <c r="K42" s="31" t="str">
        <f aca="false">IF(A42="","",IF(COUNTIF(G42:J42,"NC")&gt;0,"NC",ROUND(G42*01_CONFIG!$B$18+H42*01_CONFIG!$B$19+I42*01_CONFIG!$B$20+J42*01_CONFIG!$B$21,0)))</f>
        <v/>
      </c>
      <c r="L42" s="16" t="str">
        <f aca="false">IF(OR(K42="",K42="NC"),"",LOOKUP(K42,16_LISTAS!$G$4:$G$8,16_LISTAS!$H$4:$H$8))</f>
        <v/>
      </c>
      <c r="M42" s="16" t="str">
        <f aca="false">IF(A42="","",IF(MIN(C42:F42)&lt;0.6,"NO CONCLUYENTE",IF(MIN(C42:F42)&lt;0.8,"CON RESERVAS","CONCLUYENTE")))</f>
        <v/>
      </c>
      <c r="N42" s="16" t="str">
        <f aca="false">IF(OR(K42="",K42="NC"),"",RANK(K42,$K$4:$K$43))</f>
        <v/>
      </c>
    </row>
    <row r="43" customFormat="false" ht="15" hidden="false" customHeight="false" outlineLevel="0" collapsed="false">
      <c r="A43" s="9"/>
      <c r="B43" s="11"/>
      <c r="C43" s="29" t="str">
        <f aca="false">IF(A43="","",SUMIFS(14_HISTORICO!$H$2:$H$2001,14_HISTORICO!$A$2:$A$2001,A43,14_HISTORICO!$C$2:$C$2001,B43,14_HISTORICO!$F$2:$F$2001,"FIN",14_HISTORICO!$I$2:$I$2001,"&lt;&gt;")/100)</f>
        <v/>
      </c>
      <c r="D43" s="29" t="str">
        <f aca="false">IF(A43="","",SUMIFS(14_HISTORICO!$H$2:$H$2001,14_HISTORICO!$A$2:$A$2001,A43,14_HISTORICO!$C$2:$C$2001,B43,14_HISTORICO!$F$2:$F$2001,"IND",14_HISTORICO!$I$2:$I$2001,"&lt;&gt;")/100)</f>
        <v/>
      </c>
      <c r="E43" s="29" t="str">
        <f aca="false">IF(A43="","",SUMIFS(14_HISTORICO!$H$2:$H$2001,14_HISTORICO!$A$2:$A$2001,A43,14_HISTORICO!$C$2:$C$2001,B43,14_HISTORICO!$F$2:$F$2001,"DEF",14_HISTORICO!$I$2:$I$2001,"&lt;&gt;")/100)</f>
        <v/>
      </c>
      <c r="F43" s="29" t="str">
        <f aca="false">IF(A43="","",SUMIFS(14_HISTORICO!$H$2:$H$2001,14_HISTORICO!$A$2:$A$2001,A43,14_HISTORICO!$C$2:$C$2001,B43,14_HISTORICO!$F$2:$F$2001,"PRO",14_HISTORICO!$I$2:$I$2001,"&lt;&gt;")/100)</f>
        <v/>
      </c>
      <c r="G43" s="31" t="str">
        <f aca="false">IF(A43="","",IF(C43&lt;0.6,"NC",ROUND(SUMIFS(14_HISTORICO!$J$2:$J$2001,14_HISTORICO!$A$2:$A$2001,A43,14_HISTORICO!$C$2:$C$2001,B43,14_HISTORICO!$F$2:$F$2001,"FIN")/SUMIFS(14_HISTORICO!$H$2:$H$2001,14_HISTORICO!$A$2:$A$2001,A43,14_HISTORICO!$C$2:$C$2001,B43,14_HISTORICO!$F$2:$F$2001,"FIN",14_HISTORICO!$I$2:$I$2001,"&lt;&gt;"),0)))</f>
        <v/>
      </c>
      <c r="H43" s="31" t="str">
        <f aca="false">IF(A43="","",IF(D43&lt;0.6,"NC",ROUND(SUMIFS(14_HISTORICO!$J$2:$J$2001,14_HISTORICO!$A$2:$A$2001,A43,14_HISTORICO!$C$2:$C$2001,B43,14_HISTORICO!$F$2:$F$2001,"IND")/SUMIFS(14_HISTORICO!$H$2:$H$2001,14_HISTORICO!$A$2:$A$2001,A43,14_HISTORICO!$C$2:$C$2001,B43,14_HISTORICO!$F$2:$F$2001,"IND",14_HISTORICO!$I$2:$I$2001,"&lt;&gt;"),0)))</f>
        <v/>
      </c>
      <c r="I43" s="31" t="str">
        <f aca="false">IF(A43="","",IF(E43&lt;0.6,"NC",ROUND(SUMIFS(14_HISTORICO!$J$2:$J$2001,14_HISTORICO!$A$2:$A$2001,A43,14_HISTORICO!$C$2:$C$2001,B43,14_HISTORICO!$F$2:$F$2001,"DEF")/SUMIFS(14_HISTORICO!$H$2:$H$2001,14_HISTORICO!$A$2:$A$2001,A43,14_HISTORICO!$C$2:$C$2001,B43,14_HISTORICO!$F$2:$F$2001,"DEF",14_HISTORICO!$I$2:$I$2001,"&lt;&gt;"),0)))</f>
        <v/>
      </c>
      <c r="J43" s="31" t="str">
        <f aca="false">IF(A43="","",IF(F43&lt;0.6,"NC",ROUND(SUMIFS(14_HISTORICO!$J$2:$J$2001,14_HISTORICO!$A$2:$A$2001,A43,14_HISTORICO!$C$2:$C$2001,B43,14_HISTORICO!$F$2:$F$2001,"PRO")/SUMIFS(14_HISTORICO!$H$2:$H$2001,14_HISTORICO!$A$2:$A$2001,A43,14_HISTORICO!$C$2:$C$2001,B43,14_HISTORICO!$F$2:$F$2001,"PRO",14_HISTORICO!$I$2:$I$2001,"&lt;&gt;"),0)))</f>
        <v/>
      </c>
      <c r="K43" s="31" t="str">
        <f aca="false">IF(A43="","",IF(COUNTIF(G43:J43,"NC")&gt;0,"NC",ROUND(G43*01_CONFIG!$B$18+H43*01_CONFIG!$B$19+I43*01_CONFIG!$B$20+J43*01_CONFIG!$B$21,0)))</f>
        <v/>
      </c>
      <c r="L43" s="16" t="str">
        <f aca="false">IF(OR(K43="",K43="NC"),"",LOOKUP(K43,16_LISTAS!$G$4:$G$8,16_LISTAS!$H$4:$H$8))</f>
        <v/>
      </c>
      <c r="M43" s="16" t="str">
        <f aca="false">IF(A43="","",IF(MIN(C43:F43)&lt;0.6,"NO CONCLUYENTE",IF(MIN(C43:F43)&lt;0.8,"CON RESERVAS","CONCLUYENTE")))</f>
        <v/>
      </c>
      <c r="N43" s="16" t="str">
        <f aca="false">IF(OR(K43="",K43="NC"),"",RANK(K43,$K$4:$K$43))</f>
        <v/>
      </c>
    </row>
    <row r="45" customFormat="false" ht="15" hidden="false" customHeight="true" outlineLevel="0" collapsed="false">
      <c r="A45" s="54" t="s">
        <v>833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</sheetData>
  <mergeCells count="1">
    <mergeCell ref="A45:N45"/>
  </mergeCells>
  <conditionalFormatting sqref="G4:K43">
    <cfRule type="cellIs" priority="2" operator="between" aboveAverage="0" equalAverage="0" bottom="0" percent="0" rank="0" text="" dxfId="13">
      <formula>0</formula>
      <formula>20</formula>
    </cfRule>
    <cfRule type="cellIs" priority="3" operator="between" aboveAverage="0" equalAverage="0" bottom="0" percent="0" rank="0" text="" dxfId="14">
      <formula>21</formula>
      <formula>40</formula>
    </cfRule>
    <cfRule type="cellIs" priority="4" operator="between" aboveAverage="0" equalAverage="0" bottom="0" percent="0" rank="0" text="" dxfId="15">
      <formula>41</formula>
      <formula>60</formula>
    </cfRule>
    <cfRule type="cellIs" priority="5" operator="between" aboveAverage="0" equalAverage="0" bottom="0" percent="0" rank="0" text="" dxfId="16">
      <formula>61</formula>
      <formula>80</formula>
    </cfRule>
    <cfRule type="cellIs" priority="6" operator="between" aboveAverage="0" equalAverage="0" bottom="0" percent="0" rank="0" text="" dxfId="17">
      <formula>81</formula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U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"/>
    <col collapsed="false" customWidth="true" hidden="false" outlineLevel="0" max="11" min="11" style="0" width="16"/>
    <col collapsed="false" customWidth="true" hidden="false" outlineLevel="0" max="12" min="12" style="0" width="4"/>
    <col collapsed="false" customWidth="true" hidden="false" outlineLevel="0" max="13" min="13" style="0" width="14"/>
    <col collapsed="false" customWidth="true" hidden="false" outlineLevel="0" max="14" min="14" style="0" width="4"/>
    <col collapsed="false" customWidth="true" hidden="false" outlineLevel="0" max="15" min="15" style="0" width="14"/>
    <col collapsed="false" customWidth="true" hidden="false" outlineLevel="0" max="16" min="16" style="0" width="4"/>
    <col collapsed="false" customWidth="true" hidden="false" outlineLevel="0" max="17" min="17" style="0" width="20"/>
    <col collapsed="false" customWidth="true" hidden="false" outlineLevel="0" max="18" min="18" style="0" width="4"/>
    <col collapsed="false" customWidth="true" hidden="false" outlineLevel="0" max="19" min="19" style="0" width="22"/>
    <col collapsed="false" customWidth="true" hidden="false" outlineLevel="0" max="20" min="20" style="0" width="4"/>
    <col collapsed="false" customWidth="true" hidden="false" outlineLevel="0" max="21" min="21" style="0" width="16"/>
  </cols>
  <sheetData>
    <row r="1" customFormat="false" ht="17.35" hidden="false" customHeight="false" outlineLevel="0" collapsed="false">
      <c r="A1" s="1" t="s">
        <v>834</v>
      </c>
    </row>
    <row r="2" customFormat="false" ht="15" hidden="false" customHeight="false" outlineLevel="0" collapsed="false">
      <c r="A2" s="2" t="s">
        <v>835</v>
      </c>
    </row>
    <row r="3" customFormat="false" ht="23.85" hidden="false" customHeight="false" outlineLevel="0" collapsed="false">
      <c r="A3" s="7" t="s">
        <v>556</v>
      </c>
      <c r="B3" s="7"/>
      <c r="C3" s="7"/>
      <c r="D3" s="7" t="s">
        <v>552</v>
      </c>
      <c r="E3" s="7" t="s">
        <v>836</v>
      </c>
      <c r="F3" s="7"/>
      <c r="G3" s="7" t="s">
        <v>837</v>
      </c>
      <c r="H3" s="7" t="s">
        <v>599</v>
      </c>
      <c r="I3" s="7" t="s">
        <v>838</v>
      </c>
      <c r="J3" s="7"/>
      <c r="K3" s="7" t="s">
        <v>839</v>
      </c>
      <c r="L3" s="7"/>
      <c r="M3" s="7" t="s">
        <v>840</v>
      </c>
      <c r="N3" s="7"/>
      <c r="O3" s="7" t="s">
        <v>841</v>
      </c>
      <c r="P3" s="7"/>
      <c r="Q3" s="7" t="s">
        <v>842</v>
      </c>
      <c r="R3" s="7"/>
      <c r="S3" s="7" t="s">
        <v>843</v>
      </c>
      <c r="T3" s="7"/>
      <c r="U3" s="7" t="s">
        <v>844</v>
      </c>
    </row>
    <row r="4" customFormat="false" ht="15" hidden="false" customHeight="false" outlineLevel="0" collapsed="false">
      <c r="A4" s="14" t="s">
        <v>845</v>
      </c>
      <c r="D4" s="14" t="s">
        <v>106</v>
      </c>
      <c r="E4" s="14" t="n">
        <v>5</v>
      </c>
      <c r="G4" s="14" t="n">
        <v>0</v>
      </c>
      <c r="H4" s="14" t="s">
        <v>602</v>
      </c>
      <c r="I4" s="14" t="n">
        <v>20</v>
      </c>
      <c r="K4" s="14" t="s">
        <v>846</v>
      </c>
      <c r="M4" s="14" t="s">
        <v>621</v>
      </c>
      <c r="O4" s="14" t="s">
        <v>656</v>
      </c>
      <c r="Q4" s="14" t="s">
        <v>847</v>
      </c>
      <c r="S4" s="14" t="s">
        <v>800</v>
      </c>
      <c r="U4" s="14" t="s">
        <v>654</v>
      </c>
    </row>
    <row r="5" customFormat="false" ht="15" hidden="false" customHeight="false" outlineLevel="0" collapsed="false">
      <c r="A5" s="14" t="s">
        <v>621</v>
      </c>
      <c r="D5" s="14" t="s">
        <v>220</v>
      </c>
      <c r="E5" s="14" t="n">
        <v>4</v>
      </c>
      <c r="G5" s="14" t="n">
        <v>21</v>
      </c>
      <c r="H5" s="14" t="s">
        <v>603</v>
      </c>
      <c r="I5" s="14" t="n">
        <v>40</v>
      </c>
      <c r="K5" s="14" t="s">
        <v>848</v>
      </c>
      <c r="M5" s="14" t="s">
        <v>849</v>
      </c>
      <c r="O5" s="14" t="s">
        <v>850</v>
      </c>
      <c r="Q5" s="14" t="s">
        <v>614</v>
      </c>
      <c r="S5" s="14" t="s">
        <v>801</v>
      </c>
      <c r="U5" s="14" t="s">
        <v>668</v>
      </c>
    </row>
    <row r="6" customFormat="false" ht="15" hidden="false" customHeight="false" outlineLevel="0" collapsed="false">
      <c r="A6" s="14" t="s">
        <v>849</v>
      </c>
      <c r="D6" s="14" t="s">
        <v>374</v>
      </c>
      <c r="E6" s="14" t="n">
        <v>4</v>
      </c>
      <c r="G6" s="14" t="n">
        <v>41</v>
      </c>
      <c r="H6" s="14" t="s">
        <v>604</v>
      </c>
      <c r="I6" s="14" t="n">
        <v>60</v>
      </c>
      <c r="K6" s="14" t="s">
        <v>851</v>
      </c>
      <c r="M6" s="14" t="s">
        <v>627</v>
      </c>
      <c r="O6" s="14" t="s">
        <v>852</v>
      </c>
      <c r="Q6" s="14" t="s">
        <v>853</v>
      </c>
      <c r="S6" s="14" t="s">
        <v>802</v>
      </c>
    </row>
    <row r="7" customFormat="false" ht="15" hidden="false" customHeight="false" outlineLevel="0" collapsed="false">
      <c r="A7" s="14" t="s">
        <v>627</v>
      </c>
      <c r="D7" s="14" t="s">
        <v>854</v>
      </c>
      <c r="E7" s="14" t="n">
        <v>3</v>
      </c>
      <c r="G7" s="14" t="n">
        <v>61</v>
      </c>
      <c r="H7" s="14" t="s">
        <v>605</v>
      </c>
      <c r="I7" s="14" t="n">
        <v>80</v>
      </c>
      <c r="K7" s="14" t="s">
        <v>855</v>
      </c>
      <c r="O7" s="14" t="s">
        <v>856</v>
      </c>
      <c r="Q7" s="14" t="s">
        <v>857</v>
      </c>
      <c r="S7" s="14" t="s">
        <v>308</v>
      </c>
    </row>
    <row r="8" customFormat="false" ht="15" hidden="false" customHeight="false" outlineLevel="0" collapsed="false">
      <c r="A8" s="14" t="s">
        <v>629</v>
      </c>
      <c r="D8" s="14" t="s">
        <v>858</v>
      </c>
      <c r="E8" s="14" t="n">
        <v>2</v>
      </c>
      <c r="G8" s="14" t="n">
        <v>81</v>
      </c>
      <c r="H8" s="14" t="s">
        <v>606</v>
      </c>
      <c r="I8" s="14" t="n">
        <v>100</v>
      </c>
      <c r="K8" s="14" t="s">
        <v>859</v>
      </c>
      <c r="Q8" s="14" t="s">
        <v>860</v>
      </c>
      <c r="S8" s="14" t="s">
        <v>480</v>
      </c>
    </row>
    <row r="9" customFormat="false" ht="15" hidden="false" customHeight="false" outlineLevel="0" collapsed="false">
      <c r="D9" s="14" t="s">
        <v>861</v>
      </c>
      <c r="E9" s="14" t="n">
        <v>1</v>
      </c>
      <c r="S9" s="14" t="s">
        <v>489</v>
      </c>
    </row>
    <row r="12" customFormat="false" ht="23.85" hidden="false" customHeight="false" outlineLevel="0" collapsed="false">
      <c r="A12" s="7" t="s">
        <v>821</v>
      </c>
      <c r="B12" s="7"/>
      <c r="C12" s="7"/>
      <c r="D12" s="7" t="s">
        <v>592</v>
      </c>
      <c r="E12" s="7"/>
      <c r="F12" s="7"/>
      <c r="G12" s="7" t="s">
        <v>862</v>
      </c>
      <c r="H12" s="7"/>
      <c r="I12" s="7"/>
      <c r="J12" s="7"/>
      <c r="K12" s="7" t="s">
        <v>863</v>
      </c>
      <c r="L12" s="7"/>
      <c r="M12" s="7" t="s">
        <v>565</v>
      </c>
      <c r="N12" s="7"/>
      <c r="O12" s="7" t="s">
        <v>88</v>
      </c>
    </row>
    <row r="13" customFormat="false" ht="15" hidden="false" customHeight="false" outlineLevel="0" collapsed="false">
      <c r="A13" s="14" t="s">
        <v>864</v>
      </c>
      <c r="D13" s="14" t="s">
        <v>610</v>
      </c>
      <c r="G13" s="14" t="s">
        <v>621</v>
      </c>
      <c r="K13" s="14" t="s">
        <v>865</v>
      </c>
      <c r="M13" s="14" t="s">
        <v>100</v>
      </c>
      <c r="O13" s="14" t="s">
        <v>102</v>
      </c>
    </row>
    <row r="14" customFormat="false" ht="15" hidden="false" customHeight="false" outlineLevel="0" collapsed="false">
      <c r="A14" s="14" t="s">
        <v>866</v>
      </c>
      <c r="D14" s="14" t="s">
        <v>612</v>
      </c>
      <c r="G14" s="14" t="s">
        <v>623</v>
      </c>
      <c r="K14" s="14" t="s">
        <v>867</v>
      </c>
      <c r="M14" s="14" t="s">
        <v>215</v>
      </c>
      <c r="O14" s="14" t="s">
        <v>150</v>
      </c>
    </row>
    <row r="15" customFormat="false" ht="15" hidden="false" customHeight="false" outlineLevel="0" collapsed="false">
      <c r="D15" s="14" t="s">
        <v>614</v>
      </c>
      <c r="G15" s="14" t="s">
        <v>625</v>
      </c>
      <c r="K15" s="14" t="s">
        <v>868</v>
      </c>
      <c r="M15" s="14" t="s">
        <v>325</v>
      </c>
      <c r="O15" s="14" t="s">
        <v>230</v>
      </c>
    </row>
    <row r="16" customFormat="false" ht="15" hidden="false" customHeight="false" outlineLevel="0" collapsed="false">
      <c r="D16" s="14" t="s">
        <v>616</v>
      </c>
      <c r="G16" s="14" t="s">
        <v>627</v>
      </c>
      <c r="K16" s="14" t="s">
        <v>869</v>
      </c>
      <c r="M16" s="14" t="s">
        <v>456</v>
      </c>
    </row>
    <row r="17" customFormat="false" ht="15" hidden="false" customHeight="false" outlineLevel="0" collapsed="false">
      <c r="D17" s="14" t="s">
        <v>618</v>
      </c>
      <c r="G17" s="14" t="s">
        <v>629</v>
      </c>
      <c r="K17" s="14" t="s">
        <v>870</v>
      </c>
    </row>
    <row r="18" customFormat="false" ht="15" hidden="false" customHeight="false" outlineLevel="0" collapsed="false">
      <c r="K18" s="14" t="s">
        <v>871</v>
      </c>
    </row>
    <row r="19" customFormat="false" ht="15" hidden="false" customHeight="false" outlineLevel="0" collapsed="false">
      <c r="K19" s="14" t="s">
        <v>872</v>
      </c>
    </row>
    <row r="20" customFormat="false" ht="15" hidden="false" customHeight="false" outlineLevel="0" collapsed="false">
      <c r="K20" s="14" t="s">
        <v>873</v>
      </c>
    </row>
    <row r="21" customFormat="false" ht="15" hidden="false" customHeight="false" outlineLevel="0" collapsed="false">
      <c r="K21" s="14" t="s">
        <v>874</v>
      </c>
    </row>
    <row r="22" customFormat="false" ht="15" hidden="false" customHeight="false" outlineLevel="0" collapsed="false">
      <c r="K22" s="14" t="s">
        <v>875</v>
      </c>
    </row>
    <row r="23" customFormat="false" ht="15" hidden="false" customHeight="false" outlineLevel="0" collapsed="false">
      <c r="K23" s="14" t="s">
        <v>876</v>
      </c>
    </row>
    <row r="24" customFormat="false" ht="15" hidden="false" customHeight="false" outlineLevel="0" collapsed="false">
      <c r="K24" s="14" t="s">
        <v>877</v>
      </c>
    </row>
    <row r="25" customFormat="false" ht="15" hidden="false" customHeight="false" outlineLevel="0" collapsed="false">
      <c r="K25" s="14" t="s">
        <v>878</v>
      </c>
    </row>
    <row r="26" customFormat="false" ht="15" hidden="false" customHeight="false" outlineLevel="0" collapsed="false">
      <c r="K26" s="14" t="s">
        <v>879</v>
      </c>
    </row>
    <row r="27" customFormat="false" ht="15" hidden="false" customHeight="false" outlineLevel="0" collapsed="false">
      <c r="K27" s="14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881</v>
      </c>
    </row>
    <row r="2" customFormat="false" ht="15" hidden="false" customHeight="false" outlineLevel="0" collapsed="false">
      <c r="A2" s="2" t="s">
        <v>882</v>
      </c>
    </row>
    <row r="3" customFormat="false" ht="23.85" hidden="false" customHeight="false" outlineLevel="0" collapsed="false">
      <c r="A3" s="7" t="s">
        <v>42</v>
      </c>
      <c r="B3" s="7" t="s">
        <v>883</v>
      </c>
      <c r="C3" s="7" t="s">
        <v>884</v>
      </c>
      <c r="D3" s="7" t="s">
        <v>885</v>
      </c>
      <c r="E3" s="7" t="s">
        <v>886</v>
      </c>
      <c r="F3" s="7" t="s">
        <v>887</v>
      </c>
      <c r="G3" s="7" t="s">
        <v>888</v>
      </c>
      <c r="H3" s="7" t="s">
        <v>39</v>
      </c>
    </row>
    <row r="4" customFormat="false" ht="43.5" hidden="false" customHeight="true" outlineLevel="0" collapsed="false">
      <c r="A4" s="8" t="s">
        <v>889</v>
      </c>
      <c r="B4" s="14" t="s">
        <v>890</v>
      </c>
      <c r="C4" s="14" t="s">
        <v>891</v>
      </c>
      <c r="D4" s="14" t="s">
        <v>892</v>
      </c>
      <c r="E4" s="14" t="s">
        <v>893</v>
      </c>
      <c r="F4" s="14" t="s">
        <v>894</v>
      </c>
      <c r="G4" s="14" t="s">
        <v>629</v>
      </c>
      <c r="H4" s="14"/>
    </row>
    <row r="5" customFormat="false" ht="43.5" hidden="false" customHeight="true" outlineLevel="0" collapsed="false">
      <c r="A5" s="8" t="s">
        <v>895</v>
      </c>
      <c r="B5" s="14" t="s">
        <v>896</v>
      </c>
      <c r="C5" s="14" t="s">
        <v>897</v>
      </c>
      <c r="D5" s="14" t="s">
        <v>898</v>
      </c>
      <c r="E5" s="14" t="s">
        <v>899</v>
      </c>
      <c r="F5" s="14" t="s">
        <v>900</v>
      </c>
      <c r="G5" s="14" t="s">
        <v>629</v>
      </c>
      <c r="H5" s="14"/>
    </row>
    <row r="6" customFormat="false" ht="43.5" hidden="false" customHeight="true" outlineLevel="0" collapsed="false">
      <c r="A6" s="8" t="s">
        <v>901</v>
      </c>
      <c r="B6" s="14" t="s">
        <v>902</v>
      </c>
      <c r="C6" s="14" t="s">
        <v>903</v>
      </c>
      <c r="D6" s="14" t="s">
        <v>904</v>
      </c>
      <c r="E6" s="14" t="s">
        <v>905</v>
      </c>
      <c r="F6" s="14" t="s">
        <v>906</v>
      </c>
      <c r="G6" s="14" t="s">
        <v>629</v>
      </c>
      <c r="H6" s="14"/>
    </row>
    <row r="7" customFormat="false" ht="43.5" hidden="false" customHeight="true" outlineLevel="0" collapsed="false">
      <c r="A7" s="8" t="s">
        <v>907</v>
      </c>
      <c r="B7" s="14" t="s">
        <v>908</v>
      </c>
      <c r="C7" s="14" t="s">
        <v>909</v>
      </c>
      <c r="D7" s="14" t="s">
        <v>910</v>
      </c>
      <c r="E7" s="14" t="s">
        <v>911</v>
      </c>
      <c r="F7" s="14" t="s">
        <v>912</v>
      </c>
      <c r="G7" s="14" t="s">
        <v>629</v>
      </c>
      <c r="H7" s="14"/>
    </row>
    <row r="8" customFormat="false" ht="43.5" hidden="false" customHeight="true" outlineLevel="0" collapsed="false">
      <c r="A8" s="8" t="s">
        <v>913</v>
      </c>
      <c r="B8" s="14" t="s">
        <v>914</v>
      </c>
      <c r="C8" s="14" t="s">
        <v>915</v>
      </c>
      <c r="D8" s="14" t="s">
        <v>916</v>
      </c>
      <c r="E8" s="14" t="s">
        <v>917</v>
      </c>
      <c r="F8" s="14" t="s">
        <v>918</v>
      </c>
      <c r="G8" s="14" t="s">
        <v>629</v>
      </c>
      <c r="H8" s="14"/>
    </row>
    <row r="9" customFormat="false" ht="43.5" hidden="false" customHeight="true" outlineLevel="0" collapsed="false">
      <c r="A9" s="8" t="s">
        <v>919</v>
      </c>
      <c r="B9" s="14" t="s">
        <v>920</v>
      </c>
      <c r="C9" s="14" t="s">
        <v>921</v>
      </c>
      <c r="D9" s="14" t="s">
        <v>922</v>
      </c>
      <c r="E9" s="14" t="s">
        <v>923</v>
      </c>
      <c r="F9" s="14" t="s">
        <v>924</v>
      </c>
      <c r="G9" s="14" t="s">
        <v>629</v>
      </c>
      <c r="H9" s="14"/>
    </row>
    <row r="10" customFormat="false" ht="43.5" hidden="false" customHeight="true" outlineLevel="0" collapsed="false">
      <c r="A10" s="8" t="s">
        <v>925</v>
      </c>
      <c r="B10" s="14" t="s">
        <v>926</v>
      </c>
      <c r="C10" s="14" t="s">
        <v>927</v>
      </c>
      <c r="D10" s="14" t="s">
        <v>928</v>
      </c>
      <c r="E10" s="14" t="s">
        <v>929</v>
      </c>
      <c r="F10" s="14" t="s">
        <v>930</v>
      </c>
      <c r="G10" s="14" t="s">
        <v>629</v>
      </c>
      <c r="H10" s="14"/>
    </row>
    <row r="11" customFormat="false" ht="43.5" hidden="false" customHeight="true" outlineLevel="0" collapsed="false">
      <c r="A11" s="8" t="s">
        <v>931</v>
      </c>
      <c r="B11" s="14" t="s">
        <v>932</v>
      </c>
      <c r="C11" s="14" t="s">
        <v>933</v>
      </c>
      <c r="D11" s="14" t="s">
        <v>934</v>
      </c>
      <c r="E11" s="14" t="s">
        <v>935</v>
      </c>
      <c r="F11" s="14" t="s">
        <v>936</v>
      </c>
      <c r="G11" s="14" t="s">
        <v>629</v>
      </c>
      <c r="H11" s="14"/>
    </row>
    <row r="12" customFormat="false" ht="43.5" hidden="false" customHeight="true" outlineLevel="0" collapsed="false">
      <c r="A12" s="8" t="s">
        <v>937</v>
      </c>
      <c r="B12" s="14" t="s">
        <v>938</v>
      </c>
      <c r="C12" s="14" t="s">
        <v>939</v>
      </c>
      <c r="D12" s="14" t="s">
        <v>940</v>
      </c>
      <c r="E12" s="14" t="s">
        <v>941</v>
      </c>
      <c r="F12" s="14" t="s">
        <v>942</v>
      </c>
      <c r="G12" s="14" t="s">
        <v>627</v>
      </c>
      <c r="H12" s="14" t="s">
        <v>943</v>
      </c>
    </row>
    <row r="13" customFormat="false" ht="43.5" hidden="false" customHeight="true" outlineLevel="0" collapsed="false">
      <c r="A13" s="8" t="s">
        <v>944</v>
      </c>
      <c r="B13" s="14" t="s">
        <v>945</v>
      </c>
      <c r="C13" s="14" t="s">
        <v>946</v>
      </c>
      <c r="D13" s="14" t="s">
        <v>947</v>
      </c>
      <c r="E13" s="14" t="s">
        <v>948</v>
      </c>
      <c r="F13" s="14" t="s">
        <v>949</v>
      </c>
      <c r="G13" s="14" t="s">
        <v>629</v>
      </c>
      <c r="H13" s="14"/>
    </row>
    <row r="14" customFormat="false" ht="43.5" hidden="false" customHeight="true" outlineLevel="0" collapsed="false">
      <c r="A14" s="8" t="s">
        <v>950</v>
      </c>
      <c r="B14" s="14" t="s">
        <v>951</v>
      </c>
      <c r="C14" s="14" t="s">
        <v>952</v>
      </c>
      <c r="D14" s="14" t="s">
        <v>953</v>
      </c>
      <c r="E14" s="14" t="s">
        <v>954</v>
      </c>
      <c r="F14" s="14" t="s">
        <v>955</v>
      </c>
      <c r="G14" s="14" t="s">
        <v>629</v>
      </c>
      <c r="H14" s="14" t="s">
        <v>956</v>
      </c>
    </row>
    <row r="15" customFormat="false" ht="43.5" hidden="false" customHeight="true" outlineLevel="0" collapsed="false">
      <c r="A15" s="8" t="s">
        <v>957</v>
      </c>
      <c r="B15" s="14" t="s">
        <v>958</v>
      </c>
      <c r="C15" s="14" t="s">
        <v>959</v>
      </c>
      <c r="D15" s="14" t="s">
        <v>960</v>
      </c>
      <c r="E15" s="14" t="s">
        <v>961</v>
      </c>
      <c r="F15" s="14" t="s">
        <v>962</v>
      </c>
      <c r="G15" s="14" t="s">
        <v>629</v>
      </c>
      <c r="H15" s="14"/>
    </row>
    <row r="16" customFormat="false" ht="43.5" hidden="false" customHeight="true" outlineLevel="0" collapsed="false">
      <c r="A16" s="8" t="s">
        <v>963</v>
      </c>
      <c r="B16" s="14" t="s">
        <v>964</v>
      </c>
      <c r="C16" s="14" t="s">
        <v>965</v>
      </c>
      <c r="D16" s="14" t="s">
        <v>966</v>
      </c>
      <c r="E16" s="14" t="s">
        <v>967</v>
      </c>
      <c r="F16" s="14" t="s">
        <v>968</v>
      </c>
      <c r="G16" s="14" t="s">
        <v>627</v>
      </c>
      <c r="H16" s="14" t="s">
        <v>969</v>
      </c>
    </row>
    <row r="17" customFormat="false" ht="43.5" hidden="false" customHeight="true" outlineLevel="0" collapsed="false">
      <c r="A17" s="8" t="s">
        <v>970</v>
      </c>
      <c r="B17" s="14" t="s">
        <v>971</v>
      </c>
      <c r="C17" s="14" t="s">
        <v>972</v>
      </c>
      <c r="D17" s="14" t="s">
        <v>973</v>
      </c>
      <c r="E17" s="14" t="s">
        <v>974</v>
      </c>
      <c r="F17" s="14" t="s">
        <v>975</v>
      </c>
      <c r="G17" s="14" t="s">
        <v>627</v>
      </c>
      <c r="H17" s="14" t="s">
        <v>976</v>
      </c>
    </row>
    <row r="18" customFormat="false" ht="43.5" hidden="false" customHeight="true" outlineLevel="0" collapsed="false">
      <c r="A18" s="8" t="s">
        <v>977</v>
      </c>
      <c r="B18" s="14" t="s">
        <v>978</v>
      </c>
      <c r="C18" s="14" t="s">
        <v>979</v>
      </c>
      <c r="D18" s="14" t="s">
        <v>980</v>
      </c>
      <c r="E18" s="14" t="s">
        <v>981</v>
      </c>
      <c r="F18" s="14" t="s">
        <v>982</v>
      </c>
      <c r="G18" s="14" t="s">
        <v>629</v>
      </c>
      <c r="H18" s="14"/>
    </row>
    <row r="19" customFormat="false" ht="43.5" hidden="false" customHeight="true" outlineLevel="0" collapsed="false">
      <c r="A19" s="8" t="s">
        <v>983</v>
      </c>
      <c r="B19" s="14" t="s">
        <v>984</v>
      </c>
      <c r="C19" s="14" t="s">
        <v>985</v>
      </c>
      <c r="D19" s="14" t="s">
        <v>986</v>
      </c>
      <c r="E19" s="14" t="s">
        <v>987</v>
      </c>
      <c r="F19" s="14" t="s">
        <v>988</v>
      </c>
      <c r="G19" s="14" t="s">
        <v>629</v>
      </c>
      <c r="H19" s="14" t="s">
        <v>989</v>
      </c>
    </row>
    <row r="20" customFormat="false" ht="43.5" hidden="false" customHeight="true" outlineLevel="0" collapsed="false">
      <c r="A20" s="8" t="s">
        <v>990</v>
      </c>
      <c r="B20" s="14" t="s">
        <v>991</v>
      </c>
      <c r="C20" s="14" t="s">
        <v>992</v>
      </c>
      <c r="D20" s="14" t="s">
        <v>993</v>
      </c>
      <c r="E20" s="14" t="s">
        <v>994</v>
      </c>
      <c r="F20" s="14" t="s">
        <v>995</v>
      </c>
      <c r="G20" s="14" t="s">
        <v>627</v>
      </c>
      <c r="H20" s="14" t="s">
        <v>996</v>
      </c>
    </row>
    <row r="21" customFormat="false" ht="43.5" hidden="false" customHeight="true" outlineLevel="0" collapsed="false">
      <c r="A21" s="8" t="s">
        <v>997</v>
      </c>
      <c r="B21" s="14" t="s">
        <v>998</v>
      </c>
      <c r="C21" s="14" t="s">
        <v>999</v>
      </c>
      <c r="D21" s="14" t="s">
        <v>1000</v>
      </c>
      <c r="E21" s="14" t="s">
        <v>1001</v>
      </c>
      <c r="F21" s="14" t="s">
        <v>1002</v>
      </c>
      <c r="G21" s="14" t="s">
        <v>629</v>
      </c>
      <c r="H21" s="14"/>
    </row>
    <row r="22" customFormat="false" ht="43.5" hidden="false" customHeight="true" outlineLevel="0" collapsed="false">
      <c r="A22" s="8" t="s">
        <v>1003</v>
      </c>
      <c r="B22" s="14" t="s">
        <v>1004</v>
      </c>
      <c r="C22" s="14" t="s">
        <v>1005</v>
      </c>
      <c r="D22" s="14" t="s">
        <v>1006</v>
      </c>
      <c r="E22" s="14" t="s">
        <v>1007</v>
      </c>
      <c r="F22" s="14" t="s">
        <v>1008</v>
      </c>
      <c r="G22" s="14" t="s">
        <v>627</v>
      </c>
      <c r="H22" s="14"/>
    </row>
    <row r="23" customFormat="false" ht="43.5" hidden="false" customHeight="true" outlineLevel="0" collapsed="false">
      <c r="A23" s="8" t="s">
        <v>1009</v>
      </c>
      <c r="B23" s="14" t="s">
        <v>964</v>
      </c>
      <c r="C23" s="14" t="s">
        <v>1010</v>
      </c>
      <c r="D23" s="14" t="s">
        <v>1011</v>
      </c>
      <c r="E23" s="14" t="s">
        <v>1012</v>
      </c>
      <c r="F23" s="14" t="s">
        <v>1013</v>
      </c>
      <c r="G23" s="14" t="s">
        <v>849</v>
      </c>
      <c r="H23" s="14" t="s">
        <v>1014</v>
      </c>
    </row>
    <row r="24" customFormat="false" ht="43.5" hidden="false" customHeight="true" outlineLevel="0" collapsed="false">
      <c r="A24" s="8" t="s">
        <v>1015</v>
      </c>
      <c r="B24" s="14" t="s">
        <v>1016</v>
      </c>
      <c r="C24" s="14" t="s">
        <v>1017</v>
      </c>
      <c r="D24" s="14" t="s">
        <v>1018</v>
      </c>
      <c r="E24" s="14" t="s">
        <v>1019</v>
      </c>
      <c r="F24" s="14" t="s">
        <v>1020</v>
      </c>
      <c r="G24" s="14" t="s">
        <v>629</v>
      </c>
      <c r="H24" s="14"/>
    </row>
    <row r="25" customFormat="false" ht="43.5" hidden="false" customHeight="true" outlineLevel="0" collapsed="false">
      <c r="A25" s="8" t="s">
        <v>1021</v>
      </c>
      <c r="B25" s="14" t="s">
        <v>1022</v>
      </c>
      <c r="C25" s="14" t="s">
        <v>1023</v>
      </c>
      <c r="D25" s="14" t="s">
        <v>1024</v>
      </c>
      <c r="E25" s="14" t="s">
        <v>1025</v>
      </c>
      <c r="F25" s="14" t="s">
        <v>1026</v>
      </c>
      <c r="G25" s="14" t="s">
        <v>849</v>
      </c>
      <c r="H25" s="14" t="s">
        <v>1027</v>
      </c>
    </row>
    <row r="26" customFormat="false" ht="43.5" hidden="false" customHeight="true" outlineLevel="0" collapsed="false">
      <c r="A26" s="8" t="s">
        <v>1028</v>
      </c>
      <c r="B26" s="14" t="s">
        <v>1029</v>
      </c>
      <c r="C26" s="14" t="s">
        <v>1030</v>
      </c>
      <c r="D26" s="14" t="s">
        <v>1031</v>
      </c>
      <c r="E26" s="14" t="s">
        <v>1032</v>
      </c>
      <c r="F26" s="14" t="s">
        <v>1033</v>
      </c>
      <c r="G26" s="14" t="s">
        <v>621</v>
      </c>
      <c r="H26" s="14" t="s">
        <v>1034</v>
      </c>
    </row>
    <row r="27" customFormat="false" ht="43.5" hidden="false" customHeight="true" outlineLevel="0" collapsed="false">
      <c r="A27" s="8" t="s">
        <v>1035</v>
      </c>
      <c r="B27" s="14" t="s">
        <v>1036</v>
      </c>
      <c r="C27" s="14" t="s">
        <v>1037</v>
      </c>
      <c r="D27" s="14" t="s">
        <v>1038</v>
      </c>
      <c r="E27" s="14" t="s">
        <v>1039</v>
      </c>
      <c r="F27" s="14" t="s">
        <v>1040</v>
      </c>
      <c r="G27" s="14" t="s">
        <v>849</v>
      </c>
      <c r="H27" s="14" t="s">
        <v>1041</v>
      </c>
    </row>
  </sheetData>
  <autoFilter ref="A3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1042</v>
      </c>
    </row>
    <row r="2" customFormat="false" ht="15" hidden="false" customHeight="false" outlineLevel="0" collapsed="false">
      <c r="A2" s="2" t="s">
        <v>1043</v>
      </c>
    </row>
    <row r="4" customFormat="false" ht="15" hidden="false" customHeight="false" outlineLevel="0" collapsed="false">
      <c r="A4" s="8" t="s">
        <v>1044</v>
      </c>
      <c r="B4" s="14" t="s">
        <v>1045</v>
      </c>
    </row>
    <row r="5" customFormat="false" ht="15" hidden="false" customHeight="false" outlineLevel="0" collapsed="false">
      <c r="A5" s="8" t="s">
        <v>1046</v>
      </c>
      <c r="B5" s="14" t="s">
        <v>1047</v>
      </c>
    </row>
    <row r="6" customFormat="false" ht="15" hidden="false" customHeight="false" outlineLevel="0" collapsed="false">
      <c r="A6" s="8" t="s">
        <v>1048</v>
      </c>
      <c r="B6" s="14" t="s">
        <v>1049</v>
      </c>
    </row>
    <row r="7" customFormat="false" ht="15" hidden="false" customHeight="false" outlineLevel="0" collapsed="false">
      <c r="A7" s="8" t="s">
        <v>1050</v>
      </c>
      <c r="B7" s="14" t="s">
        <v>1051</v>
      </c>
    </row>
    <row r="8" customFormat="false" ht="15" hidden="false" customHeight="false" outlineLevel="0" collapsed="false">
      <c r="A8" s="8" t="s">
        <v>1052</v>
      </c>
      <c r="B8" s="14" t="s">
        <v>1053</v>
      </c>
    </row>
    <row r="9" customFormat="false" ht="15" hidden="false" customHeight="false" outlineLevel="0" collapsed="false">
      <c r="A9" s="8" t="s">
        <v>1054</v>
      </c>
      <c r="B9" s="14" t="s">
        <v>1055</v>
      </c>
    </row>
    <row r="10" customFormat="false" ht="15" hidden="false" customHeight="false" outlineLevel="0" collapsed="false">
      <c r="A10" s="8" t="s">
        <v>1056</v>
      </c>
      <c r="B10" s="14" t="s">
        <v>1057</v>
      </c>
    </row>
    <row r="11" customFormat="false" ht="15" hidden="false" customHeight="false" outlineLevel="0" collapsed="false">
      <c r="A11" s="8" t="s">
        <v>1058</v>
      </c>
      <c r="B11" s="14" t="s">
        <v>1059</v>
      </c>
    </row>
    <row r="12" customFormat="false" ht="23.85" hidden="false" customHeight="false" outlineLevel="0" collapsed="false">
      <c r="A12" s="8" t="s">
        <v>1060</v>
      </c>
      <c r="B12" s="14" t="s">
        <v>1061</v>
      </c>
    </row>
    <row r="13" customFormat="false" ht="15" hidden="false" customHeight="false" outlineLevel="0" collapsed="false">
      <c r="A13" s="8" t="s">
        <v>31</v>
      </c>
      <c r="B13" s="14" t="s">
        <v>1062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8"/>
  </cols>
  <sheetData>
    <row r="1" customFormat="false" ht="17.35" hidden="false" customHeight="false" outlineLevel="0" collapsed="false">
      <c r="A1" s="55" t="s">
        <v>1063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3" customFormat="false" ht="15" hidden="false" customHeight="true" outlineLevel="0" collapsed="false">
      <c r="A3" s="56" t="s">
        <v>1064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5" customFormat="false" ht="15" hidden="false" customHeight="true" outlineLevel="0" collapsed="false">
      <c r="A5" s="56" t="s">
        <v>1065</v>
      </c>
      <c r="B5" s="56"/>
      <c r="C5" s="56"/>
      <c r="D5" s="56"/>
      <c r="E5" s="56" t="s">
        <v>1066</v>
      </c>
      <c r="F5" s="56"/>
      <c r="G5" s="56"/>
      <c r="H5" s="56"/>
      <c r="I5" s="56" t="s">
        <v>1067</v>
      </c>
      <c r="J5" s="56"/>
      <c r="K5" s="56"/>
      <c r="L5" s="56"/>
    </row>
    <row r="6" customFormat="false" ht="69.75" hidden="false" customHeight="true" outlineLevel="0" collapsed="false">
      <c r="A6" s="43" t="s">
        <v>1068</v>
      </c>
      <c r="B6" s="43"/>
      <c r="C6" s="43"/>
      <c r="D6" s="43"/>
      <c r="E6" s="43" t="s">
        <v>1069</v>
      </c>
      <c r="F6" s="43"/>
      <c r="G6" s="43"/>
      <c r="H6" s="43"/>
      <c r="I6" s="43" t="s">
        <v>1070</v>
      </c>
      <c r="J6" s="43"/>
      <c r="K6" s="43"/>
      <c r="L6" s="43"/>
    </row>
    <row r="8" customFormat="false" ht="15" hidden="false" customHeight="true" outlineLevel="0" collapsed="false">
      <c r="A8" s="56" t="s">
        <v>1071</v>
      </c>
      <c r="B8" s="56"/>
      <c r="C8" s="56"/>
      <c r="D8" s="57" t="s">
        <v>1072</v>
      </c>
      <c r="E8" s="57"/>
      <c r="F8" s="57"/>
      <c r="G8" s="58" t="s">
        <v>1073</v>
      </c>
      <c r="H8" s="58"/>
      <c r="I8" s="58"/>
      <c r="J8" s="59" t="s">
        <v>1074</v>
      </c>
      <c r="K8" s="59"/>
      <c r="L8" s="59"/>
    </row>
    <row r="9" customFormat="false" ht="69.75" hidden="false" customHeight="true" outlineLevel="0" collapsed="false">
      <c r="A9" s="43" t="s">
        <v>1075</v>
      </c>
      <c r="B9" s="43"/>
      <c r="C9" s="43"/>
      <c r="D9" s="43" t="s">
        <v>1076</v>
      </c>
      <c r="E9" s="43"/>
      <c r="F9" s="43"/>
      <c r="G9" s="43" t="s">
        <v>1077</v>
      </c>
      <c r="H9" s="43"/>
      <c r="I9" s="43"/>
      <c r="J9" s="43" t="s">
        <v>1078</v>
      </c>
      <c r="K9" s="43"/>
      <c r="L9" s="43"/>
    </row>
    <row r="11" customFormat="false" ht="15" hidden="false" customHeight="true" outlineLevel="0" collapsed="false">
      <c r="A11" s="59" t="s">
        <v>1079</v>
      </c>
      <c r="B11" s="59"/>
      <c r="C11" s="59"/>
      <c r="D11" s="56" t="s">
        <v>1080</v>
      </c>
      <c r="E11" s="56"/>
      <c r="F11" s="56"/>
      <c r="G11" s="56" t="s">
        <v>1081</v>
      </c>
      <c r="H11" s="56"/>
      <c r="I11" s="56"/>
      <c r="J11" s="56" t="s">
        <v>1082</v>
      </c>
      <c r="K11" s="56"/>
      <c r="L11" s="56"/>
    </row>
    <row r="12" customFormat="false" ht="69.75" hidden="false" customHeight="true" outlineLevel="0" collapsed="false">
      <c r="A12" s="43" t="s">
        <v>1083</v>
      </c>
      <c r="B12" s="43"/>
      <c r="C12" s="43"/>
      <c r="D12" s="43" t="s">
        <v>1084</v>
      </c>
      <c r="E12" s="43"/>
      <c r="F12" s="43"/>
      <c r="G12" s="43" t="s">
        <v>1085</v>
      </c>
      <c r="H12" s="43"/>
      <c r="I12" s="43"/>
      <c r="J12" s="43" t="s">
        <v>1086</v>
      </c>
      <c r="K12" s="43"/>
      <c r="L12" s="43"/>
    </row>
    <row r="14" customFormat="false" ht="15" hidden="false" customHeight="true" outlineLevel="0" collapsed="false">
      <c r="A14" s="60" t="s">
        <v>1087</v>
      </c>
      <c r="B14" s="60"/>
      <c r="C14" s="60"/>
      <c r="D14" s="60"/>
      <c r="E14" s="60"/>
      <c r="F14" s="60"/>
      <c r="G14" s="60"/>
      <c r="H14" s="56" t="s">
        <v>1088</v>
      </c>
      <c r="I14" s="56"/>
      <c r="J14" s="56"/>
      <c r="K14" s="56"/>
      <c r="L14" s="56"/>
    </row>
    <row r="15" customFormat="false" ht="90" hidden="false" customHeight="true" outlineLevel="0" collapsed="false">
      <c r="A15" s="43" t="s">
        <v>1089</v>
      </c>
      <c r="B15" s="43"/>
      <c r="C15" s="43"/>
      <c r="D15" s="43"/>
      <c r="E15" s="43"/>
      <c r="F15" s="43"/>
      <c r="G15" s="43"/>
      <c r="H15" s="43" t="s">
        <v>1090</v>
      </c>
      <c r="I15" s="43"/>
      <c r="J15" s="43"/>
      <c r="K15" s="43"/>
      <c r="L15" s="43"/>
    </row>
    <row r="17" customFormat="false" ht="15" hidden="false" customHeight="true" outlineLevel="0" collapsed="false">
      <c r="A17" s="56" t="s">
        <v>1091</v>
      </c>
      <c r="B17" s="56"/>
      <c r="C17" s="56"/>
      <c r="D17" s="56"/>
      <c r="E17" s="56" t="s">
        <v>1092</v>
      </c>
      <c r="F17" s="56"/>
      <c r="G17" s="56" t="s">
        <v>1093</v>
      </c>
      <c r="H17" s="56"/>
      <c r="I17" s="56" t="s">
        <v>1094</v>
      </c>
      <c r="J17" s="56"/>
      <c r="K17" s="56" t="s">
        <v>1095</v>
      </c>
      <c r="L17" s="56"/>
    </row>
    <row r="18" customFormat="false" ht="99.75" hidden="false" customHeight="true" outlineLevel="0" collapsed="false">
      <c r="A18" s="43" t="s">
        <v>1096</v>
      </c>
      <c r="B18" s="43"/>
      <c r="C18" s="43"/>
      <c r="D18" s="43"/>
      <c r="E18" s="43" t="s">
        <v>1097</v>
      </c>
      <c r="F18" s="43"/>
      <c r="G18" s="43" t="s">
        <v>1098</v>
      </c>
      <c r="H18" s="43"/>
      <c r="I18" s="43" t="s">
        <v>1099</v>
      </c>
      <c r="J18" s="43"/>
      <c r="K18" s="43" t="s">
        <v>1100</v>
      </c>
      <c r="L18" s="43"/>
    </row>
    <row r="20" customFormat="false" ht="15" hidden="false" customHeight="true" outlineLevel="0" collapsed="false">
      <c r="A20" s="56" t="s">
        <v>1101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</sheetData>
  <mergeCells count="39">
    <mergeCell ref="A1:L1"/>
    <mergeCell ref="A3:L3"/>
    <mergeCell ref="A5:D5"/>
    <mergeCell ref="E5:H5"/>
    <mergeCell ref="I5:L5"/>
    <mergeCell ref="A6:D6"/>
    <mergeCell ref="E6:H6"/>
    <mergeCell ref="I6:L6"/>
    <mergeCell ref="A8:C8"/>
    <mergeCell ref="D8:F8"/>
    <mergeCell ref="G8:I8"/>
    <mergeCell ref="J8:L8"/>
    <mergeCell ref="A9:C9"/>
    <mergeCell ref="D9:F9"/>
    <mergeCell ref="G9:I9"/>
    <mergeCell ref="J9:L9"/>
    <mergeCell ref="A11:C11"/>
    <mergeCell ref="D11:F11"/>
    <mergeCell ref="G11:I11"/>
    <mergeCell ref="J11:L11"/>
    <mergeCell ref="A12:C12"/>
    <mergeCell ref="D12:F12"/>
    <mergeCell ref="G12:I12"/>
    <mergeCell ref="J12:L12"/>
    <mergeCell ref="A14:G14"/>
    <mergeCell ref="H14:L14"/>
    <mergeCell ref="A15:G15"/>
    <mergeCell ref="H15:L15"/>
    <mergeCell ref="A17:D17"/>
    <mergeCell ref="E17:F17"/>
    <mergeCell ref="G17:H17"/>
    <mergeCell ref="I17:J17"/>
    <mergeCell ref="K17:L17"/>
    <mergeCell ref="A18:D18"/>
    <mergeCell ref="E18:F18"/>
    <mergeCell ref="G18:H18"/>
    <mergeCell ref="I18:J18"/>
    <mergeCell ref="K18:L18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1102</v>
      </c>
    </row>
    <row r="3" customFormat="false" ht="15" hidden="false" customHeight="false" outlineLevel="0" collapsed="false">
      <c r="A3" s="7" t="s">
        <v>1103</v>
      </c>
      <c r="B3" s="7" t="s">
        <v>1104</v>
      </c>
      <c r="C3" s="7" t="s">
        <v>1105</v>
      </c>
    </row>
    <row r="4" customFormat="false" ht="15" hidden="false" customHeight="false" outlineLevel="0" collapsed="false">
      <c r="A4" s="8" t="s">
        <v>1106</v>
      </c>
      <c r="B4" s="14" t="s">
        <v>1107</v>
      </c>
      <c r="C4" s="16" t="s">
        <v>1108</v>
      </c>
    </row>
    <row r="5" customFormat="false" ht="15" hidden="false" customHeight="false" outlineLevel="0" collapsed="false">
      <c r="A5" s="8" t="s">
        <v>1109</v>
      </c>
      <c r="B5" s="14" t="s">
        <v>1110</v>
      </c>
      <c r="C5" s="16" t="s">
        <v>1108</v>
      </c>
    </row>
    <row r="6" customFormat="false" ht="15" hidden="false" customHeight="false" outlineLevel="0" collapsed="false">
      <c r="A6" s="8" t="s">
        <v>1111</v>
      </c>
      <c r="B6" s="14" t="s">
        <v>1112</v>
      </c>
      <c r="C6" s="16" t="s">
        <v>1108</v>
      </c>
    </row>
    <row r="7" customFormat="false" ht="15" hidden="false" customHeight="false" outlineLevel="0" collapsed="false">
      <c r="A7" s="8" t="s">
        <v>1113</v>
      </c>
      <c r="B7" s="14" t="s">
        <v>1114</v>
      </c>
      <c r="C7" s="16" t="s">
        <v>1108</v>
      </c>
    </row>
    <row r="8" customFormat="false" ht="15" hidden="false" customHeight="false" outlineLevel="0" collapsed="false">
      <c r="A8" s="8" t="s">
        <v>1115</v>
      </c>
      <c r="B8" s="14" t="s">
        <v>1116</v>
      </c>
      <c r="C8" s="16" t="s">
        <v>1108</v>
      </c>
    </row>
    <row r="9" customFormat="false" ht="15" hidden="false" customHeight="false" outlineLevel="0" collapsed="false">
      <c r="A9" s="8" t="s">
        <v>1117</v>
      </c>
      <c r="B9" s="14" t="s">
        <v>1118</v>
      </c>
      <c r="C9" s="16" t="s">
        <v>1108</v>
      </c>
    </row>
    <row r="10" customFormat="false" ht="15" hidden="false" customHeight="false" outlineLevel="0" collapsed="false">
      <c r="A10" s="8" t="s">
        <v>1119</v>
      </c>
      <c r="B10" s="14" t="s">
        <v>1120</v>
      </c>
      <c r="C10" s="16" t="s">
        <v>1108</v>
      </c>
    </row>
    <row r="11" customFormat="false" ht="15" hidden="false" customHeight="false" outlineLevel="0" collapsed="false">
      <c r="A11" s="8" t="s">
        <v>1121</v>
      </c>
      <c r="B11" s="14" t="s">
        <v>1122</v>
      </c>
      <c r="C11" s="16" t="s">
        <v>1108</v>
      </c>
    </row>
    <row r="12" customFormat="false" ht="15" hidden="false" customHeight="false" outlineLevel="0" collapsed="false">
      <c r="A12" s="8" t="s">
        <v>1123</v>
      </c>
      <c r="B12" s="14" t="s">
        <v>1124</v>
      </c>
      <c r="C12" s="16" t="s">
        <v>1108</v>
      </c>
    </row>
    <row r="13" customFormat="false" ht="15" hidden="false" customHeight="false" outlineLevel="0" collapsed="false">
      <c r="A13" s="8" t="s">
        <v>1125</v>
      </c>
      <c r="B13" s="14" t="s">
        <v>1126</v>
      </c>
      <c r="C13" s="16" t="s">
        <v>1108</v>
      </c>
    </row>
    <row r="14" customFormat="false" ht="15" hidden="false" customHeight="false" outlineLevel="0" collapsed="false">
      <c r="A14" s="8" t="s">
        <v>1127</v>
      </c>
      <c r="B14" s="14" t="s">
        <v>1128</v>
      </c>
      <c r="C14" s="16" t="s">
        <v>1108</v>
      </c>
    </row>
    <row r="15" customFormat="false" ht="15" hidden="false" customHeight="false" outlineLevel="0" collapsed="false">
      <c r="A15" s="8" t="s">
        <v>1129</v>
      </c>
      <c r="B15" s="14" t="s">
        <v>1130</v>
      </c>
      <c r="C15" s="16" t="s">
        <v>1108</v>
      </c>
    </row>
    <row r="16" customFormat="false" ht="15" hidden="false" customHeight="false" outlineLevel="0" collapsed="false">
      <c r="A16" s="8" t="s">
        <v>1131</v>
      </c>
      <c r="B16" s="14" t="s">
        <v>1132</v>
      </c>
      <c r="C16" s="16" t="s">
        <v>1108</v>
      </c>
    </row>
    <row r="17" customFormat="false" ht="15" hidden="false" customHeight="false" outlineLevel="0" collapsed="false">
      <c r="A17" s="8" t="s">
        <v>1133</v>
      </c>
      <c r="B17" s="14" t="s">
        <v>1134</v>
      </c>
      <c r="C17" s="16" t="s">
        <v>1108</v>
      </c>
    </row>
    <row r="18" customFormat="false" ht="15" hidden="false" customHeight="false" outlineLevel="0" collapsed="false">
      <c r="A18" s="8" t="s">
        <v>1135</v>
      </c>
      <c r="B18" s="14" t="s">
        <v>1136</v>
      </c>
      <c r="C18" s="16" t="s">
        <v>1108</v>
      </c>
    </row>
    <row r="19" customFormat="false" ht="15" hidden="false" customHeight="false" outlineLevel="0" collapsed="false">
      <c r="A19" s="8" t="s">
        <v>1137</v>
      </c>
      <c r="B19" s="14" t="s">
        <v>1138</v>
      </c>
      <c r="C19" s="16" t="s">
        <v>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1139</v>
      </c>
    </row>
    <row r="3" customFormat="false" ht="420" hidden="false" customHeight="true" outlineLevel="0" collapsed="false">
      <c r="A3" s="4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909C"/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7" t="s">
        <v>1141</v>
      </c>
      <c r="B1" s="7" t="s">
        <v>1142</v>
      </c>
      <c r="C1" s="7" t="s">
        <v>1143</v>
      </c>
      <c r="D1" s="7" t="s">
        <v>1144</v>
      </c>
      <c r="E1" s="7" t="s">
        <v>1121</v>
      </c>
    </row>
    <row r="2" customFormat="false" ht="15" hidden="false" customHeight="false" outlineLevel="0" collapsed="false">
      <c r="A2" s="31" t="s">
        <v>1145</v>
      </c>
      <c r="B2" s="14" t="s">
        <v>1146</v>
      </c>
      <c r="C2" s="16" t="n">
        <v>1</v>
      </c>
      <c r="D2" s="16" t="s">
        <v>1147</v>
      </c>
      <c r="E2" s="14" t="s">
        <v>1148</v>
      </c>
    </row>
    <row r="3" customFormat="false" ht="15" hidden="false" customHeight="false" outlineLevel="0" collapsed="false">
      <c r="A3" s="31" t="s">
        <v>1149</v>
      </c>
      <c r="B3" s="14" t="s">
        <v>1150</v>
      </c>
      <c r="C3" s="16" t="n">
        <v>1</v>
      </c>
      <c r="D3" s="16" t="s">
        <v>1151</v>
      </c>
      <c r="E3" s="14" t="s">
        <v>1152</v>
      </c>
    </row>
    <row r="4" customFormat="false" ht="15" hidden="false" customHeight="false" outlineLevel="0" collapsed="false">
      <c r="A4" s="31" t="s">
        <v>1153</v>
      </c>
      <c r="B4" s="14" t="s">
        <v>1154</v>
      </c>
      <c r="C4" s="16" t="n">
        <v>1</v>
      </c>
      <c r="D4" s="16" t="s">
        <v>1155</v>
      </c>
      <c r="E4" s="14" t="s">
        <v>1156</v>
      </c>
    </row>
    <row r="5" customFormat="false" ht="15" hidden="false" customHeight="false" outlineLevel="0" collapsed="false">
      <c r="A5" s="31" t="s">
        <v>1157</v>
      </c>
      <c r="B5" s="14" t="s">
        <v>1158</v>
      </c>
      <c r="C5" s="16" t="n">
        <v>2</v>
      </c>
      <c r="D5" s="16" t="s">
        <v>1159</v>
      </c>
      <c r="E5" s="14" t="s">
        <v>1160</v>
      </c>
    </row>
    <row r="6" customFormat="false" ht="15" hidden="false" customHeight="false" outlineLevel="0" collapsed="false">
      <c r="A6" s="31" t="s">
        <v>1161</v>
      </c>
      <c r="B6" s="14" t="s">
        <v>1162</v>
      </c>
      <c r="C6" s="16" t="n">
        <v>2</v>
      </c>
      <c r="D6" s="16" t="s">
        <v>1163</v>
      </c>
      <c r="E6" s="14" t="s">
        <v>1164</v>
      </c>
    </row>
    <row r="7" customFormat="false" ht="15" hidden="false" customHeight="false" outlineLevel="0" collapsed="false">
      <c r="A7" s="31" t="s">
        <v>1165</v>
      </c>
      <c r="B7" s="14" t="s">
        <v>1166</v>
      </c>
      <c r="C7" s="16" t="n">
        <v>2</v>
      </c>
      <c r="D7" s="16" t="s">
        <v>1167</v>
      </c>
      <c r="E7" s="14" t="s">
        <v>1168</v>
      </c>
    </row>
    <row r="8" customFormat="false" ht="15" hidden="false" customHeight="false" outlineLevel="0" collapsed="false">
      <c r="A8" s="31" t="s">
        <v>1169</v>
      </c>
      <c r="B8" s="14" t="s">
        <v>1170</v>
      </c>
      <c r="C8" s="16" t="n">
        <v>2</v>
      </c>
      <c r="D8" s="16" t="s">
        <v>1171</v>
      </c>
      <c r="E8" s="14" t="s">
        <v>1172</v>
      </c>
    </row>
    <row r="9" customFormat="false" ht="15" hidden="false" customHeight="false" outlineLevel="0" collapsed="false">
      <c r="A9" s="31" t="s">
        <v>1173</v>
      </c>
      <c r="B9" s="14" t="s">
        <v>216</v>
      </c>
      <c r="C9" s="16" t="n">
        <v>3</v>
      </c>
      <c r="D9" s="16" t="s">
        <v>1159</v>
      </c>
      <c r="E9" s="14" t="s">
        <v>1174</v>
      </c>
    </row>
    <row r="10" customFormat="false" ht="15" hidden="false" customHeight="false" outlineLevel="0" collapsed="false">
      <c r="A10" s="31" t="s">
        <v>1175</v>
      </c>
      <c r="B10" s="14" t="s">
        <v>1176</v>
      </c>
      <c r="C10" s="16" t="n">
        <v>3</v>
      </c>
      <c r="D10" s="16" t="s">
        <v>1163</v>
      </c>
      <c r="E10" s="14" t="s">
        <v>1177</v>
      </c>
    </row>
    <row r="11" customFormat="false" ht="15" hidden="false" customHeight="false" outlineLevel="0" collapsed="false">
      <c r="A11" s="31" t="s">
        <v>1178</v>
      </c>
      <c r="B11" s="14" t="s">
        <v>1179</v>
      </c>
      <c r="C11" s="16" t="n">
        <v>3</v>
      </c>
      <c r="D11" s="16" t="s">
        <v>1167</v>
      </c>
      <c r="E11" s="14" t="s">
        <v>1180</v>
      </c>
    </row>
    <row r="12" customFormat="false" ht="15" hidden="false" customHeight="false" outlineLevel="0" collapsed="false">
      <c r="A12" s="31" t="s">
        <v>1181</v>
      </c>
      <c r="B12" s="14" t="s">
        <v>1182</v>
      </c>
      <c r="C12" s="16" t="n">
        <v>3</v>
      </c>
      <c r="D12" s="16" t="s">
        <v>1171</v>
      </c>
      <c r="E12" s="14" t="s">
        <v>1183</v>
      </c>
    </row>
    <row r="13" customFormat="false" ht="15" hidden="false" customHeight="false" outlineLevel="0" collapsed="false">
      <c r="A13" s="31" t="s">
        <v>1184</v>
      </c>
      <c r="B13" s="14" t="s">
        <v>1131</v>
      </c>
      <c r="C13" s="16" t="n">
        <v>4</v>
      </c>
      <c r="D13" s="16" t="s">
        <v>1185</v>
      </c>
      <c r="E13" s="14" t="s">
        <v>1186</v>
      </c>
    </row>
    <row r="14" customFormat="false" ht="15" hidden="false" customHeight="false" outlineLevel="0" collapsed="false">
      <c r="A14" s="31" t="s">
        <v>1187</v>
      </c>
      <c r="B14" s="14" t="s">
        <v>1188</v>
      </c>
      <c r="C14" s="16" t="n">
        <v>4</v>
      </c>
      <c r="D14" s="16" t="s">
        <v>1189</v>
      </c>
      <c r="E14" s="14" t="s">
        <v>1190</v>
      </c>
    </row>
    <row r="15" customFormat="false" ht="15" hidden="false" customHeight="false" outlineLevel="0" collapsed="false">
      <c r="A15" s="31" t="s">
        <v>1191</v>
      </c>
      <c r="B15" s="14" t="s">
        <v>1192</v>
      </c>
      <c r="C15" s="16" t="n">
        <v>5</v>
      </c>
      <c r="D15" s="16" t="s">
        <v>1147</v>
      </c>
      <c r="E15" s="14" t="s">
        <v>1193</v>
      </c>
    </row>
    <row r="16" customFormat="false" ht="15" hidden="false" customHeight="false" outlineLevel="0" collapsed="false">
      <c r="A16" s="31" t="s">
        <v>1194</v>
      </c>
      <c r="B16" s="14" t="s">
        <v>1195</v>
      </c>
      <c r="C16" s="16" t="n">
        <v>5</v>
      </c>
      <c r="D16" s="16" t="s">
        <v>1196</v>
      </c>
      <c r="E16" s="14" t="s">
        <v>1197</v>
      </c>
    </row>
    <row r="17" customFormat="false" ht="15" hidden="false" customHeight="false" outlineLevel="0" collapsed="false">
      <c r="A17" s="31" t="s">
        <v>1198</v>
      </c>
      <c r="B17" s="14" t="s">
        <v>1199</v>
      </c>
      <c r="C17" s="16" t="n">
        <v>5</v>
      </c>
      <c r="D17" s="16" t="s">
        <v>1200</v>
      </c>
      <c r="E17" s="14" t="s">
        <v>1201</v>
      </c>
    </row>
    <row r="18" customFormat="false" ht="15" hidden="false" customHeight="false" outlineLevel="0" collapsed="false">
      <c r="A18" s="31" t="s">
        <v>1202</v>
      </c>
      <c r="B18" s="14" t="s">
        <v>1203</v>
      </c>
      <c r="C18" s="16" t="n">
        <v>5</v>
      </c>
      <c r="D18" s="16" t="s">
        <v>1204</v>
      </c>
      <c r="E18" s="14" t="s">
        <v>1205</v>
      </c>
    </row>
    <row r="19" customFormat="false" ht="15" hidden="false" customHeight="false" outlineLevel="0" collapsed="false">
      <c r="A19" s="31" t="s">
        <v>1206</v>
      </c>
      <c r="B19" s="14" t="s">
        <v>1133</v>
      </c>
      <c r="C19" s="16" t="n">
        <v>5</v>
      </c>
      <c r="D19" s="16" t="s">
        <v>1207</v>
      </c>
      <c r="E19" s="14" t="s">
        <v>1208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2026-10-05T19:57:44Z</dcterms:created>
  <dc:creator>openpyxl</dc:creator>
  <dc:description/>
  <dc:language>en-US</dc:language>
  <cp:lastModifiedBy/>
  <dcterms:modified xsi:type="dcterms:W3CDTF">2026-10-05T19:57:45Z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