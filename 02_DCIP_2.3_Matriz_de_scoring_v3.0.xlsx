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_v3" sheetId="1" state="visible" r:id="rId3"/>
    <sheet name="Reglas" sheetId="2" state="visible" r:id="rId4"/>
    <sheet name="Control" sheetId="3" state="visible" r:id="rId5"/>
    <sheet name="Confianza" sheetId="4" state="visible" r:id="rId6"/>
    <sheet name="Bandas_y_escalas" sheetId="5" state="visible" r:id="rId7"/>
    <sheet name="Mapeo_2.2_a_2.3" sheetId="6" state="visible" r:id="rId8"/>
  </sheets>
  <definedNames>
    <definedName function="false" hidden="true" localSheetId="0" name="_xlnm._FilterDatabase" vbProcedure="false">Matriz_v3!$A$1:$N$42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<sst xmlns="http://schemas.openxmlformats.org/spreadsheetml/2006/main" count="894" uniqueCount="588">
  <si>
    <t xml:space="preserve">ID</t>
  </si>
  <si>
    <t xml:space="preserve">DIM</t>
  </si>
  <si>
    <t xml:space="preserve">INDICADOR</t>
  </si>
  <si>
    <t xml:space="preserve">PESO</t>
  </si>
  <si>
    <t xml:space="preserve">POLARIDAD</t>
  </si>
  <si>
    <t xml:space="preserve">METRICA</t>
  </si>
  <si>
    <t xml:space="preserve">NIVEL 0</t>
  </si>
  <si>
    <t xml:space="preserve">NIVEL 25</t>
  </si>
  <si>
    <t xml:space="preserve">NIVEL 50</t>
  </si>
  <si>
    <t xml:space="preserve">NIVEL 75</t>
  </si>
  <si>
    <t xml:space="preserve">NIVEL 100</t>
  </si>
  <si>
    <t xml:space="preserve">FUENTE_PREF</t>
  </si>
  <si>
    <t xml:space="preserve">NO_DOBLE_CONTEO</t>
  </si>
  <si>
    <t xml:space="preserve">REGLA DE USO</t>
  </si>
  <si>
    <t xml:space="preserve">F01</t>
  </si>
  <si>
    <t xml:space="preserve">FIN</t>
  </si>
  <si>
    <t xml:space="preserve">Rentabilidad operativa</t>
  </si>
  <si>
    <t xml:space="preserve">Mayor es mejor</t>
  </si>
  <si>
    <t xml:space="preserve">Margen EBIT = resultado de explotación / cifra de negocio.</t>
  </si>
  <si>
    <t xml:space="preserve">EBIT negativo.</t>
  </si>
  <si>
    <t xml:space="preserve">Margen 0–3 %.</t>
  </si>
  <si>
    <t xml:space="preserve">Margen 3–7 %.</t>
  </si>
  <si>
    <t xml:space="preserve">Margen 7–11 %.</t>
  </si>
  <si>
    <t xml:space="preserve">Margen superior al 11 %.</t>
  </si>
  <si>
    <t xml:space="preserve">N1</t>
  </si>
  <si>
    <t xml:space="preserve">F02, P05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</si>
  <si>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Usar EBIT reportado. Si la empresa publica un EBIT ajustado, declararlo como cálculo de la fuente y puntuar con el reportado. Equivalencias: IFRS 'operating profit'; US GAAP 'operating income'; GAAP local, verificar partida y declarar.</t>
  </si>
  <si>
    <t xml:space="preserve">F02</t>
  </si>
  <si>
    <t xml:space="preserve">Evolución de rentabilidad</t>
  </si>
  <si>
    <t xml:space="preserve">Margen EBIT (t) − margen EBIT (t-2), perímetro homogéneo.</t>
  </si>
  <si>
    <t xml:space="preserve">Deterioro superior a 3 pp o paso a pérdidas.</t>
  </si>
  <si>
    <t xml:space="preserve">Deterioro de 1 a 3 pp.</t>
  </si>
  <si>
    <t xml:space="preserve">Estable, variación dentro de ±1 pp.</t>
  </si>
  <si>
    <t xml:space="preserve">Mejora de 1 a 3 pp.</t>
  </si>
  <si>
    <t xml:space="preserve">Mejora superior a 3 pp con tendencia sostenida en los tres ejercicios.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</si>
  <si>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Si ha habido cambio de perímetro (adquisiciones, desinversiones), comparar sobre cifras reexpresadas o declarar la ruptura de serie.</t>
  </si>
  <si>
    <t xml:space="preserve">F03</t>
  </si>
  <si>
    <t xml:space="preserve">Generación de caja operativa</t>
  </si>
  <si>
    <t xml:space="preserve">Flujo de caja operativo / EBITDA (o / EBIT si el EBITDA no está publicado), media de los dos últimos ejercicios.</t>
  </si>
  <si>
    <t xml:space="preserve">FCO negativo en dos de los tres últimos ejercicios.</t>
  </si>
  <si>
    <t xml:space="preserve">FCO negativo en el último ejercicio.</t>
  </si>
  <si>
    <t xml:space="preserve">FCO positivo pero inferior al 50 % del EBITDA.</t>
  </si>
  <si>
    <t xml:space="preserve">FCO entre el 50 % y el 90 % del EBITDA.</t>
  </si>
  <si>
    <t xml:space="preserve">FCO igual o superior al 90 % del EBITDA de forma sostenida.</t>
  </si>
  <si>
    <t xml:space="preserve">F04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</si>
  <si>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Los anticipos de clientes en contratos de defensa distorsionan el FCO de un ejercicio concreto. Declarar su peso y usar la media de dos ejercicios.</t>
  </si>
  <si>
    <t xml:space="preserve">Liquidez</t>
  </si>
  <si>
    <t xml:space="preserve">Ratio corriente (activo corriente / pasivo corriente) y cobertura de los vencimientos financieros a 12 meses con caja y líneas disponibles.</t>
  </si>
  <si>
    <t xml:space="preserve">Caja y líneas no cubren los vencimientos a 12 meses, o ratio corriente inferior a 0,7.</t>
  </si>
  <si>
    <t xml:space="preserve">Ratio corriente 0,7–0,9.</t>
  </si>
  <si>
    <t xml:space="preserve">Ratio corriente 0,9–1,1.</t>
  </si>
  <si>
    <t xml:space="preserve">Ratio corriente 1,1–1,4 y vencimientos a 12 meses cubiertos.</t>
  </si>
  <si>
    <t xml:space="preserve">Ratio corriente superior a 1,4 y vencimientos a 24 meses cubiertos.</t>
  </si>
  <si>
    <t xml:space="preserve">F03, F05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</si>
  <si>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Los anticipos de clientes figuran como pasivo corriente contractual y reducen el ratio sin ser deuda exigible en efectivo. Declararlos.</t>
  </si>
  <si>
    <t xml:space="preserve">F05</t>
  </si>
  <si>
    <t xml:space="preserve">Endeudamiento financiero</t>
  </si>
  <si>
    <t xml:space="preserve">Menor es mejor</t>
  </si>
  <si>
    <t xml:space="preserve">Deuda financiera neta / EBITDA. Deuda financiera = préstamos + bonos + pasivos por arrendamiento − caja y equivalentes.</t>
  </si>
  <si>
    <t xml:space="preserve">Superior a 4x, o EBITDA nulo o negativo con deuda.</t>
  </si>
  <si>
    <t xml:space="preserve">Entre 3x y 4x.</t>
  </si>
  <si>
    <t xml:space="preserve">Entre 2x y 3x.</t>
  </si>
  <si>
    <t xml:space="preserve">Entre 1x y 2x.</t>
  </si>
  <si>
    <t xml:space="preserve">Inferior a 1x o posición de caja neta.</t>
  </si>
  <si>
    <t xml:space="preserve">F06, F07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</si>
  <si>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Los préstamos participativos, la deuda subordinada pública y los instrumentos híbridos se declaran por separado y no se suman a la deuda ordinaria sin indicarlo. Bajo IFRS 16 los arrendamientos son deuda; bajo US GAAP los operativos no, declarar la diferencia.</t>
  </si>
  <si>
    <t xml:space="preserve">F06</t>
  </si>
  <si>
    <t xml:space="preserve">Patrimonio y solvencia</t>
  </si>
  <si>
    <t xml:space="preserve">Patrimonio neto / activo total y existencia de causas legales de recapitalización o disolución.</t>
  </si>
  <si>
    <t xml:space="preserve">Patrimonio neto negativo o causa legal de disolución o recapitalización forzosa.</t>
  </si>
  <si>
    <t xml:space="preserve">Patrimonio inferior al 10 % del activo.</t>
  </si>
  <si>
    <t xml:space="preserve">Patrimonio entre el 10 % y el 20 % del activo.</t>
  </si>
  <si>
    <t xml:space="preserve">Patrimonio entre el 20 % y el 35 % del activo.</t>
  </si>
  <si>
    <t xml:space="preserve">Patrimonio superior al 35 % del activo sin ampliaciones de rescate en los últimos cinco ejercicios.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</si>
  <si>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Las ampliaciones de capital suscritas por el Estado para cubrir pérdidas se computan como rescate. Las suscritas para financiar inversión con plan de retorno no.</t>
  </si>
  <si>
    <t xml:space="preserve">F07</t>
  </si>
  <si>
    <t xml:space="preserve">Dependencia financiera de apoyo público</t>
  </si>
  <si>
    <t xml:space="preserve">(Subvenciones de explotación + aportaciones de capital para cubrir pérdidas + préstamos blandos o participativos + avales públicos ejecutados) / cifra de negocio, media de tres ejercicios.</t>
  </si>
  <si>
    <t xml:space="preserve">Superior al 20 %, o recapitalización pública recurrente para cubrir pérdidas.</t>
  </si>
  <si>
    <t xml:space="preserve">Entre el 10 % y el 20 %.</t>
  </si>
  <si>
    <t xml:space="preserve">Entre el 5 % y el 10 %.</t>
  </si>
  <si>
    <t xml:space="preserve">Entre el 1 % y el 5 %.</t>
  </si>
  <si>
    <t xml:space="preserve">Inferior al 1 %.</t>
  </si>
  <si>
    <t xml:space="preserve">F05, F06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</si>
  <si>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Una empresa de propiedad pública sin apoyo financiero puntúa 100. Los contratos de I+D remunerados a precio de mercado no son apoyo; la prefinanciación ministerial a tipo cero o los préstamos reembolsables sin interés sí lo son. En cada jurisdicción identificar el instrumento equivalente.</t>
  </si>
  <si>
    <t xml:space="preserve">F08</t>
  </si>
  <si>
    <t xml:space="preserve">Cartera: cobertura y conversión</t>
  </si>
  <si>
    <t xml:space="preserve">Cartera firme / cifra de negocio (años de actividad cubiertos) y ratio de conversión histórica (ingresos del ejercicio / cartera prevista a ejecutar en el ejercicio).</t>
  </si>
  <si>
    <t xml:space="preserve">Inferior a 0,5 años, o definición de cartera no verificable.</t>
  </si>
  <si>
    <t xml:space="preserve">Entre 0,5 y 1 año.</t>
  </si>
  <si>
    <t xml:space="preserve">Entre 1 y 2 años.</t>
  </si>
  <si>
    <t xml:space="preserve">Entre 2 y 3 años con conversión regular.</t>
  </si>
  <si>
    <t xml:space="preserve">Superior a 3 años, cartera firme con definición contractual y conversión histórica acreditada.</t>
  </si>
  <si>
    <t xml:space="preserve">D02, P02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</si>
  <si>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Si la fuente no separa cartera firme de opciones o pipeline, la puntuación máxima es 50 y se etiqueta como ESTIMACIÓN. D02 evalúa la composición y firmeza de la cartera militar; P02 la cobertura de los ingresos previstos. Un mismo dato de cartera no puede elevar los tres.</t>
  </si>
  <si>
    <t xml:space="preserve">F09</t>
  </si>
  <si>
    <t xml:space="preserve">Disciplina de capital</t>
  </si>
  <si>
    <t xml:space="preserve">(Capex + I+D autofinanciada + dividendos + adquisiciones) frente al flujo de caja operativo, y resultado de las adquisiciones (deterioros).</t>
  </si>
  <si>
    <t xml:space="preserve">Inversión y retribución financiadas con deuda creciente o apoyo público, sin retorno visible.</t>
  </si>
  <si>
    <t xml:space="preserve">Inversión errática o adquisiciones con deterioros relevantes.</t>
  </si>
  <si>
    <t xml:space="preserve">Inversión cubierta por caja pero sin priorización clara.</t>
  </si>
  <si>
    <t xml:space="preserve">Inversión cubierta por caja y priorizada hacia programas con contrato.</t>
  </si>
  <si>
    <t xml:space="preserve">Ciclo de inversión completo financiado con caja operativa y retornos demostrados.</t>
  </si>
  <si>
    <t xml:space="preserve">I08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</si>
  <si>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I08 evalúa el volumen y destino industrial del capex; F09 evalúa su financiación y disciplina.</t>
  </si>
  <si>
    <t xml:space="preserve">F10</t>
  </si>
  <si>
    <t xml:space="preserve">Riesgo financiero extraordinario</t>
  </si>
  <si>
    <t xml:space="preserve">(Provisiones por sobrecostes de programas + litigios + garantías ejecutables + sanciones + otras contingencias materiales) / cifra de negocio.</t>
  </si>
  <si>
    <t xml:space="preserve">Igual o superior al 10 %, o un evento con capacidad de comprometer la continuidad.</t>
  </si>
  <si>
    <t xml:space="preserve">Entre el 2 % y el 5 %.</t>
  </si>
  <si>
    <t xml:space="preserve">Inferior al 2 % con contingencias identificadas y cubiertas.</t>
  </si>
  <si>
    <t xml:space="preserve">Sin contingencias materiales, con opinión de auditoría sin salvedades.</t>
  </si>
  <si>
    <t xml:space="preserve">D12, P07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</si>
  <si>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Las sanciones internacionales y las restricciones de exportación se evalúan en D10; aquí solo su efecto financiero cuantificado.</t>
  </si>
  <si>
    <t xml:space="preserve">I01</t>
  </si>
  <si>
    <t xml:space="preserve">IND</t>
  </si>
  <si>
    <t xml:space="preserve">Capacidad industrial</t>
  </si>
  <si>
    <t xml:space="preserve">Subcriterios: (a) instalaciones y equipos existentes; (b) capacidad efectivamente utilizable (certificaciones, cuellos de botella); (c) producción y entregas acreditadas en los últimos tres años; (d) capacidad disponible para nueva carga.</t>
  </si>
  <si>
    <t xml:space="preserve">Capacidad instalada sin producción demostrada o instalaciones obsoletas.</t>
  </si>
  <si>
    <t xml:space="preserve">Capacidad instalada relevante pero efectiva limitada por cuellos de botella o certificaciones pendientes.</t>
  </si>
  <si>
    <t xml:space="preserve">Capacidad efectiva acreditada en producto de baja complejidad o series cortas.</t>
  </si>
  <si>
    <t xml:space="preserve">Capacidad demostrada con entregas de programas complejos en plazo en los últimos tres años.</t>
  </si>
  <si>
    <t xml:space="preserve">Capacidad demostrada en varios programas complejos simultáneos y con capacidad disponible para nueva carga.</t>
  </si>
  <si>
    <t xml:space="preserve">N2</t>
  </si>
  <si>
    <t xml:space="preserve">I02, I09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</si>
  <si>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Sustituye a los antiguos indicadores de capacidad instalada, efectiva y demostrada, que eran conceptos anidados y triplicaban el crédito.</t>
  </si>
  <si>
    <t xml:space="preserve">I02</t>
  </si>
  <si>
    <t xml:space="preserve">Carga y utilización</t>
  </si>
  <si>
    <t xml:space="preserve">Óptimo intermedio</t>
  </si>
  <si>
    <t xml:space="preserve">Utilización estimada de la capacidad efectiva y meses de carga contratada.</t>
  </si>
  <si>
    <t xml:space="preserve">Infrautilización inferior al 40 %, o saturación con retrasos acreditados.</t>
  </si>
  <si>
    <t xml:space="preserve">Utilización 40–60 %, o saturación con riesgos de plazo.</t>
  </si>
  <si>
    <t xml:space="preserve">Utilización 60–75 %.</t>
  </si>
  <si>
    <t xml:space="preserve">Utilización 75–90 % con carga contratada a 24 meses.</t>
  </si>
  <si>
    <t xml:space="preserve">Utilización 80–95 % con carga contratada superior a 36 meses y margen para absorber picos.</t>
  </si>
  <si>
    <t xml:space="preserve">I01, P06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</si>
  <si>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La saturación no es una fortaleza: una planta al 100 % con retrasos puntúa 0.</t>
  </si>
  <si>
    <t xml:space="preserve">I03</t>
  </si>
  <si>
    <t xml:space="preserve">Plantilla y cualificación</t>
  </si>
  <si>
    <t xml:space="preserve">Evolución de plantilla, edad media, cobertura de perfiles críticos, rotación, conflictividad laboral.</t>
  </si>
  <si>
    <t xml:space="preserve">Pérdida neta de plantilla crítica o conflictividad que detiene la producción.</t>
  </si>
  <si>
    <t xml:space="preserve">Envejecimiento sin relevo o vacantes críticas sin cubrir.</t>
  </si>
  <si>
    <t xml:space="preserve">Plantilla estable con cualificación adecuada y dependencias puntuales.</t>
  </si>
  <si>
    <t xml:space="preserve">Crecimiento planificado y programas de formación o cantera acreditados.</t>
  </si>
  <si>
    <t xml:space="preserve">Plantilla creciente, relevo generacional demostrado y retención de perfiles críticos documentada.</t>
  </si>
  <si>
    <t xml:space="preserve">P06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</si>
  <si>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Usar FTE cuando esté publicado. Declarar si la cifra incluye subcontratación interna.</t>
  </si>
  <si>
    <t xml:space="preserve">I04</t>
  </si>
  <si>
    <t xml:space="preserve">Productividad y ejecución de programas</t>
  </si>
  <si>
    <t xml:space="preserve">Historial de plazos y costes en los programas principales (3–5 años) e ingresos por empleado frente a pares homogéneos.</t>
  </si>
  <si>
    <t xml:space="preserve">Retrasos y sobrecostes sistemáticos en los programas principales.</t>
  </si>
  <si>
    <t xml:space="preserve">Retraso o sobrecoste relevante en el programa principal.</t>
  </si>
  <si>
    <t xml:space="preserve">Cumplimiento mayoritario con desviaciones documentadas.</t>
  </si>
  <si>
    <t xml:space="preserve">Cumplimiento en plazo y coste en los programas principales.</t>
  </si>
  <si>
    <t xml:space="preserve">Cumplimiento acreditado por el cliente y productividad superior a pares homogéneos.</t>
  </si>
  <si>
    <t xml:space="preserve">F10, P05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</si>
  <si>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La evidencia de cumplimiento procede del cliente (N1: informes de auditoría pública, agencias de adquisición) antes que de la empresa.</t>
  </si>
  <si>
    <t xml:space="preserve">I05</t>
  </si>
  <si>
    <t xml:space="preserve">Cadena de suministro</t>
  </si>
  <si>
    <t xml:space="preserve">Dependencia de proveedores únicos, geografía de riesgo, componentes críticos, segundas fuentes, trazabilidad.</t>
  </si>
  <si>
    <t xml:space="preserve">Dependencia crítica de un proveedor único en jurisdicción de riesgo sin alternativa.</t>
  </si>
  <si>
    <t xml:space="preserve">Dependencias críticas identificadas sin mitigación.</t>
  </si>
  <si>
    <t xml:space="preserve">Dependencias críticas con mitigación parcial: existencias de seguridad o segundas fuentes en curso.</t>
  </si>
  <si>
    <t xml:space="preserve">Segundas fuentes para componentes críticos y trazabilidad acreditada.</t>
  </si>
  <si>
    <t xml:space="preserve">Cadena diversificada y auditada, con control propio o aliado sobre componentes críticos.</t>
  </si>
  <si>
    <t xml:space="preserve">D10, I10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</si>
  <si>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D10 evalúa la dependencia regulatoria (licencias, ITAR); aquí la dependencia operativa y logística.</t>
  </si>
  <si>
    <t xml:space="preserve">I06</t>
  </si>
  <si>
    <t xml:space="preserve">Integración industrial</t>
  </si>
  <si>
    <t xml:space="preserve">Grado de integración vertical y procesos controlados internamente.</t>
  </si>
  <si>
    <t xml:space="preserve">Ensamblador bajo licencia sin control de procesos.</t>
  </si>
  <si>
    <t xml:space="preserve">Control de fabricación con diseño y pruebas externos.</t>
  </si>
  <si>
    <t xml:space="preserve">Control de fabricación e integración física en planta.</t>
  </si>
  <si>
    <t xml:space="preserve">Control de diseño, fabricación e integración.</t>
  </si>
  <si>
    <t xml:space="preserve">Control del ciclo industrial completo, incluidas pruebas y aceptación, en varias plantas coordinadas.</t>
  </si>
  <si>
    <t xml:space="preserve">D04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</si>
  <si>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D04 evalúa la integración de sistemas de misión (responsabilidad de arquitectura); I06 evalúa el control del proceso industrial.</t>
  </si>
  <si>
    <t xml:space="preserve">I07</t>
  </si>
  <si>
    <t xml:space="preserve">Digitalización industrial</t>
  </si>
  <si>
    <t xml:space="preserve">Ingeniería basada en modelos, gemelo digital, sistemas de ejecución de fabricación, resultados medidos.</t>
  </si>
  <si>
    <t xml:space="preserve">Sin evidencia.</t>
  </si>
  <si>
    <t xml:space="preserve">Iniciativas piloto.</t>
  </si>
  <si>
    <t xml:space="preserve">Sistemas de gestión y diseño digital implantados en la planta principal.</t>
  </si>
  <si>
    <t xml:space="preserve">Gemelo digital o ingeniería basada en modelos aplicados en programas en curso.</t>
  </si>
  <si>
    <t xml:space="preserve">Fabricación digital integrada en toda la red con resultados medidos y publicados.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</si>
  <si>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</t>
  </si>
  <si>
    <t xml:space="preserve">Inversión industrial</t>
  </si>
  <si>
    <t xml:space="preserve">Capex industrial / cifra de negocio (media de tres ejercicios) comparado con la amortización, y destino de la inversión.</t>
  </si>
  <si>
    <t xml:space="preserve">Capex inferior a la amortización de forma sostenida (descapitalización).</t>
  </si>
  <si>
    <t xml:space="preserve">Capex similar a la amortización sin proyectos definidos.</t>
  </si>
  <si>
    <t xml:space="preserve">Capex superior a la amortización con proyectos definidos.</t>
  </si>
  <si>
    <t xml:space="preserve">Plan de inversión plurianual en ejecución ligado a contratos.</t>
  </si>
  <si>
    <t xml:space="preserve">Inversiones completadas y operativas que amplían la capacidad demostrada.</t>
  </si>
  <si>
    <t xml:space="preserve">I09</t>
  </si>
  <si>
    <t xml:space="preserve">Escalabilidad</t>
  </si>
  <si>
    <t xml:space="preserve">Evidencia de aumento de cadencia, turnos, líneas o plantas; limitaciones de suelo, plantilla y proveedores.</t>
  </si>
  <si>
    <t xml:space="preserve">Imposible sin nueva planta.</t>
  </si>
  <si>
    <t xml:space="preserve">Escalado limitado por suelo, plantilla o proveedores sin plan.</t>
  </si>
  <si>
    <t xml:space="preserve">Escalado posible con inversión identificada.</t>
  </si>
  <si>
    <t xml:space="preserve">Escalado demostrado parcialmente (turnos, líneas adicionales).</t>
  </si>
  <si>
    <t xml:space="preserve">Aumento de cadencia demostrado recientemente o capacidad modular acreditada.</t>
  </si>
  <si>
    <t xml:space="preserve">I10</t>
  </si>
  <si>
    <t xml:space="preserve">Resiliencia industrial</t>
  </si>
  <si>
    <t xml:space="preserve">Redundancia de plantas y procesos críticos, planes de continuidad probados, certificaciones de seguridad.</t>
  </si>
  <si>
    <t xml:space="preserve">Planta única sin plan de continuidad.</t>
  </si>
  <si>
    <t xml:space="preserve">Planta única con plan de continuidad.</t>
  </si>
  <si>
    <t xml:space="preserve">Varias plantas con dependencias críticas únicas.</t>
  </si>
  <si>
    <t xml:space="preserve">Redundancia en procesos críticos y planes probados.</t>
  </si>
  <si>
    <t xml:space="preserve">Red redundante, certificaciones de seguridad y continuidad demostrada en un incidente real.</t>
  </si>
  <si>
    <t xml:space="preserve">I05, P09</t>
  </si>
  <si>
    <t xml:space="preserve">D01</t>
  </si>
  <si>
    <t xml:space="preserve">DEF</t>
  </si>
  <si>
    <t xml:space="preserve">Programas estratégicos</t>
  </si>
  <si>
    <t xml:space="preserve">Número de programas estratégicos con contrato en vigor y papel desempeñado: contratista principal, socio o suministrador.</t>
  </si>
  <si>
    <t xml:space="preserve">Ninguno.</t>
  </si>
  <si>
    <t xml:space="preserve">Suministrador de nivel 2 o 3 en uno.</t>
  </si>
  <si>
    <t xml:space="preserve">Socio o suministrador principal en uno.</t>
  </si>
  <si>
    <t xml:space="preserve">Contratista principal en uno, o socio en varios.</t>
  </si>
  <si>
    <t xml:space="preserve">Contratista principal en varios programas estratégicos nacionales o multinacionales con contrato en vigor.</t>
  </si>
  <si>
    <t xml:space="preserve">D11, P04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</si>
  <si>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La calificación de estratégico procede de documentación oficial (ley de programación, presupuesto, PESCO, EDF, acuerdos G2G), no de la empresa.</t>
  </si>
  <si>
    <t xml:space="preserve">D02</t>
  </si>
  <si>
    <t xml:space="preserve">Backlog militar firme</t>
  </si>
  <si>
    <t xml:space="preserve">Porcentaje de la cartera de defensa que es firme contractual frente a opciones, MoU y pipeline; respaldo presupuestario.</t>
  </si>
  <si>
    <t xml:space="preserve">Cartera no desglosada, o mayoritariamente MoU y expectativas.</t>
  </si>
  <si>
    <t xml:space="preserve">Cartera firme inferior al 50 %.</t>
  </si>
  <si>
    <t xml:space="preserve">Cartera firme entre el 50 % y el 75 %.</t>
  </si>
  <si>
    <t xml:space="preserve">Cartera firme superior al 75 % con opciones identificadas.</t>
  </si>
  <si>
    <t xml:space="preserve">Cartera firme superior al 85 % en contratos plurianuales con financiación presupuestaria aprobada.</t>
  </si>
  <si>
    <t xml:space="preserve">F08, P02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</si>
  <si>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F08 mide años de cobertura y conversión; D02 mide firmeza y composición. El mismo importe de cartera no puede elevar ambos.</t>
  </si>
  <si>
    <t xml:space="preserve">D03</t>
  </si>
  <si>
    <t xml:space="preserve">Sostenimiento y ciclo de vida</t>
  </si>
  <si>
    <t xml:space="preserve">Ingresos de sostenimiento / ingresos de defensa y contratos de apoyo al ciclo de vida en vigor.</t>
  </si>
  <si>
    <t xml:space="preserve">Sin actividad de sostenimiento.</t>
  </si>
  <si>
    <t xml:space="preserve">Inferior al 10 % de los ingresos de defensa o esporádica.</t>
  </si>
  <si>
    <t xml:space="preserve">Entre el 10 % y el 25 % con contratos.</t>
  </si>
  <si>
    <t xml:space="preserve">Entre el 25 % y el 40 % con contratos plurianuales.</t>
  </si>
  <si>
    <t xml:space="preserve">Superior al 40 %, o autoridad de diseño con contratos de ciclo de vida a largo plazo.</t>
  </si>
  <si>
    <t xml:space="preserve">P04</t>
  </si>
  <si>
    <t xml:space="preserve">Integración de sistemas</t>
  </si>
  <si>
    <t xml:space="preserve">Papel acreditado en programas entregados: componente, subsistema, integrador de subsistemas, integrador de plataforma, autoridad de diseño.</t>
  </si>
  <si>
    <t xml:space="preserve">Suministrador de componentes.</t>
  </si>
  <si>
    <t xml:space="preserve">Responsable de un subsistema.</t>
  </si>
  <si>
    <t xml:space="preserve">Integrador de subsistemas en plataforma de tercero.</t>
  </si>
  <si>
    <t xml:space="preserve">Integrador de plataforma en un programa entregado.</t>
  </si>
  <si>
    <t xml:space="preserve">Integrador de plataforma y sistema de misión en varios programas, con autoridad de diseño.</t>
  </si>
  <si>
    <t xml:space="preserve">I06, D09</t>
  </si>
  <si>
    <t xml:space="preserve">D05</t>
  </si>
  <si>
    <t xml:space="preserve">Tecnologías críticas</t>
  </si>
  <si>
    <t xml:space="preserve">Número de tecnologías críticas industrializadas y posición relativa (sustituible o de referencia).</t>
  </si>
  <si>
    <t xml:space="preserve">Ninguna.</t>
  </si>
  <si>
    <t xml:space="preserve">Una, en fase de demostrador.</t>
  </si>
  <si>
    <t xml:space="preserve">Una o dos industrializadas.</t>
  </si>
  <si>
    <t xml:space="preserve">Varias industrializadas en productos en servicio.</t>
  </si>
  <si>
    <t xml:space="preserve">Posición de referencia en varias tecnologías críticas, difícilmente sustituible.</t>
  </si>
  <si>
    <t xml:space="preserve">N3</t>
  </si>
  <si>
    <t xml:space="preserve">P08, D09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</si>
  <si>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P08 evalúa tecnologías en desarrollo; D05 solo las industrializadas. La lista de tecnologías críticas se toma de documentos oficiales (EDA, EDF, planes nacionales).</t>
  </si>
  <si>
    <t xml:space="preserve">D06</t>
  </si>
  <si>
    <t xml:space="preserve">Clientes gubernamentales</t>
  </si>
  <si>
    <t xml:space="preserve">Número de gobiernos cliente con contratos en vigor, antigüedad de la relación, acuerdos G2G.</t>
  </si>
  <si>
    <t xml:space="preserve">Sin cliente gubernamental directo.</t>
  </si>
  <si>
    <t xml:space="preserve">Un cliente con relación reciente.</t>
  </si>
  <si>
    <t xml:space="preserve">Cliente doméstico consolidado.</t>
  </si>
  <si>
    <t xml:space="preserve">Cliente doméstico y de dos a cuatro gobiernos aliados.</t>
  </si>
  <si>
    <t xml:space="preserve">Cartera amplia de gobiernos con contratos recurrentes y acuerdos G2G.</t>
  </si>
  <si>
    <t xml:space="preserve">D07, D12</t>
  </si>
  <si>
    <t xml:space="preserve">D07</t>
  </si>
  <si>
    <t xml:space="preserve">Exportación de defensa</t>
  </si>
  <si>
    <t xml:space="preserve">Ingresos de defensa de exportación / ingresos de defensa, número de mercados.</t>
  </si>
  <si>
    <t xml:space="preserve">Sin exportación.</t>
  </si>
  <si>
    <t xml:space="preserve">Inferior al 10 % y esporádica.</t>
  </si>
  <si>
    <t xml:space="preserve">Entre el 10 % y el 25 %.</t>
  </si>
  <si>
    <t xml:space="preserve">Entre el 25 % y el 50 % en varios mercados.</t>
  </si>
  <si>
    <t xml:space="preserve">Superior al 50 % diversificada, o exportación en programas de referencia.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</si>
  <si>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En mercados domésticos muy grandes (Estados Unidos, China) una baja exportación no indica debilidad: puntuar frente a pares del mismo país y declararlo como ajuste de benchmark.</t>
  </si>
  <si>
    <t xml:space="preserve">D08</t>
  </si>
  <si>
    <t xml:space="preserve">Interoperabilidad y estándares</t>
  </si>
  <si>
    <t xml:space="preserve">Certificaciones STANAG u otras, participación en programas multinacionales con interoperabilidad demostrada.</t>
  </si>
  <si>
    <t xml:space="preserve">Cumplimiento parcial.</t>
  </si>
  <si>
    <t xml:space="preserve">Productos certificados en estándares relevantes.</t>
  </si>
  <si>
    <t xml:space="preserve">Participación en programas multinacionales con interoperabilidad demostrada.</t>
  </si>
  <si>
    <t xml:space="preserve">Referencia en estándares y en integración multinacional.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</si>
  <si>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Para empresas fuera de la OTAN, usar los estándares del bloque de referencia del cliente y declararlo.</t>
  </si>
  <si>
    <t xml:space="preserve">D09</t>
  </si>
  <si>
    <t xml:space="preserve">Propiedad intelectual y know-how</t>
  </si>
  <si>
    <t xml:space="preserve">Autoridad de diseño, cartera de patentes, dependencia de licencias de terceros.</t>
  </si>
  <si>
    <t xml:space="preserve">Todo bajo licencia de terceros.</t>
  </si>
  <si>
    <t xml:space="preserve">IP propia marginal.</t>
  </si>
  <si>
    <t xml:space="preserve">IP propia en subsistemas.</t>
  </si>
  <si>
    <t xml:space="preserve">Autoridad de diseño en los productos principales.</t>
  </si>
  <si>
    <t xml:space="preserve">IP propia en plataforma completa, cartera de patentes y know-how protegido.</t>
  </si>
  <si>
    <t xml:space="preserve">D04, D05</t>
  </si>
  <si>
    <t xml:space="preserve">D10</t>
  </si>
  <si>
    <t xml:space="preserve">Autonomía, soberanía y control de exportaciones</t>
  </si>
  <si>
    <t xml:space="preserve">Componentes y tecnologías sujetos a control de terceros, exportaciones bloqueadas, sanciones vigentes, participación en programas de soberanía.</t>
  </si>
  <si>
    <t xml:space="preserve">Empresa sancionada, o producto principal inviable sin licencia de un tercero que la deniega.</t>
  </si>
  <si>
    <t xml:space="preserve">Dependencias de licencia que bloquean exportaciones relevantes.</t>
  </si>
  <si>
    <t xml:space="preserve">Dependencias conocidas con alternativas en desarrollo.</t>
  </si>
  <si>
    <t xml:space="preserve">Dependencia limitada; productos libres de control de terceros en líneas principales.</t>
  </si>
  <si>
    <t xml:space="preserve">Autonomía en tecnologías clave y encaje demostrado en programas de soberanía.</t>
  </si>
  <si>
    <t xml:space="preserve">I05, F10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</si>
  <si>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Nuevo alcance en 2.3: incorpora control de exportaciones y sanciones, que no tenían indicador. Las sanciones se acreditan con listas oficiales (UE, OFAC, ONU, Reino Unido).</t>
  </si>
  <si>
    <t xml:space="preserve">D11</t>
  </si>
  <si>
    <t xml:space="preserve">Pipeline estratégico</t>
  </si>
  <si>
    <t xml:space="preserve">Número de competiciones con oferta presentada, preselección o acuerdo industrial, y calendario oficial.</t>
  </si>
  <si>
    <t xml:space="preserve">Una sin preselección.</t>
  </si>
  <si>
    <t xml:space="preserve">Varias con oferta presentada.</t>
  </si>
  <si>
    <t xml:space="preserve">Preselección en programas relevantes.</t>
  </si>
  <si>
    <t xml:space="preserve">Posición de favorito acreditada en varios programas con calendario oficial.</t>
  </si>
  <si>
    <t xml:space="preserve">D01, P03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</si>
  <si>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P03 mide la cobertura de ingresos a 3–5 años; D11 solo programas identificados públicamente. El tipo de evidencia es EXPECTATIVA salvo preselección documentada.</t>
  </si>
  <si>
    <t xml:space="preserve">D12</t>
  </si>
  <si>
    <t xml:space="preserve">Concentración de programas y clientes</t>
  </si>
  <si>
    <t xml:space="preserve">Peso del mayor programa y del mayor cliente en los ingresos de defensa.</t>
  </si>
  <si>
    <t xml:space="preserve">Un programa superior al 60 %, o un cliente superior al 80 % sin sustitución prevista.</t>
  </si>
  <si>
    <t xml:space="preserve">Mayor programa entre el 40 % y el 60 %.</t>
  </si>
  <si>
    <t xml:space="preserve">Mayor programa entre el 25 % y el 40 %.</t>
  </si>
  <si>
    <t xml:space="preserve">Mayor programa inferior al 25 % y mayor cliente inferior al 60 %.</t>
  </si>
  <si>
    <t xml:space="preserve">Cartera diversificada sin ningún programa superior al 15 %.</t>
  </si>
  <si>
    <t xml:space="preserve">D06, F10, P09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</si>
  <si>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Un cliente doméstico dominante es normal en defensa; pondera más la concentración por programa que por cliente.</t>
  </si>
  <si>
    <t xml:space="preserve">P01</t>
  </si>
  <si>
    <t xml:space="preserve">PRO</t>
  </si>
  <si>
    <t xml:space="preserve">Crecimiento esperado de ingresos</t>
  </si>
  <si>
    <t xml:space="preserve">Crecimiento anual previsto de la cifra de negocio, según guía corporativa contrastada.</t>
  </si>
  <si>
    <t xml:space="preserve">Decrecimiento previsto o guía retirada.</t>
  </si>
  <si>
    <t xml:space="preserve">Crecimiento 0–2 %.</t>
  </si>
  <si>
    <t xml:space="preserve">Crecimiento 2–6 %.</t>
  </si>
  <si>
    <t xml:space="preserve">Crecimiento 6–12 % respaldado por cartera.</t>
  </si>
  <si>
    <t xml:space="preserve">Crecimiento superior al 12 % respaldado por cartera firme y presupuestos aprobados.</t>
  </si>
  <si>
    <t xml:space="preserve">P02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</si>
  <si>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Tipo de evidencia: EXPECTATIVA. Identificar siempre quién formula la previsión.</t>
  </si>
  <si>
    <t xml:space="preserve">Visibilidad 12–24 meses</t>
  </si>
  <si>
    <t xml:space="preserve">Cartera firme ejecutable en el periodo / ingresos previstos en el periodo.</t>
  </si>
  <si>
    <t xml:space="preserve">Inferior al 50 %.</t>
  </si>
  <si>
    <t xml:space="preserve">Entre el 50 % y el 70 %.</t>
  </si>
  <si>
    <t xml:space="preserve">Entre el 70 % y el 85 %.</t>
  </si>
  <si>
    <t xml:space="preserve">Entre el 85 % y el 100 %.</t>
  </si>
  <si>
    <t xml:space="preserve">Superior al 100 %.</t>
  </si>
  <si>
    <t xml:space="preserve">F08, D02, P01</t>
  </si>
  <si>
    <t xml:space="preserve">P03</t>
  </si>
  <si>
    <t xml:space="preserve">Visibilidad 3–5 años</t>
  </si>
  <si>
    <t xml:space="preserve">(Cartera firme + opciones) ejecutables en el horizonte / ingresos previstos en el horizonte.</t>
  </si>
  <si>
    <t xml:space="preserve">Inferior al 25 %.</t>
  </si>
  <si>
    <t xml:space="preserve">Entre el 25 % y el 40 %.</t>
  </si>
  <si>
    <t xml:space="preserve">Entre el 40 % y el 60 %.</t>
  </si>
  <si>
    <t xml:space="preserve">Entre el 60 % y el 80 %.</t>
  </si>
  <si>
    <t xml:space="preserve">Superior al 80 %.</t>
  </si>
  <si>
    <t xml:space="preserve">Visibilidad 5–10 años</t>
  </si>
  <si>
    <t xml:space="preserve">Programas de sostenimiento, acuerdos marco y programas multinacionales en desarrollo con calendario a largo plazo.</t>
  </si>
  <si>
    <t xml:space="preserve">Expectativas sin acuerdos.</t>
  </si>
  <si>
    <t xml:space="preserve">Un programa de ciclo largo con contrato.</t>
  </si>
  <si>
    <t xml:space="preserve">Varios programas de ciclo largo con contrato.</t>
  </si>
  <si>
    <t xml:space="preserve">Varios programas con financiación plurianual aprobada y sostenimiento asociado.</t>
  </si>
  <si>
    <t xml:space="preserve">D01, D03</t>
  </si>
  <si>
    <t xml:space="preserve">P05</t>
  </si>
  <si>
    <t xml:space="preserve">Conversión a rentabilidad</t>
  </si>
  <si>
    <t xml:space="preserve">Mezcla de contratos (precio fijo frente a coste), fase de los programas (desarrollo frente a serie y sostenimiento), historial de márgenes por fase.</t>
  </si>
  <si>
    <t xml:space="preserve">Crecimiento concentrado en desarrollo a precio fijo con historial de sobrecostes.</t>
  </si>
  <si>
    <t xml:space="preserve">Mezcla desfavorable.</t>
  </si>
  <si>
    <t xml:space="preserve">Mezcla equilibrada.</t>
  </si>
  <si>
    <t xml:space="preserve">Paso a fase de serie o sostenimiento con márgenes acreditados.</t>
  </si>
  <si>
    <t xml:space="preserve">Mezcla favorable con márgenes crecientes previstos y respaldo contractual.</t>
  </si>
  <si>
    <t xml:space="preserve">F01, I04</t>
  </si>
  <si>
    <t xml:space="preserve">Capacidad de ejecución futura</t>
  </si>
  <si>
    <t xml:space="preserve">Brechas identificadas entre el volumen previsto y los recursos disponibles o planificados.</t>
  </si>
  <si>
    <t xml:space="preserve">Crecimiento previsto incompatible con la capacidad.</t>
  </si>
  <si>
    <t xml:space="preserve">Brechas críticas sin plan.</t>
  </si>
  <si>
    <t xml:space="preserve">Brechas con plan financiado parcialmente.</t>
  </si>
  <si>
    <t xml:space="preserve">Plan de capacidad financiado y en ejecución.</t>
  </si>
  <si>
    <t xml:space="preserve">Capacidad ya disponible o demostrada para el volumen previsto.</t>
  </si>
  <si>
    <t xml:space="preserve">I02, I03</t>
  </si>
  <si>
    <t xml:space="preserve">P07</t>
  </si>
  <si>
    <t xml:space="preserve">Balance de catalizadores y riesgos</t>
  </si>
  <si>
    <t xml:space="preserve">Número, probabilidad e impacto de catalizadores frente a riesgos en el horizonte 12–36 meses.</t>
  </si>
  <si>
    <t xml:space="preserve">Riesgos de alto impacto y alta probabilidad dominan, sin catalizadores.</t>
  </si>
  <si>
    <t xml:space="preserve">Predominan los riesgos.</t>
  </si>
  <si>
    <t xml:space="preserve">Equilibrio.</t>
  </si>
  <si>
    <t xml:space="preserve">Predominan catalizadores con riesgos mitigables.</t>
  </si>
  <si>
    <t xml:space="preserve">Catalizadores concretos y datados con riesgos de bajo impacto.</t>
  </si>
  <si>
    <t xml:space="preserve">Puntuar 0–100 eligiendo el nivel de la rúbrica cuya descripción se cumple con evidencia citada (EVIDENCIA_ID). Valores intermedios solo si la evidencia sitúa a la empresa entre dos niveles; conservar el rango. Sin evidencia suficiente: no puntuar. Sustituye a los antiguos indicadores separados de catalizadores, riesgos prospectivos y señales tempranas. Las señales pasan a la hoja de alerta temprana.</t>
  </si>
  <si>
    <t xml:space="preserve">P08</t>
  </si>
  <si>
    <t xml:space="preserve">Opcionalidad tecnológica</t>
  </si>
  <si>
    <t xml:space="preserve">Demostradores, I+D financiada, patentes recientes, compromisos de cliente sobre tecnologías aún no industrializadas.</t>
  </si>
  <si>
    <t xml:space="preserve">Sin I+D relevante.</t>
  </si>
  <si>
    <t xml:space="preserve">I+D sin demostradores.</t>
  </si>
  <si>
    <t xml:space="preserve">Demostradores en curso.</t>
  </si>
  <si>
    <t xml:space="preserve">Demostradores validados con cliente.</t>
  </si>
  <si>
    <t xml:space="preserve">Tecnologías en transición a programa con compromiso de cliente.</t>
  </si>
  <si>
    <t xml:space="preserve">P09</t>
  </si>
  <si>
    <t xml:space="preserve">Resiliencia estratégica</t>
  </si>
  <si>
    <t xml:space="preserve">Impacto estimado del escenario bajista sobre ingresos, margen y continuidad, y mitigaciones existentes.</t>
  </si>
  <si>
    <t xml:space="preserve">El escenario bajista compromete la continuidad.</t>
  </si>
  <si>
    <t xml:space="preserve">Impacto severo sin mitigación.</t>
  </si>
  <si>
    <t xml:space="preserve">Impacto relevante con mitigación parcial.</t>
  </si>
  <si>
    <t xml:space="preserve">Impacto absorbible por diversificación.</t>
  </si>
  <si>
    <t xml:space="preserve">Escenario bajista absorbible sin cambio de categoría DCIP.</t>
  </si>
  <si>
    <t xml:space="preserve">D12, I10</t>
  </si>
  <si>
    <t xml:space="preserve">DCIP 2.3 — Matriz de scoring v3.0 — 05/10/2026</t>
  </si>
  <si>
    <t xml:space="preserve">REGLA</t>
  </si>
  <si>
    <t xml:space="preserve">ESPECIFICACION</t>
  </si>
  <si>
    <t xml:space="preserve">Versión</t>
  </si>
  <si>
    <t xml:space="preserve">DCIP 2.3 Scoring Matrix v3.0 — 05/10/2026. Sustituye a la v2.01 (48 indicadores).</t>
  </si>
  <si>
    <t xml:space="preserve">Estructura</t>
  </si>
  <si>
    <t xml:space="preserve">41 indicadores: FIN 10, IND 10, DEF 12, PRO 9. Cada dimensión suma 100 puntos.</t>
  </si>
  <si>
    <t xml:space="preserve">Pesos de dimensión</t>
  </si>
  <si>
    <t xml:space="preserve">FIN 25 % · IND 25 % · DEF 25 % · PRO 25 %. Fijos.</t>
  </si>
  <si>
    <t xml:space="preserve">Rúbrica</t>
  </si>
  <si>
    <t xml:space="preserve">Cinco niveles por indicador: 0 / 25 / 50 / 75 / 100. El nivel se elige por la descripción que la evidencia acredita. 100 es siempre la situación más favorable, también en los indicadores cuya métrica es 'menor es mejor'.</t>
  </si>
  <si>
    <t xml:space="preserve">Puntuación intermedia</t>
  </si>
  <si>
    <t xml:space="preserve">Permitida solo si la evidencia sitúa a la empresa entre dos niveles; entonces se registra el rango (mínimo y máximo) y el punto central.</t>
  </si>
  <si>
    <t xml:space="preserve">Evidencia</t>
  </si>
  <si>
    <t xml:space="preserve">Cada puntuación cita uno o varios EVIDENCIA_ID. Sin evidencia suficiente el indicador queda vacío: no se imputa.</t>
  </si>
  <si>
    <t xml:space="preserve">Doble conteo</t>
  </si>
  <si>
    <t xml:space="preserve">La columna NO_DOBLE_CONTEO lista los indicadores que no pueden puntuarse con el mismo hecho. Un EVIDENCIA_ID no puede sustentar dos indicadores excluyentes.</t>
  </si>
  <si>
    <t xml:space="preserve">Normalización</t>
  </si>
  <si>
    <t xml:space="preserve">Nota de dimensión = Σ(puntuación × peso) / Σ(pesos con puntuación). Nota prudente = (Σ(puntuación × peso) + 25 × Σ(pesos sin puntuación)) / 100.</t>
  </si>
  <si>
    <t xml:space="preserve">Rango</t>
  </si>
  <si>
    <t xml:space="preserve">Se publica el intervalo [prudente, normalizada]. Si cruza una banda, la categoría se expresa como rango y no se fuerza una banda única.</t>
  </si>
  <si>
    <t xml:space="preserve">Cobertura</t>
  </si>
  <si>
    <t xml:space="preserve">Σ pesos con puntuación / 100. ≥ 80 %: concluyente. 60–79 %: con reservas, confianza máxima MEDIA. &lt; 60 %: dimensión NO CONCLUYENTE y sin DCIP global.</t>
  </si>
  <si>
    <t xml:space="preserve">Redondeo</t>
  </si>
  <si>
    <t xml:space="preserve">Las notas de dimensión y el DCIP se redondean al entero más próximo (mitad hacia arriba) antes de aplicar bandas.</t>
  </si>
  <si>
    <t xml:space="preserve">DCIP</t>
  </si>
  <si>
    <t xml:space="preserve">0,25 FIN + 0,25 IND + 0,25 DEF + 0,25 PRO, sobre las notas normalizadas; límite inferior con las prudentes.</t>
  </si>
  <si>
    <t xml:space="preserve">Bandas</t>
  </si>
  <si>
    <t xml:space="preserve">0–20 Crítica · 21–40 Débil · 41–60 Estable · 61–80 Favorable · 81–100 Muy favorable.</t>
  </si>
  <si>
    <t xml:space="preserve">Confianza</t>
  </si>
  <si>
    <t xml:space="preserve">MUY ALTA / ALTA / MEDIA / BAJA / MUY BAJA. Se deriva del nivel de fuente (N1 → MUY ALTA … N6 → MUY BAJA) y de la antigüedad de la evidencia. Independiente del score.</t>
  </si>
  <si>
    <t xml:space="preserve">Antigüedad</t>
  </si>
  <si>
    <t xml:space="preserve">≤ 12 meses sin penalización; 12–24 meses un nivel menos; &gt; 24 meses dos niveles menos. Para cuentas anuales auditadas los umbrales son 18 y 30 meses.</t>
  </si>
  <si>
    <t xml:space="preserve">Confianza de dimensión</t>
  </si>
  <si>
    <t xml:space="preserve">Media ponderada de la confianza de los indicadores puntuados, redondeada hacia abajo y limitada por la cobertura. Confianza global = la menor de las cuatro.</t>
  </si>
  <si>
    <t xml:space="preserve">Benchmark</t>
  </si>
  <si>
    <t xml:space="preserve">Anclas absolutas en los indicadores con métrica numérica. Donde no es robusto (p. ej. exportación en mercados domésticos muy grandes) comparar con pares homogéneos del mismo país y declarar el ajuste.</t>
  </si>
  <si>
    <t xml:space="preserve">Propiedad pública</t>
  </si>
  <si>
    <t xml:space="preserve">No penaliza. F07 mide apoyo financiero no de mercado, no propiedad.</t>
  </si>
  <si>
    <t xml:space="preserve">Contratación</t>
  </si>
  <si>
    <t xml:space="preserve">No equivale a ingresos.</t>
  </si>
  <si>
    <t xml:space="preserve">Cartera</t>
  </si>
  <si>
    <t xml:space="preserve">No equivale a ingresos futuros garantizados. F08 (cobertura y conversión), D02 (firmeza y composición) y P02 (visibilidad) miden aspectos distintos y no comparten evidencia.</t>
  </si>
  <si>
    <t xml:space="preserve">EBITDA</t>
  </si>
  <si>
    <t xml:space="preserve">Solo publicado o cálculo propio explícitamente reproducible.</t>
  </si>
  <si>
    <t xml:space="preserve">Instrumentos híbridos</t>
  </si>
  <si>
    <t xml:space="preserve">Préstamos participativos y similares no son automáticamente deuda ordinaria.</t>
  </si>
  <si>
    <t xml:space="preserve">Norma contable y moneda</t>
  </si>
  <si>
    <t xml:space="preserve">Ratios en moneda original. Declarar IFRS, US GAAP o GAAP local y su efecto en EBIT, deuda (IFRS 16) y cartera (funded / unfunded).</t>
  </si>
  <si>
    <t xml:space="preserve">Perímetro de defensa</t>
  </si>
  <si>
    <t xml:space="preserve">Si no hay segmento publicado, estimar el peso de defensa y etiquetarlo ESTIMACIÓN. D02, D03, D07 y D12 se calculan sobre el perímetro de defensa.</t>
  </si>
  <si>
    <t xml:space="preserve">Sanciones y control de exportaciones</t>
  </si>
  <si>
    <t xml:space="preserve">Se evalúan en D10 con listas oficiales (UE, OFAC, ONU, Reino Unido). Su efecto financiero cuantificado va a F10.</t>
  </si>
  <si>
    <t xml:space="preserve">Control de integridad de la matriz</t>
  </si>
  <si>
    <t xml:space="preserve">Fórmulas sobre la hoja Matriz_v3. Todas las sumas deben ser 100 y el total de indicadores igual al declarado.</t>
  </si>
  <si>
    <t xml:space="preserve">DIMENSION</t>
  </si>
  <si>
    <t xml:space="preserve">SUMA_PESOS</t>
  </si>
  <si>
    <t xml:space="preserve">INDICADORES</t>
  </si>
  <si>
    <t xml:space="preserve">CONTROL</t>
  </si>
  <si>
    <t xml:space="preserve">TOTAL</t>
  </si>
  <si>
    <t xml:space="preserve">IDs únicos</t>
  </si>
  <si>
    <t xml:space="preserve">Nivel de fuente → confianza máxima; antigüedad → penalización; cobertura → límite</t>
  </si>
  <si>
    <t xml:space="preserve">NIVEL</t>
  </si>
  <si>
    <t xml:space="preserve">DENOMINACION</t>
  </si>
  <si>
    <t xml:space="preserve">DESCRIPCION</t>
  </si>
  <si>
    <t xml:space="preserve">CONFIANZA_MAX</t>
  </si>
  <si>
    <t xml:space="preserve">Primaria auditada / oficial</t>
  </si>
  <si>
    <t xml:space="preserve">Cuentas anuales auditadas; informes financieros regulados; registros mercantiles y de propiedad; contratos y adjudicaciones publicados por el órgano contratante; presupuestos y documentación oficial del Estado.</t>
  </si>
  <si>
    <t xml:space="preserve">MUY ALTA</t>
  </si>
  <si>
    <t xml:space="preserve">Primaria corporativa</t>
  </si>
  <si>
    <t xml:space="preserve">Informes anuales e integrados; presentaciones a inversores; comunicados de la empresa; documentación técnica propia; web corporativa.</t>
  </si>
  <si>
    <t xml:space="preserve">ALTA</t>
  </si>
  <si>
    <t xml:space="preserve">Institucional / supranacional</t>
  </si>
  <si>
    <t xml:space="preserve">UE, EDA, OCCAR, NSPA, OTAN, bancos centrales, oficinas de auditoría pública, agencias de adquisición nacionales, programas públicos de I+D.</t>
  </si>
  <si>
    <t xml:space="preserve">N4</t>
  </si>
  <si>
    <t xml:space="preserve">Sectorial especializada</t>
  </si>
  <si>
    <t xml:space="preserve">SIPRI, IISS, asociaciones industriales (ASD, AIAD, TEDAE, BDSV, GIFAS, NDIA), bases de datos sectoriales y estudios técnicos reconocidos.</t>
  </si>
  <si>
    <t xml:space="preserve">MEDIA</t>
  </si>
  <si>
    <t xml:space="preserve">N5</t>
  </si>
  <si>
    <t xml:space="preserve">Prensa económica y de defensa</t>
  </si>
  <si>
    <t xml:space="preserve">Prensa generalista y especializada. Útil para contexto y cronología; toda afirmación material debe contrastarse con N1 a N3.</t>
  </si>
  <si>
    <t xml:space="preserve">BAJA</t>
  </si>
  <si>
    <t xml:space="preserve">N6</t>
  </si>
  <si>
    <t xml:space="preserve">Otras fuentes</t>
  </si>
  <si>
    <t xml:space="preserve">Blogs, foros, redes sociales, fuentes anónimas, informes no firmados. Nunca fundamento único de una afirmación crítica.</t>
  </si>
  <si>
    <t xml:space="preserve">MUY BAJA</t>
  </si>
  <si>
    <t xml:space="preserve">ANTIGÜEDAD RESPECTO A LA FECHA DE CORTE</t>
  </si>
  <si>
    <t xml:space="preserve">PENALIZACION (niveles)</t>
  </si>
  <si>
    <t xml:space="preserve">≤ 12 meses (≤ 18 si son cuentas anuales auditadas)</t>
  </si>
  <si>
    <t xml:space="preserve">12–24 meses (18–30 si son cuentas anuales auditadas)</t>
  </si>
  <si>
    <t xml:space="preserve">&gt; 24 meses (&gt; 30 si son cuentas anuales auditadas)</t>
  </si>
  <si>
    <t xml:space="preserve">COBERTURA DE LA DIMENSION</t>
  </si>
  <si>
    <t xml:space="preserve">EFECTO</t>
  </si>
  <si>
    <t xml:space="preserve">≥ 80 %</t>
  </si>
  <si>
    <t xml:space="preserve">Dimensión concluyente. Puede alcanzar confianza ALTA o MUY ALTA.</t>
  </si>
  <si>
    <t xml:space="preserve">60–79 %</t>
  </si>
  <si>
    <t xml:space="preserve">Dimensión concluyente con reservas. Confianza máxima MEDIA. Se publica el rango prudente–normalizado.</t>
  </si>
  <si>
    <t xml:space="preserve">&lt; 60 %</t>
  </si>
  <si>
    <t xml:space="preserve">Dimensión NO CONCLUYENTE. No se calcula la nota de la dimensión ni el DCIP global; se publica el detalle disponible.</t>
  </si>
  <si>
    <t xml:space="preserve">Bandas DCIP y escalas de juicio</t>
  </si>
  <si>
    <t xml:space="preserve">BANDA</t>
  </si>
  <si>
    <t xml:space="preserve">MIN</t>
  </si>
  <si>
    <t xml:space="preserve">MAX</t>
  </si>
  <si>
    <t xml:space="preserve">USO</t>
  </si>
  <si>
    <t xml:space="preserve">Crítica</t>
  </si>
  <si>
    <t xml:space="preserve">Aplicar sobre la nota entera. Si el rango prudente–normalizado cruza esta banda, publicar el rango.</t>
  </si>
  <si>
    <t xml:space="preserve">Débil</t>
  </si>
  <si>
    <t xml:space="preserve">Estable</t>
  </si>
  <si>
    <t xml:space="preserve">Favorable</t>
  </si>
  <si>
    <t xml:space="preserve">Muy favorable</t>
  </si>
  <si>
    <t xml:space="preserve">ESTADO EMPRESARIAL</t>
  </si>
  <si>
    <t xml:space="preserve">CRÍTICO</t>
  </si>
  <si>
    <t xml:space="preserve">Continuidad comprometida: patrimonio, liquidez o capacidad industrial en situación de riesgo inmediato.</t>
  </si>
  <si>
    <t xml:space="preserve">FRÁGIL</t>
  </si>
  <si>
    <t xml:space="preserve">Opera con dependencias relevantes (apoyo público, un programa, un cliente) y márgenes de maniobra reducidos.</t>
  </si>
  <si>
    <t xml:space="preserve">ESTABLE</t>
  </si>
  <si>
    <t xml:space="preserve">Situación económica e industrial sostenible sin tensiones materiales, con debilidades identificadas.</t>
  </si>
  <si>
    <t xml:space="preserve">SÓLIDO</t>
  </si>
  <si>
    <t xml:space="preserve">Finanzas saneadas y capacidad industrial demostrada, con ejecución acreditada.</t>
  </si>
  <si>
    <t xml:space="preserve">MUY SÓLIDO</t>
  </si>
  <si>
    <t xml:space="preserve">Posición financiera e industrial de referencia, con resiliencia demostrada ante escenarios adversos.</t>
  </si>
  <si>
    <t xml:space="preserve">ATRACTIVIDAD ESTRATEGICA</t>
  </si>
  <si>
    <t xml:space="preserve">Sin papel relevante en capacidades, programas o tecnologías de defensa.</t>
  </si>
  <si>
    <t xml:space="preserve">MODERADA</t>
  </si>
  <si>
    <t xml:space="preserve">Suministrador sustituible en programas de interés limitado.</t>
  </si>
  <si>
    <t xml:space="preserve">RELEVANTE</t>
  </si>
  <si>
    <t xml:space="preserve">Participación en programas o tecnologías de interés para la soberanía o la política industrial.</t>
  </si>
  <si>
    <t xml:space="preserve">Integrador o tecnólogo de referencia en programas estratégicos con cartera firme.</t>
  </si>
  <si>
    <t xml:space="preserve">Actor difícilmente sustituible en capacidades críticas, con proyección a largo plazo.</t>
  </si>
  <si>
    <t xml:space="preserve">INDICADOR 2.2</t>
  </si>
  <si>
    <t xml:space="preserve">PESO 2.2</t>
  </si>
  <si>
    <t xml:space="preserve">DESTINO 2.3</t>
  </si>
  <si>
    <t xml:space="preserve">PESO 2.3</t>
  </si>
  <si>
    <t xml:space="preserve">CAMBIO</t>
  </si>
  <si>
    <t xml:space="preserve">Mantenido; rúbrica con anclas de margen EBIT</t>
  </si>
  <si>
    <t xml:space="preserve">Mantenido; horizonte fijado en tres ejercicios</t>
  </si>
  <si>
    <t xml:space="preserve">Flujo de caja operativo</t>
  </si>
  <si>
    <t xml:space="preserve">Mantenido; métrica FCO/EBITDA</t>
  </si>
  <si>
    <t xml:space="preserve">Mantenido; ratio corriente y cobertura de vencimientos</t>
  </si>
  <si>
    <t xml:space="preserve">Mantenido; deuda neta/EBITDA con tratamiento IFRS 16</t>
  </si>
  <si>
    <t xml:space="preserve">Mantenido; patrimonio/activo</t>
  </si>
  <si>
    <t xml:space="preserve">Dependencia de apoyo público</t>
  </si>
  <si>
    <t xml:space="preserve">Mantenido; redefinido como dependencia financiera, no propiedad</t>
  </si>
  <si>
    <t xml:space="preserve">Calidad de cartera</t>
  </si>
  <si>
    <t xml:space="preserve">Fusionado con Conversión cartera→ingresos</t>
  </si>
  <si>
    <t xml:space="preserve">Conversión cartera→ingresos</t>
  </si>
  <si>
    <t xml:space="preserve">Fusionado en F08</t>
  </si>
  <si>
    <t xml:space="preserve">Mantenido</t>
  </si>
  <si>
    <t xml:space="preserve">Riesgo extraordinario</t>
  </si>
  <si>
    <t xml:space="preserve">Mantenido; efecto financiero de sanciones separado hacia D10</t>
  </si>
  <si>
    <t xml:space="preserve">Transparencia financiera</t>
  </si>
  <si>
    <t xml:space="preserve">—</t>
  </si>
  <si>
    <t xml:space="preserve">Eliminado: es un atributo de la evidencia y ya está en la confianza</t>
  </si>
  <si>
    <t xml:space="preserve">Capacidad instalada</t>
  </si>
  <si>
    <t xml:space="preserve">Fusionado en Capacidad industrial (cadena instalada→efectiva→demostrada)</t>
  </si>
  <si>
    <t xml:space="preserve">Capacidad efectiva</t>
  </si>
  <si>
    <t xml:space="preserve">Fusionado en I01</t>
  </si>
  <si>
    <t xml:space="preserve">Capacidad demostrada</t>
  </si>
  <si>
    <t xml:space="preserve">Mantenido; óptimo intermedio explícito</t>
  </si>
  <si>
    <t xml:space="preserve">Productividad/ejecución</t>
  </si>
  <si>
    <t xml:space="preserve">Mantenido; evidencia del cliente prioritaria</t>
  </si>
  <si>
    <t xml:space="preserve">Mantenido; dependencia regulatoria separada hacia D10</t>
  </si>
  <si>
    <t xml:space="preserve">Mantenido; delimitado frente a D04</t>
  </si>
  <si>
    <t xml:space="preserve">Mantenido; capex frente a amortización</t>
  </si>
  <si>
    <t xml:space="preserve">Mantenido; calificación por documentación oficial</t>
  </si>
  <si>
    <t xml:space="preserve">Mantenido; redefinido como composición y firmeza</t>
  </si>
  <si>
    <t xml:space="preserve">Sostenimiento/ciclo de vida</t>
  </si>
  <si>
    <t xml:space="preserve">Mantenido; delimitado frente a I06</t>
  </si>
  <si>
    <t xml:space="preserve">Mantenido; solo industrializadas</t>
  </si>
  <si>
    <t xml:space="preserve">Mantenido; ajuste de benchmark para mercados domésticos grandes</t>
  </si>
  <si>
    <t xml:space="preserve">Interoperabilidad/estándares</t>
  </si>
  <si>
    <t xml:space="preserve">IP/know-how</t>
  </si>
  <si>
    <t xml:space="preserve">Autonomía/soberanía</t>
  </si>
  <si>
    <t xml:space="preserve">Ampliado: incorpora control de exportaciones y sanciones</t>
  </si>
  <si>
    <t xml:space="preserve">Mantenido; solo programas públicos y nombrados</t>
  </si>
  <si>
    <t xml:space="preserve">Concentración/riesgo programa</t>
  </si>
  <si>
    <t xml:space="preserve">Mantenido; polaridad explícita</t>
  </si>
  <si>
    <t xml:space="preserve">Mantenido; métrica de cobertura</t>
  </si>
  <si>
    <t xml:space="preserve">Catalizadores</t>
  </si>
  <si>
    <t xml:space="preserve">Fusionado en Balance de catalizadores y riesgos</t>
  </si>
  <si>
    <t xml:space="preserve">Riesgos prospectivos</t>
  </si>
  <si>
    <t xml:space="preserve">Fusionado en P07</t>
  </si>
  <si>
    <t xml:space="preserve">Señales tempranas</t>
  </si>
  <si>
    <t xml:space="preserve">Eliminado como indicador; pasa a la hoja de alerta temprana</t>
  </si>
  <si>
    <t xml:space="preserve">Mantenido; delimitado frente a D05</t>
  </si>
  <si>
    <t xml:space="preserve">Calidad de la tesis</t>
  </si>
  <si>
    <t xml:space="preserve">Eliminado: califica al analista, no a la empresa; pasa al control 15 de auditoría</t>
  </si>
  <si>
    <t xml:space="preserve">Control de pesos 2.2 por dimensión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</si>
</sst>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16161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616161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b val="true"/>
      <sz val="10"/>
      <color rgb="FF1F2A4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8F5E9"/>
        <bgColor rgb="FFEEEEEE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EEEEEE"/>
      </patternFill>
    </fill>
    <fill>
      <patternFill patternType="solid">
        <fgColor rgb="FFF3E5F5"/>
        <bgColor rgb="FFEEEEEE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EEEEEE"/>
        <bgColor rgb="FFE8F5E9"/>
      </patternFill>
    </fill>
    <fill>
      <patternFill patternType="solid">
        <fgColor rgb="FFCFD8DC"/>
        <bgColor rgb="FFF3E5F5"/>
      </patternFill>
    </fill>
    <fill>
      <patternFill patternType="solid">
        <fgColor rgb="FFB0BEC5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1616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C62828"/>
      <rgbColor rgb="FFFFF3E0"/>
      <rgbColor rgb="FFE3F2FD"/>
      <rgbColor rgb="FF660066"/>
      <rgbColor rgb="FFFF8080"/>
      <rgbColor rgb="FF0066CC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EEEE"/>
      <rgbColor rgb="FFF3E5F5"/>
      <rgbColor rgb="FF99CCFF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03366"/>
      <rgbColor rgb="FF339966"/>
      <rgbColor rgb="FF003300"/>
      <rgbColor rgb="FF333300"/>
      <rgbColor rgb="FFB71C1C"/>
      <rgbColor rgb="FF993366"/>
      <rgbColor rgb="FF37474F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44"/>
    <col collapsed="false" customWidth="true" hidden="false" outlineLevel="0" max="11" min="7" style="0" width="30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96" hidden="false" customHeight="true" outlineLevel="0" collapsed="false">
      <c r="A2" s="2" t="s">
        <v>14</v>
      </c>
      <c r="B2" s="2" t="s">
        <v>15</v>
      </c>
      <c r="C2" s="3" t="s">
        <v>16</v>
      </c>
      <c r="D2" s="4" t="n">
        <v>14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4" t="s">
        <v>24</v>
      </c>
      <c r="M2" s="5" t="s">
        <v>25</v>
      </c>
      <c r="N2" s="6" t="s">
        <v>26</v>
      </c>
    </row>
    <row r="3" customFormat="false" ht="96" hidden="false" customHeight="true" outlineLevel="0" collapsed="false">
      <c r="A3" s="2" t="s">
        <v>27</v>
      </c>
      <c r="B3" s="2" t="s">
        <v>15</v>
      </c>
      <c r="C3" s="3" t="s">
        <v>28</v>
      </c>
      <c r="D3" s="4" t="n">
        <v>8</v>
      </c>
      <c r="E3" s="5" t="s">
        <v>17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4" t="s">
        <v>24</v>
      </c>
      <c r="M3" s="5" t="s">
        <v>14</v>
      </c>
      <c r="N3" s="6" t="s">
        <v>35</v>
      </c>
    </row>
    <row r="4" customFormat="false" ht="96" hidden="false" customHeight="true" outlineLevel="0" collapsed="false">
      <c r="A4" s="2" t="s">
        <v>36</v>
      </c>
      <c r="B4" s="2" t="s">
        <v>15</v>
      </c>
      <c r="C4" s="3" t="s">
        <v>37</v>
      </c>
      <c r="D4" s="4" t="n">
        <v>12</v>
      </c>
      <c r="E4" s="5" t="s">
        <v>17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4" t="s">
        <v>24</v>
      </c>
      <c r="M4" s="5" t="s">
        <v>44</v>
      </c>
      <c r="N4" s="6" t="s">
        <v>45</v>
      </c>
    </row>
    <row r="5" customFormat="false" ht="96" hidden="false" customHeight="true" outlineLevel="0" collapsed="false">
      <c r="A5" s="2" t="s">
        <v>44</v>
      </c>
      <c r="B5" s="2" t="s">
        <v>15</v>
      </c>
      <c r="C5" s="3" t="s">
        <v>46</v>
      </c>
      <c r="D5" s="4" t="n">
        <v>8</v>
      </c>
      <c r="E5" s="5" t="s">
        <v>17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4" t="s">
        <v>24</v>
      </c>
      <c r="M5" s="5" t="s">
        <v>53</v>
      </c>
      <c r="N5" s="6" t="s">
        <v>54</v>
      </c>
    </row>
    <row r="6" customFormat="false" ht="96" hidden="false" customHeight="true" outlineLevel="0" collapsed="false">
      <c r="A6" s="2" t="s">
        <v>55</v>
      </c>
      <c r="B6" s="2" t="s">
        <v>15</v>
      </c>
      <c r="C6" s="3" t="s">
        <v>56</v>
      </c>
      <c r="D6" s="4" t="n">
        <v>10</v>
      </c>
      <c r="E6" s="5" t="s">
        <v>57</v>
      </c>
      <c r="F6" s="5" t="s">
        <v>58</v>
      </c>
      <c r="G6" s="5" t="s">
        <v>59</v>
      </c>
      <c r="H6" s="5" t="s">
        <v>60</v>
      </c>
      <c r="I6" s="5" t="s">
        <v>61</v>
      </c>
      <c r="J6" s="5" t="s">
        <v>62</v>
      </c>
      <c r="K6" s="5" t="s">
        <v>63</v>
      </c>
      <c r="L6" s="4" t="s">
        <v>24</v>
      </c>
      <c r="M6" s="5" t="s">
        <v>64</v>
      </c>
      <c r="N6" s="6" t="s">
        <v>65</v>
      </c>
    </row>
    <row r="7" customFormat="false" ht="96" hidden="false" customHeight="true" outlineLevel="0" collapsed="false">
      <c r="A7" s="2" t="s">
        <v>66</v>
      </c>
      <c r="B7" s="2" t="s">
        <v>15</v>
      </c>
      <c r="C7" s="3" t="s">
        <v>67</v>
      </c>
      <c r="D7" s="4" t="n">
        <v>10</v>
      </c>
      <c r="E7" s="5" t="s">
        <v>17</v>
      </c>
      <c r="F7" s="5" t="s">
        <v>68</v>
      </c>
      <c r="G7" s="5" t="s">
        <v>69</v>
      </c>
      <c r="H7" s="5" t="s">
        <v>70</v>
      </c>
      <c r="I7" s="5" t="s">
        <v>71</v>
      </c>
      <c r="J7" s="5" t="s">
        <v>72</v>
      </c>
      <c r="K7" s="5" t="s">
        <v>73</v>
      </c>
      <c r="L7" s="4" t="s">
        <v>24</v>
      </c>
      <c r="M7" s="5" t="s">
        <v>55</v>
      </c>
      <c r="N7" s="6" t="s">
        <v>74</v>
      </c>
    </row>
    <row r="8" customFormat="false" ht="96" hidden="false" customHeight="true" outlineLevel="0" collapsed="false">
      <c r="A8" s="2" t="s">
        <v>75</v>
      </c>
      <c r="B8" s="2" t="s">
        <v>15</v>
      </c>
      <c r="C8" s="3" t="s">
        <v>76</v>
      </c>
      <c r="D8" s="4" t="n">
        <v>8</v>
      </c>
      <c r="E8" s="5" t="s">
        <v>57</v>
      </c>
      <c r="F8" s="5" t="s">
        <v>77</v>
      </c>
      <c r="G8" s="5" t="s">
        <v>78</v>
      </c>
      <c r="H8" s="5" t="s">
        <v>79</v>
      </c>
      <c r="I8" s="5" t="s">
        <v>80</v>
      </c>
      <c r="J8" s="5" t="s">
        <v>81</v>
      </c>
      <c r="K8" s="5" t="s">
        <v>82</v>
      </c>
      <c r="L8" s="4" t="s">
        <v>24</v>
      </c>
      <c r="M8" s="5" t="s">
        <v>83</v>
      </c>
      <c r="N8" s="6" t="s">
        <v>84</v>
      </c>
    </row>
    <row r="9" customFormat="false" ht="96" hidden="false" customHeight="true" outlineLevel="0" collapsed="false">
      <c r="A9" s="2" t="s">
        <v>85</v>
      </c>
      <c r="B9" s="2" t="s">
        <v>15</v>
      </c>
      <c r="C9" s="3" t="s">
        <v>86</v>
      </c>
      <c r="D9" s="4" t="n">
        <v>14</v>
      </c>
      <c r="E9" s="5" t="s">
        <v>17</v>
      </c>
      <c r="F9" s="5" t="s">
        <v>87</v>
      </c>
      <c r="G9" s="5" t="s">
        <v>88</v>
      </c>
      <c r="H9" s="5" t="s">
        <v>89</v>
      </c>
      <c r="I9" s="5" t="s">
        <v>90</v>
      </c>
      <c r="J9" s="5" t="s">
        <v>91</v>
      </c>
      <c r="K9" s="5" t="s">
        <v>92</v>
      </c>
      <c r="L9" s="4" t="s">
        <v>24</v>
      </c>
      <c r="M9" s="5" t="s">
        <v>93</v>
      </c>
      <c r="N9" s="6" t="s">
        <v>94</v>
      </c>
    </row>
    <row r="10" customFormat="false" ht="96" hidden="false" customHeight="true" outlineLevel="0" collapsed="false">
      <c r="A10" s="2" t="s">
        <v>95</v>
      </c>
      <c r="B10" s="2" t="s">
        <v>15</v>
      </c>
      <c r="C10" s="3" t="s">
        <v>96</v>
      </c>
      <c r="D10" s="4" t="n">
        <v>8</v>
      </c>
      <c r="E10" s="5" t="s">
        <v>17</v>
      </c>
      <c r="F10" s="5" t="s">
        <v>97</v>
      </c>
      <c r="G10" s="5" t="s">
        <v>98</v>
      </c>
      <c r="H10" s="5" t="s">
        <v>99</v>
      </c>
      <c r="I10" s="5" t="s">
        <v>100</v>
      </c>
      <c r="J10" s="5" t="s">
        <v>101</v>
      </c>
      <c r="K10" s="5" t="s">
        <v>102</v>
      </c>
      <c r="L10" s="4" t="s">
        <v>24</v>
      </c>
      <c r="M10" s="5" t="s">
        <v>103</v>
      </c>
      <c r="N10" s="6" t="s">
        <v>104</v>
      </c>
    </row>
    <row r="11" customFormat="false" ht="96" hidden="false" customHeight="true" outlineLevel="0" collapsed="false">
      <c r="A11" s="2" t="s">
        <v>105</v>
      </c>
      <c r="B11" s="2" t="s">
        <v>15</v>
      </c>
      <c r="C11" s="3" t="s">
        <v>106</v>
      </c>
      <c r="D11" s="4" t="n">
        <v>8</v>
      </c>
      <c r="E11" s="5" t="s">
        <v>57</v>
      </c>
      <c r="F11" s="5" t="s">
        <v>107</v>
      </c>
      <c r="G11" s="5" t="s">
        <v>108</v>
      </c>
      <c r="H11" s="5" t="s">
        <v>80</v>
      </c>
      <c r="I11" s="5" t="s">
        <v>109</v>
      </c>
      <c r="J11" s="5" t="s">
        <v>110</v>
      </c>
      <c r="K11" s="5" t="s">
        <v>111</v>
      </c>
      <c r="L11" s="4" t="s">
        <v>24</v>
      </c>
      <c r="M11" s="5" t="s">
        <v>112</v>
      </c>
      <c r="N11" s="6" t="s">
        <v>113</v>
      </c>
    </row>
    <row r="12" customFormat="false" ht="96" hidden="false" customHeight="true" outlineLevel="0" collapsed="false">
      <c r="A12" s="7" t="s">
        <v>114</v>
      </c>
      <c r="B12" s="7" t="s">
        <v>115</v>
      </c>
      <c r="C12" s="3" t="s">
        <v>116</v>
      </c>
      <c r="D12" s="4" t="n">
        <v>18</v>
      </c>
      <c r="E12" s="5" t="s">
        <v>17</v>
      </c>
      <c r="F12" s="5" t="s">
        <v>117</v>
      </c>
      <c r="G12" s="5" t="s">
        <v>118</v>
      </c>
      <c r="H12" s="5" t="s">
        <v>119</v>
      </c>
      <c r="I12" s="5" t="s">
        <v>120</v>
      </c>
      <c r="J12" s="5" t="s">
        <v>121</v>
      </c>
      <c r="K12" s="5" t="s">
        <v>122</v>
      </c>
      <c r="L12" s="4" t="s">
        <v>123</v>
      </c>
      <c r="M12" s="5" t="s">
        <v>124</v>
      </c>
      <c r="N12" s="6" t="s">
        <v>125</v>
      </c>
    </row>
    <row r="13" customFormat="false" ht="96" hidden="false" customHeight="true" outlineLevel="0" collapsed="false">
      <c r="A13" s="7" t="s">
        <v>126</v>
      </c>
      <c r="B13" s="7" t="s">
        <v>115</v>
      </c>
      <c r="C13" s="3" t="s">
        <v>127</v>
      </c>
      <c r="D13" s="4" t="n">
        <v>10</v>
      </c>
      <c r="E13" s="5" t="s">
        <v>128</v>
      </c>
      <c r="F13" s="5" t="s">
        <v>129</v>
      </c>
      <c r="G13" s="5" t="s">
        <v>130</v>
      </c>
      <c r="H13" s="5" t="s">
        <v>131</v>
      </c>
      <c r="I13" s="5" t="s">
        <v>132</v>
      </c>
      <c r="J13" s="5" t="s">
        <v>133</v>
      </c>
      <c r="K13" s="5" t="s">
        <v>134</v>
      </c>
      <c r="L13" s="4" t="s">
        <v>123</v>
      </c>
      <c r="M13" s="5" t="s">
        <v>135</v>
      </c>
      <c r="N13" s="6" t="s">
        <v>136</v>
      </c>
    </row>
    <row r="14" customFormat="false" ht="96" hidden="false" customHeight="true" outlineLevel="0" collapsed="false">
      <c r="A14" s="7" t="s">
        <v>137</v>
      </c>
      <c r="B14" s="7" t="s">
        <v>115</v>
      </c>
      <c r="C14" s="3" t="s">
        <v>138</v>
      </c>
      <c r="D14" s="4" t="n">
        <v>10</v>
      </c>
      <c r="E14" s="5" t="s">
        <v>17</v>
      </c>
      <c r="F14" s="5" t="s">
        <v>139</v>
      </c>
      <c r="G14" s="5" t="s">
        <v>140</v>
      </c>
      <c r="H14" s="5" t="s">
        <v>141</v>
      </c>
      <c r="I14" s="5" t="s">
        <v>142</v>
      </c>
      <c r="J14" s="5" t="s">
        <v>143</v>
      </c>
      <c r="K14" s="5" t="s">
        <v>144</v>
      </c>
      <c r="L14" s="4" t="s">
        <v>24</v>
      </c>
      <c r="M14" s="5" t="s">
        <v>145</v>
      </c>
      <c r="N14" s="6" t="s">
        <v>146</v>
      </c>
    </row>
    <row r="15" customFormat="false" ht="96" hidden="false" customHeight="true" outlineLevel="0" collapsed="false">
      <c r="A15" s="7" t="s">
        <v>147</v>
      </c>
      <c r="B15" s="7" t="s">
        <v>115</v>
      </c>
      <c r="C15" s="3" t="s">
        <v>148</v>
      </c>
      <c r="D15" s="4" t="n">
        <v>12</v>
      </c>
      <c r="E15" s="5" t="s">
        <v>17</v>
      </c>
      <c r="F15" s="5" t="s">
        <v>149</v>
      </c>
      <c r="G15" s="5" t="s">
        <v>150</v>
      </c>
      <c r="H15" s="5" t="s">
        <v>151</v>
      </c>
      <c r="I15" s="5" t="s">
        <v>152</v>
      </c>
      <c r="J15" s="5" t="s">
        <v>153</v>
      </c>
      <c r="K15" s="5" t="s">
        <v>154</v>
      </c>
      <c r="L15" s="4" t="s">
        <v>24</v>
      </c>
      <c r="M15" s="5" t="s">
        <v>155</v>
      </c>
      <c r="N15" s="6" t="s">
        <v>156</v>
      </c>
    </row>
    <row r="16" customFormat="false" ht="96" hidden="false" customHeight="true" outlineLevel="0" collapsed="false">
      <c r="A16" s="7" t="s">
        <v>157</v>
      </c>
      <c r="B16" s="7" t="s">
        <v>115</v>
      </c>
      <c r="C16" s="3" t="s">
        <v>158</v>
      </c>
      <c r="D16" s="4" t="n">
        <v>10</v>
      </c>
      <c r="E16" s="5" t="s">
        <v>17</v>
      </c>
      <c r="F16" s="5" t="s">
        <v>159</v>
      </c>
      <c r="G16" s="5" t="s">
        <v>160</v>
      </c>
      <c r="H16" s="5" t="s">
        <v>161</v>
      </c>
      <c r="I16" s="5" t="s">
        <v>162</v>
      </c>
      <c r="J16" s="5" t="s">
        <v>163</v>
      </c>
      <c r="K16" s="5" t="s">
        <v>164</v>
      </c>
      <c r="L16" s="4" t="s">
        <v>123</v>
      </c>
      <c r="M16" s="5" t="s">
        <v>165</v>
      </c>
      <c r="N16" s="6" t="s">
        <v>166</v>
      </c>
    </row>
    <row r="17" customFormat="false" ht="96" hidden="false" customHeight="true" outlineLevel="0" collapsed="false">
      <c r="A17" s="7" t="s">
        <v>167</v>
      </c>
      <c r="B17" s="7" t="s">
        <v>115</v>
      </c>
      <c r="C17" s="3" t="s">
        <v>168</v>
      </c>
      <c r="D17" s="4" t="n">
        <v>8</v>
      </c>
      <c r="E17" s="5" t="s">
        <v>17</v>
      </c>
      <c r="F17" s="5" t="s">
        <v>169</v>
      </c>
      <c r="G17" s="5" t="s">
        <v>170</v>
      </c>
      <c r="H17" s="5" t="s">
        <v>171</v>
      </c>
      <c r="I17" s="5" t="s">
        <v>172</v>
      </c>
      <c r="J17" s="5" t="s">
        <v>173</v>
      </c>
      <c r="K17" s="5" t="s">
        <v>174</v>
      </c>
      <c r="L17" s="4" t="s">
        <v>123</v>
      </c>
      <c r="M17" s="5" t="s">
        <v>175</v>
      </c>
      <c r="N17" s="6" t="s">
        <v>176</v>
      </c>
    </row>
    <row r="18" customFormat="false" ht="96" hidden="false" customHeight="true" outlineLevel="0" collapsed="false">
      <c r="A18" s="7" t="s">
        <v>177</v>
      </c>
      <c r="B18" s="7" t="s">
        <v>115</v>
      </c>
      <c r="C18" s="3" t="s">
        <v>178</v>
      </c>
      <c r="D18" s="4" t="n">
        <v>6</v>
      </c>
      <c r="E18" s="5" t="s">
        <v>17</v>
      </c>
      <c r="F18" s="5" t="s">
        <v>179</v>
      </c>
      <c r="G18" s="5" t="s">
        <v>180</v>
      </c>
      <c r="H18" s="5" t="s">
        <v>181</v>
      </c>
      <c r="I18" s="5" t="s">
        <v>182</v>
      </c>
      <c r="J18" s="5" t="s">
        <v>183</v>
      </c>
      <c r="K18" s="5" t="s">
        <v>184</v>
      </c>
      <c r="L18" s="4" t="s">
        <v>123</v>
      </c>
      <c r="M18" s="5"/>
      <c r="N18" s="6" t="s">
        <v>185</v>
      </c>
    </row>
    <row r="19" customFormat="false" ht="96" hidden="false" customHeight="true" outlineLevel="0" collapsed="false">
      <c r="A19" s="7" t="s">
        <v>103</v>
      </c>
      <c r="B19" s="7" t="s">
        <v>115</v>
      </c>
      <c r="C19" s="3" t="s">
        <v>186</v>
      </c>
      <c r="D19" s="4" t="n">
        <v>10</v>
      </c>
      <c r="E19" s="5" t="s">
        <v>17</v>
      </c>
      <c r="F19" s="5" t="s">
        <v>187</v>
      </c>
      <c r="G19" s="5" t="s">
        <v>188</v>
      </c>
      <c r="H19" s="5" t="s">
        <v>189</v>
      </c>
      <c r="I19" s="5" t="s">
        <v>190</v>
      </c>
      <c r="J19" s="5" t="s">
        <v>191</v>
      </c>
      <c r="K19" s="5" t="s">
        <v>192</v>
      </c>
      <c r="L19" s="4" t="s">
        <v>24</v>
      </c>
      <c r="M19" s="5" t="s">
        <v>95</v>
      </c>
      <c r="N19" s="6" t="s">
        <v>185</v>
      </c>
    </row>
    <row r="20" customFormat="false" ht="96" hidden="false" customHeight="true" outlineLevel="0" collapsed="false">
      <c r="A20" s="7" t="s">
        <v>193</v>
      </c>
      <c r="B20" s="7" t="s">
        <v>115</v>
      </c>
      <c r="C20" s="3" t="s">
        <v>194</v>
      </c>
      <c r="D20" s="4" t="n">
        <v>8</v>
      </c>
      <c r="E20" s="5" t="s">
        <v>17</v>
      </c>
      <c r="F20" s="5" t="s">
        <v>195</v>
      </c>
      <c r="G20" s="5" t="s">
        <v>196</v>
      </c>
      <c r="H20" s="5" t="s">
        <v>197</v>
      </c>
      <c r="I20" s="5" t="s">
        <v>198</v>
      </c>
      <c r="J20" s="5" t="s">
        <v>199</v>
      </c>
      <c r="K20" s="5" t="s">
        <v>200</v>
      </c>
      <c r="L20" s="4" t="s">
        <v>123</v>
      </c>
      <c r="M20" s="5" t="s">
        <v>114</v>
      </c>
      <c r="N20" s="6" t="s">
        <v>185</v>
      </c>
    </row>
    <row r="21" customFormat="false" ht="96" hidden="false" customHeight="true" outlineLevel="0" collapsed="false">
      <c r="A21" s="7" t="s">
        <v>201</v>
      </c>
      <c r="B21" s="7" t="s">
        <v>115</v>
      </c>
      <c r="C21" s="3" t="s">
        <v>202</v>
      </c>
      <c r="D21" s="4" t="n">
        <v>8</v>
      </c>
      <c r="E21" s="5" t="s">
        <v>17</v>
      </c>
      <c r="F21" s="5" t="s">
        <v>203</v>
      </c>
      <c r="G21" s="5" t="s">
        <v>204</v>
      </c>
      <c r="H21" s="5" t="s">
        <v>205</v>
      </c>
      <c r="I21" s="5" t="s">
        <v>206</v>
      </c>
      <c r="J21" s="5" t="s">
        <v>207</v>
      </c>
      <c r="K21" s="5" t="s">
        <v>208</v>
      </c>
      <c r="L21" s="4" t="s">
        <v>123</v>
      </c>
      <c r="M21" s="5" t="s">
        <v>209</v>
      </c>
      <c r="N21" s="6" t="s">
        <v>185</v>
      </c>
    </row>
    <row r="22" customFormat="false" ht="96" hidden="false" customHeight="true" outlineLevel="0" collapsed="false">
      <c r="A22" s="8" t="s">
        <v>210</v>
      </c>
      <c r="B22" s="8" t="s">
        <v>211</v>
      </c>
      <c r="C22" s="3" t="s">
        <v>212</v>
      </c>
      <c r="D22" s="4" t="n">
        <v>12</v>
      </c>
      <c r="E22" s="5" t="s">
        <v>17</v>
      </c>
      <c r="F22" s="5" t="s">
        <v>213</v>
      </c>
      <c r="G22" s="5" t="s">
        <v>214</v>
      </c>
      <c r="H22" s="5" t="s">
        <v>215</v>
      </c>
      <c r="I22" s="5" t="s">
        <v>216</v>
      </c>
      <c r="J22" s="5" t="s">
        <v>217</v>
      </c>
      <c r="K22" s="5" t="s">
        <v>218</v>
      </c>
      <c r="L22" s="4" t="s">
        <v>24</v>
      </c>
      <c r="M22" s="5" t="s">
        <v>219</v>
      </c>
      <c r="N22" s="6" t="s">
        <v>220</v>
      </c>
    </row>
    <row r="23" customFormat="false" ht="96" hidden="false" customHeight="true" outlineLevel="0" collapsed="false">
      <c r="A23" s="8" t="s">
        <v>221</v>
      </c>
      <c r="B23" s="8" t="s">
        <v>211</v>
      </c>
      <c r="C23" s="3" t="s">
        <v>222</v>
      </c>
      <c r="D23" s="4" t="n">
        <v>12</v>
      </c>
      <c r="E23" s="5" t="s">
        <v>17</v>
      </c>
      <c r="F23" s="5" t="s">
        <v>223</v>
      </c>
      <c r="G23" s="5" t="s">
        <v>224</v>
      </c>
      <c r="H23" s="5" t="s">
        <v>225</v>
      </c>
      <c r="I23" s="5" t="s">
        <v>226</v>
      </c>
      <c r="J23" s="5" t="s">
        <v>227</v>
      </c>
      <c r="K23" s="5" t="s">
        <v>228</v>
      </c>
      <c r="L23" s="4" t="s">
        <v>24</v>
      </c>
      <c r="M23" s="5" t="s">
        <v>229</v>
      </c>
      <c r="N23" s="6" t="s">
        <v>230</v>
      </c>
    </row>
    <row r="24" customFormat="false" ht="96" hidden="false" customHeight="true" outlineLevel="0" collapsed="false">
      <c r="A24" s="8" t="s">
        <v>231</v>
      </c>
      <c r="B24" s="8" t="s">
        <v>211</v>
      </c>
      <c r="C24" s="3" t="s">
        <v>232</v>
      </c>
      <c r="D24" s="4" t="n">
        <v>9</v>
      </c>
      <c r="E24" s="5" t="s">
        <v>17</v>
      </c>
      <c r="F24" s="5" t="s">
        <v>233</v>
      </c>
      <c r="G24" s="5" t="s">
        <v>234</v>
      </c>
      <c r="H24" s="5" t="s">
        <v>235</v>
      </c>
      <c r="I24" s="5" t="s">
        <v>236</v>
      </c>
      <c r="J24" s="5" t="s">
        <v>237</v>
      </c>
      <c r="K24" s="5" t="s">
        <v>238</v>
      </c>
      <c r="L24" s="4" t="s">
        <v>24</v>
      </c>
      <c r="M24" s="5" t="s">
        <v>239</v>
      </c>
      <c r="N24" s="6" t="s">
        <v>185</v>
      </c>
    </row>
    <row r="25" customFormat="false" ht="96" hidden="false" customHeight="true" outlineLevel="0" collapsed="false">
      <c r="A25" s="8" t="s">
        <v>175</v>
      </c>
      <c r="B25" s="8" t="s">
        <v>211</v>
      </c>
      <c r="C25" s="3" t="s">
        <v>240</v>
      </c>
      <c r="D25" s="4" t="n">
        <v>10</v>
      </c>
      <c r="E25" s="5" t="s">
        <v>17</v>
      </c>
      <c r="F25" s="5" t="s">
        <v>241</v>
      </c>
      <c r="G25" s="5" t="s">
        <v>242</v>
      </c>
      <c r="H25" s="5" t="s">
        <v>243</v>
      </c>
      <c r="I25" s="5" t="s">
        <v>244</v>
      </c>
      <c r="J25" s="5" t="s">
        <v>245</v>
      </c>
      <c r="K25" s="5" t="s">
        <v>246</v>
      </c>
      <c r="L25" s="4" t="s">
        <v>24</v>
      </c>
      <c r="M25" s="5" t="s">
        <v>247</v>
      </c>
      <c r="N25" s="6" t="s">
        <v>185</v>
      </c>
    </row>
    <row r="26" customFormat="false" ht="96" hidden="false" customHeight="true" outlineLevel="0" collapsed="false">
      <c r="A26" s="8" t="s">
        <v>248</v>
      </c>
      <c r="B26" s="8" t="s">
        <v>211</v>
      </c>
      <c r="C26" s="3" t="s">
        <v>249</v>
      </c>
      <c r="D26" s="4" t="n">
        <v>10</v>
      </c>
      <c r="E26" s="5" t="s">
        <v>17</v>
      </c>
      <c r="F26" s="5" t="s">
        <v>250</v>
      </c>
      <c r="G26" s="5" t="s">
        <v>251</v>
      </c>
      <c r="H26" s="5" t="s">
        <v>252</v>
      </c>
      <c r="I26" s="5" t="s">
        <v>253</v>
      </c>
      <c r="J26" s="5" t="s">
        <v>254</v>
      </c>
      <c r="K26" s="5" t="s">
        <v>255</v>
      </c>
      <c r="L26" s="4" t="s">
        <v>256</v>
      </c>
      <c r="M26" s="5" t="s">
        <v>257</v>
      </c>
      <c r="N26" s="6" t="s">
        <v>258</v>
      </c>
    </row>
    <row r="27" customFormat="false" ht="96" hidden="false" customHeight="true" outlineLevel="0" collapsed="false">
      <c r="A27" s="8" t="s">
        <v>259</v>
      </c>
      <c r="B27" s="8" t="s">
        <v>211</v>
      </c>
      <c r="C27" s="3" t="s">
        <v>260</v>
      </c>
      <c r="D27" s="4" t="n">
        <v>8</v>
      </c>
      <c r="E27" s="5" t="s">
        <v>17</v>
      </c>
      <c r="F27" s="5" t="s">
        <v>261</v>
      </c>
      <c r="G27" s="5" t="s">
        <v>262</v>
      </c>
      <c r="H27" s="5" t="s">
        <v>263</v>
      </c>
      <c r="I27" s="5" t="s">
        <v>264</v>
      </c>
      <c r="J27" s="5" t="s">
        <v>265</v>
      </c>
      <c r="K27" s="5" t="s">
        <v>266</v>
      </c>
      <c r="L27" s="4" t="s">
        <v>24</v>
      </c>
      <c r="M27" s="5" t="s">
        <v>267</v>
      </c>
      <c r="N27" s="6" t="s">
        <v>185</v>
      </c>
    </row>
    <row r="28" customFormat="false" ht="96" hidden="false" customHeight="true" outlineLevel="0" collapsed="false">
      <c r="A28" s="8" t="s">
        <v>268</v>
      </c>
      <c r="B28" s="8" t="s">
        <v>211</v>
      </c>
      <c r="C28" s="3" t="s">
        <v>269</v>
      </c>
      <c r="D28" s="4" t="n">
        <v>8</v>
      </c>
      <c r="E28" s="5" t="s">
        <v>17</v>
      </c>
      <c r="F28" s="5" t="s">
        <v>270</v>
      </c>
      <c r="G28" s="5" t="s">
        <v>271</v>
      </c>
      <c r="H28" s="5" t="s">
        <v>272</v>
      </c>
      <c r="I28" s="5" t="s">
        <v>273</v>
      </c>
      <c r="J28" s="5" t="s">
        <v>274</v>
      </c>
      <c r="K28" s="5" t="s">
        <v>275</v>
      </c>
      <c r="L28" s="4" t="s">
        <v>24</v>
      </c>
      <c r="M28" s="5" t="s">
        <v>259</v>
      </c>
      <c r="N28" s="6" t="s">
        <v>276</v>
      </c>
    </row>
    <row r="29" customFormat="false" ht="96" hidden="false" customHeight="true" outlineLevel="0" collapsed="false">
      <c r="A29" s="8" t="s">
        <v>277</v>
      </c>
      <c r="B29" s="8" t="s">
        <v>211</v>
      </c>
      <c r="C29" s="3" t="s">
        <v>278</v>
      </c>
      <c r="D29" s="4" t="n">
        <v>6</v>
      </c>
      <c r="E29" s="5" t="s">
        <v>17</v>
      </c>
      <c r="F29" s="5" t="s">
        <v>279</v>
      </c>
      <c r="G29" s="5" t="s">
        <v>180</v>
      </c>
      <c r="H29" s="5" t="s">
        <v>280</v>
      </c>
      <c r="I29" s="5" t="s">
        <v>281</v>
      </c>
      <c r="J29" s="5" t="s">
        <v>282</v>
      </c>
      <c r="K29" s="5" t="s">
        <v>283</v>
      </c>
      <c r="L29" s="4" t="s">
        <v>256</v>
      </c>
      <c r="M29" s="5"/>
      <c r="N29" s="6" t="s">
        <v>284</v>
      </c>
    </row>
    <row r="30" customFormat="false" ht="96" hidden="false" customHeight="true" outlineLevel="0" collapsed="false">
      <c r="A30" s="8" t="s">
        <v>285</v>
      </c>
      <c r="B30" s="8" t="s">
        <v>211</v>
      </c>
      <c r="C30" s="3" t="s">
        <v>286</v>
      </c>
      <c r="D30" s="4" t="n">
        <v>7</v>
      </c>
      <c r="E30" s="5" t="s">
        <v>17</v>
      </c>
      <c r="F30" s="5" t="s">
        <v>287</v>
      </c>
      <c r="G30" s="5" t="s">
        <v>288</v>
      </c>
      <c r="H30" s="5" t="s">
        <v>289</v>
      </c>
      <c r="I30" s="5" t="s">
        <v>290</v>
      </c>
      <c r="J30" s="5" t="s">
        <v>291</v>
      </c>
      <c r="K30" s="5" t="s">
        <v>292</v>
      </c>
      <c r="L30" s="4" t="s">
        <v>123</v>
      </c>
      <c r="M30" s="5" t="s">
        <v>293</v>
      </c>
      <c r="N30" s="6" t="s">
        <v>185</v>
      </c>
    </row>
    <row r="31" customFormat="false" ht="96" hidden="false" customHeight="true" outlineLevel="0" collapsed="false">
      <c r="A31" s="8" t="s">
        <v>294</v>
      </c>
      <c r="B31" s="8" t="s">
        <v>211</v>
      </c>
      <c r="C31" s="3" t="s">
        <v>295</v>
      </c>
      <c r="D31" s="4" t="n">
        <v>8</v>
      </c>
      <c r="E31" s="5" t="s">
        <v>17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  <c r="L31" s="4" t="s">
        <v>24</v>
      </c>
      <c r="M31" s="5" t="s">
        <v>302</v>
      </c>
      <c r="N31" s="6" t="s">
        <v>303</v>
      </c>
    </row>
    <row r="32" customFormat="false" ht="96" hidden="false" customHeight="true" outlineLevel="0" collapsed="false">
      <c r="A32" s="8" t="s">
        <v>304</v>
      </c>
      <c r="B32" s="8" t="s">
        <v>211</v>
      </c>
      <c r="C32" s="3" t="s">
        <v>305</v>
      </c>
      <c r="D32" s="4" t="n">
        <v>5</v>
      </c>
      <c r="E32" s="5" t="s">
        <v>17</v>
      </c>
      <c r="F32" s="5" t="s">
        <v>306</v>
      </c>
      <c r="G32" s="5" t="s">
        <v>251</v>
      </c>
      <c r="H32" s="5" t="s">
        <v>307</v>
      </c>
      <c r="I32" s="5" t="s">
        <v>308</v>
      </c>
      <c r="J32" s="5" t="s">
        <v>309</v>
      </c>
      <c r="K32" s="5" t="s">
        <v>310</v>
      </c>
      <c r="L32" s="4" t="s">
        <v>256</v>
      </c>
      <c r="M32" s="5" t="s">
        <v>311</v>
      </c>
      <c r="N32" s="6" t="s">
        <v>312</v>
      </c>
    </row>
    <row r="33" customFormat="false" ht="96" hidden="false" customHeight="true" outlineLevel="0" collapsed="false">
      <c r="A33" s="8" t="s">
        <v>313</v>
      </c>
      <c r="B33" s="8" t="s">
        <v>211</v>
      </c>
      <c r="C33" s="3" t="s">
        <v>314</v>
      </c>
      <c r="D33" s="4" t="n">
        <v>5</v>
      </c>
      <c r="E33" s="5" t="s">
        <v>57</v>
      </c>
      <c r="F33" s="5" t="s">
        <v>315</v>
      </c>
      <c r="G33" s="5" t="s">
        <v>316</v>
      </c>
      <c r="H33" s="5" t="s">
        <v>317</v>
      </c>
      <c r="I33" s="5" t="s">
        <v>318</v>
      </c>
      <c r="J33" s="5" t="s">
        <v>319</v>
      </c>
      <c r="K33" s="5" t="s">
        <v>320</v>
      </c>
      <c r="L33" s="4" t="s">
        <v>24</v>
      </c>
      <c r="M33" s="5" t="s">
        <v>321</v>
      </c>
      <c r="N33" s="6" t="s">
        <v>322</v>
      </c>
    </row>
    <row r="34" customFormat="false" ht="96" hidden="false" customHeight="true" outlineLevel="0" collapsed="false">
      <c r="A34" s="9" t="s">
        <v>323</v>
      </c>
      <c r="B34" s="9" t="s">
        <v>324</v>
      </c>
      <c r="C34" s="3" t="s">
        <v>325</v>
      </c>
      <c r="D34" s="4" t="n">
        <v>12</v>
      </c>
      <c r="E34" s="5" t="s">
        <v>17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  <c r="L34" s="4" t="s">
        <v>123</v>
      </c>
      <c r="M34" s="5" t="s">
        <v>332</v>
      </c>
      <c r="N34" s="6" t="s">
        <v>333</v>
      </c>
    </row>
    <row r="35" customFormat="false" ht="96" hidden="false" customHeight="true" outlineLevel="0" collapsed="false">
      <c r="A35" s="9" t="s">
        <v>332</v>
      </c>
      <c r="B35" s="9" t="s">
        <v>324</v>
      </c>
      <c r="C35" s="3" t="s">
        <v>334</v>
      </c>
      <c r="D35" s="4" t="n">
        <v>14</v>
      </c>
      <c r="E35" s="5" t="s">
        <v>17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  <c r="L35" s="4" t="s">
        <v>24</v>
      </c>
      <c r="M35" s="5" t="s">
        <v>341</v>
      </c>
      <c r="N35" s="6" t="s">
        <v>185</v>
      </c>
    </row>
    <row r="36" customFormat="false" ht="96" hidden="false" customHeight="true" outlineLevel="0" collapsed="false">
      <c r="A36" s="9" t="s">
        <v>342</v>
      </c>
      <c r="B36" s="9" t="s">
        <v>324</v>
      </c>
      <c r="C36" s="3" t="s">
        <v>343</v>
      </c>
      <c r="D36" s="4" t="n">
        <v>10</v>
      </c>
      <c r="E36" s="5" t="s">
        <v>17</v>
      </c>
      <c r="F36" s="5" t="s">
        <v>344</v>
      </c>
      <c r="G36" s="5" t="s">
        <v>345</v>
      </c>
      <c r="H36" s="5" t="s">
        <v>346</v>
      </c>
      <c r="I36" s="5" t="s">
        <v>347</v>
      </c>
      <c r="J36" s="5" t="s">
        <v>348</v>
      </c>
      <c r="K36" s="5" t="s">
        <v>349</v>
      </c>
      <c r="L36" s="4" t="s">
        <v>24</v>
      </c>
      <c r="M36" s="5" t="s">
        <v>304</v>
      </c>
      <c r="N36" s="6" t="s">
        <v>185</v>
      </c>
    </row>
    <row r="37" customFormat="false" ht="96" hidden="false" customHeight="true" outlineLevel="0" collapsed="false">
      <c r="A37" s="9" t="s">
        <v>239</v>
      </c>
      <c r="B37" s="9" t="s">
        <v>324</v>
      </c>
      <c r="C37" s="3" t="s">
        <v>350</v>
      </c>
      <c r="D37" s="4" t="n">
        <v>6</v>
      </c>
      <c r="E37" s="5" t="s">
        <v>17</v>
      </c>
      <c r="F37" s="5" t="s">
        <v>351</v>
      </c>
      <c r="G37" s="5" t="s">
        <v>214</v>
      </c>
      <c r="H37" s="5" t="s">
        <v>352</v>
      </c>
      <c r="I37" s="5" t="s">
        <v>353</v>
      </c>
      <c r="J37" s="5" t="s">
        <v>354</v>
      </c>
      <c r="K37" s="5" t="s">
        <v>355</v>
      </c>
      <c r="L37" s="4" t="s">
        <v>256</v>
      </c>
      <c r="M37" s="5" t="s">
        <v>356</v>
      </c>
      <c r="N37" s="6" t="s">
        <v>185</v>
      </c>
    </row>
    <row r="38" customFormat="false" ht="96" hidden="false" customHeight="true" outlineLevel="0" collapsed="false">
      <c r="A38" s="9" t="s">
        <v>357</v>
      </c>
      <c r="B38" s="9" t="s">
        <v>324</v>
      </c>
      <c r="C38" s="3" t="s">
        <v>358</v>
      </c>
      <c r="D38" s="4" t="n">
        <v>14</v>
      </c>
      <c r="E38" s="5" t="s">
        <v>17</v>
      </c>
      <c r="F38" s="5" t="s">
        <v>359</v>
      </c>
      <c r="G38" s="5" t="s">
        <v>360</v>
      </c>
      <c r="H38" s="5" t="s">
        <v>361</v>
      </c>
      <c r="I38" s="5" t="s">
        <v>362</v>
      </c>
      <c r="J38" s="5" t="s">
        <v>363</v>
      </c>
      <c r="K38" s="5" t="s">
        <v>364</v>
      </c>
      <c r="L38" s="4" t="s">
        <v>123</v>
      </c>
      <c r="M38" s="5" t="s">
        <v>365</v>
      </c>
      <c r="N38" s="6" t="s">
        <v>185</v>
      </c>
    </row>
    <row r="39" customFormat="false" ht="96" hidden="false" customHeight="true" outlineLevel="0" collapsed="false">
      <c r="A39" s="9" t="s">
        <v>145</v>
      </c>
      <c r="B39" s="9" t="s">
        <v>324</v>
      </c>
      <c r="C39" s="3" t="s">
        <v>366</v>
      </c>
      <c r="D39" s="4" t="n">
        <v>12</v>
      </c>
      <c r="E39" s="5" t="s">
        <v>17</v>
      </c>
      <c r="F39" s="5" t="s">
        <v>367</v>
      </c>
      <c r="G39" s="5" t="s">
        <v>368</v>
      </c>
      <c r="H39" s="5" t="s">
        <v>369</v>
      </c>
      <c r="I39" s="5" t="s">
        <v>370</v>
      </c>
      <c r="J39" s="5" t="s">
        <v>371</v>
      </c>
      <c r="K39" s="5" t="s">
        <v>372</v>
      </c>
      <c r="L39" s="4" t="s">
        <v>123</v>
      </c>
      <c r="M39" s="5" t="s">
        <v>373</v>
      </c>
      <c r="N39" s="6" t="s">
        <v>185</v>
      </c>
    </row>
    <row r="40" customFormat="false" ht="96" hidden="false" customHeight="true" outlineLevel="0" collapsed="false">
      <c r="A40" s="9" t="s">
        <v>374</v>
      </c>
      <c r="B40" s="9" t="s">
        <v>324</v>
      </c>
      <c r="C40" s="3" t="s">
        <v>375</v>
      </c>
      <c r="D40" s="4" t="n">
        <v>12</v>
      </c>
      <c r="E40" s="5" t="s">
        <v>17</v>
      </c>
      <c r="F40" s="5" t="s">
        <v>376</v>
      </c>
      <c r="G40" s="5" t="s">
        <v>377</v>
      </c>
      <c r="H40" s="5" t="s">
        <v>378</v>
      </c>
      <c r="I40" s="5" t="s">
        <v>379</v>
      </c>
      <c r="J40" s="5" t="s">
        <v>380</v>
      </c>
      <c r="K40" s="5" t="s">
        <v>381</v>
      </c>
      <c r="L40" s="4" t="s">
        <v>123</v>
      </c>
      <c r="M40" s="5" t="s">
        <v>105</v>
      </c>
      <c r="N40" s="6" t="s">
        <v>382</v>
      </c>
    </row>
    <row r="41" customFormat="false" ht="96" hidden="false" customHeight="true" outlineLevel="0" collapsed="false">
      <c r="A41" s="9" t="s">
        <v>383</v>
      </c>
      <c r="B41" s="9" t="s">
        <v>324</v>
      </c>
      <c r="C41" s="3" t="s">
        <v>384</v>
      </c>
      <c r="D41" s="4" t="n">
        <v>10</v>
      </c>
      <c r="E41" s="5" t="s">
        <v>17</v>
      </c>
      <c r="F41" s="5" t="s">
        <v>385</v>
      </c>
      <c r="G41" s="5" t="s">
        <v>386</v>
      </c>
      <c r="H41" s="5" t="s">
        <v>387</v>
      </c>
      <c r="I41" s="5" t="s">
        <v>388</v>
      </c>
      <c r="J41" s="5" t="s">
        <v>389</v>
      </c>
      <c r="K41" s="5" t="s">
        <v>390</v>
      </c>
      <c r="L41" s="4" t="s">
        <v>256</v>
      </c>
      <c r="M41" s="5" t="s">
        <v>248</v>
      </c>
      <c r="N41" s="6" t="s">
        <v>185</v>
      </c>
    </row>
    <row r="42" customFormat="false" ht="96" hidden="false" customHeight="true" outlineLevel="0" collapsed="false">
      <c r="A42" s="9" t="s">
        <v>391</v>
      </c>
      <c r="B42" s="9" t="s">
        <v>324</v>
      </c>
      <c r="C42" s="3" t="s">
        <v>392</v>
      </c>
      <c r="D42" s="4" t="n">
        <v>10</v>
      </c>
      <c r="E42" s="5" t="s">
        <v>17</v>
      </c>
      <c r="F42" s="5" t="s">
        <v>393</v>
      </c>
      <c r="G42" s="5" t="s">
        <v>394</v>
      </c>
      <c r="H42" s="5" t="s">
        <v>395</v>
      </c>
      <c r="I42" s="5" t="s">
        <v>396</v>
      </c>
      <c r="J42" s="5" t="s">
        <v>397</v>
      </c>
      <c r="K42" s="5" t="s">
        <v>398</v>
      </c>
      <c r="L42" s="4" t="s">
        <v>123</v>
      </c>
      <c r="M42" s="5" t="s">
        <v>399</v>
      </c>
      <c r="N42" s="6" t="s">
        <v>185</v>
      </c>
    </row>
  </sheetData>
  <autoFilter ref="A1:N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0" t="s">
        <v>400</v>
      </c>
    </row>
    <row r="3" customFormat="false" ht="15" hidden="false" customHeight="false" outlineLevel="0" collapsed="false">
      <c r="A3" s="1" t="s">
        <v>401</v>
      </c>
      <c r="B3" s="1" t="s">
        <v>402</v>
      </c>
    </row>
    <row r="4" customFormat="false" ht="15" hidden="false" customHeight="false" outlineLevel="0" collapsed="false">
      <c r="A4" s="3" t="s">
        <v>403</v>
      </c>
      <c r="B4" s="5" t="s">
        <v>404</v>
      </c>
    </row>
    <row r="5" customFormat="false" ht="15" hidden="false" customHeight="false" outlineLevel="0" collapsed="false">
      <c r="A5" s="3" t="s">
        <v>405</v>
      </c>
      <c r="B5" s="5" t="s">
        <v>406</v>
      </c>
    </row>
    <row r="6" customFormat="false" ht="15" hidden="false" customHeight="false" outlineLevel="0" collapsed="false">
      <c r="A6" s="3" t="s">
        <v>407</v>
      </c>
      <c r="B6" s="5" t="s">
        <v>408</v>
      </c>
    </row>
    <row r="7" customFormat="false" ht="23.85" hidden="false" customHeight="false" outlineLevel="0" collapsed="false">
      <c r="A7" s="3" t="s">
        <v>409</v>
      </c>
      <c r="B7" s="5" t="s">
        <v>410</v>
      </c>
    </row>
    <row r="8" customFormat="false" ht="15" hidden="false" customHeight="false" outlineLevel="0" collapsed="false">
      <c r="A8" s="3" t="s">
        <v>411</v>
      </c>
      <c r="B8" s="5" t="s">
        <v>412</v>
      </c>
    </row>
    <row r="9" customFormat="false" ht="15" hidden="false" customHeight="false" outlineLevel="0" collapsed="false">
      <c r="A9" s="3" t="s">
        <v>413</v>
      </c>
      <c r="B9" s="5" t="s">
        <v>414</v>
      </c>
    </row>
    <row r="10" customFormat="false" ht="15" hidden="false" customHeight="false" outlineLevel="0" collapsed="false">
      <c r="A10" s="3" t="s">
        <v>415</v>
      </c>
      <c r="B10" s="5" t="s">
        <v>416</v>
      </c>
    </row>
    <row r="11" customFormat="false" ht="15" hidden="false" customHeight="false" outlineLevel="0" collapsed="false">
      <c r="A11" s="3" t="s">
        <v>417</v>
      </c>
      <c r="B11" s="5" t="s">
        <v>418</v>
      </c>
    </row>
    <row r="12" customFormat="false" ht="15" hidden="false" customHeight="false" outlineLevel="0" collapsed="false">
      <c r="A12" s="3" t="s">
        <v>419</v>
      </c>
      <c r="B12" s="5" t="s">
        <v>420</v>
      </c>
    </row>
    <row r="13" customFormat="false" ht="15" hidden="false" customHeight="false" outlineLevel="0" collapsed="false">
      <c r="A13" s="3" t="s">
        <v>421</v>
      </c>
      <c r="B13" s="5" t="s">
        <v>422</v>
      </c>
    </row>
    <row r="14" customFormat="false" ht="15" hidden="false" customHeight="false" outlineLevel="0" collapsed="false">
      <c r="A14" s="3" t="s">
        <v>423</v>
      </c>
      <c r="B14" s="5" t="s">
        <v>424</v>
      </c>
    </row>
    <row r="15" customFormat="false" ht="15" hidden="false" customHeight="false" outlineLevel="0" collapsed="false">
      <c r="A15" s="3" t="s">
        <v>425</v>
      </c>
      <c r="B15" s="5" t="s">
        <v>426</v>
      </c>
    </row>
    <row r="16" customFormat="false" ht="15" hidden="false" customHeight="false" outlineLevel="0" collapsed="false">
      <c r="A16" s="3" t="s">
        <v>427</v>
      </c>
      <c r="B16" s="5" t="s">
        <v>428</v>
      </c>
    </row>
    <row r="17" customFormat="false" ht="15" hidden="false" customHeight="false" outlineLevel="0" collapsed="false">
      <c r="A17" s="3" t="s">
        <v>429</v>
      </c>
      <c r="B17" s="5" t="s">
        <v>430</v>
      </c>
    </row>
    <row r="18" customFormat="false" ht="15" hidden="false" customHeight="false" outlineLevel="0" collapsed="false">
      <c r="A18" s="3" t="s">
        <v>431</v>
      </c>
      <c r="B18" s="5" t="s">
        <v>432</v>
      </c>
    </row>
    <row r="19" customFormat="false" ht="15" hidden="false" customHeight="false" outlineLevel="0" collapsed="false">
      <c r="A19" s="3" t="s">
        <v>433</v>
      </c>
      <c r="B19" s="5" t="s">
        <v>434</v>
      </c>
    </row>
    <row r="20" customFormat="false" ht="23.85" hidden="false" customHeight="false" outlineLevel="0" collapsed="false">
      <c r="A20" s="3" t="s">
        <v>435</v>
      </c>
      <c r="B20" s="5" t="s">
        <v>436</v>
      </c>
    </row>
    <row r="21" customFormat="false" ht="15" hidden="false" customHeight="false" outlineLevel="0" collapsed="false">
      <c r="A21" s="3" t="s">
        <v>437</v>
      </c>
      <c r="B21" s="5" t="s">
        <v>438</v>
      </c>
    </row>
    <row r="22" customFormat="false" ht="15" hidden="false" customHeight="false" outlineLevel="0" collapsed="false">
      <c r="A22" s="3" t="s">
        <v>439</v>
      </c>
      <c r="B22" s="5" t="s">
        <v>440</v>
      </c>
    </row>
    <row r="23" customFormat="false" ht="15" hidden="false" customHeight="false" outlineLevel="0" collapsed="false">
      <c r="A23" s="3" t="s">
        <v>441</v>
      </c>
      <c r="B23" s="5" t="s">
        <v>442</v>
      </c>
    </row>
    <row r="24" customFormat="false" ht="15" hidden="false" customHeight="false" outlineLevel="0" collapsed="false">
      <c r="A24" s="3" t="s">
        <v>443</v>
      </c>
      <c r="B24" s="5" t="s">
        <v>444</v>
      </c>
    </row>
    <row r="25" customFormat="false" ht="15" hidden="false" customHeight="false" outlineLevel="0" collapsed="false">
      <c r="A25" s="3" t="s">
        <v>445</v>
      </c>
      <c r="B25" s="5" t="s">
        <v>446</v>
      </c>
    </row>
    <row r="26" customFormat="false" ht="15" hidden="false" customHeight="false" outlineLevel="0" collapsed="false">
      <c r="A26" s="3" t="s">
        <v>447</v>
      </c>
      <c r="B26" s="5" t="s">
        <v>448</v>
      </c>
    </row>
    <row r="27" customFormat="false" ht="15" hidden="false" customHeight="false" outlineLevel="0" collapsed="false">
      <c r="A27" s="3" t="s">
        <v>449</v>
      </c>
      <c r="B27" s="5" t="s">
        <v>450</v>
      </c>
    </row>
    <row r="28" customFormat="false" ht="23.85" hidden="false" customHeight="false" outlineLevel="0" collapsed="false">
      <c r="A28" s="3" t="s">
        <v>451</v>
      </c>
      <c r="B28" s="5" t="s">
        <v>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0" t="s">
        <v>453</v>
      </c>
    </row>
    <row r="2" customFormat="false" ht="15" hidden="false" customHeight="false" outlineLevel="0" collapsed="false">
      <c r="A2" s="11" t="s">
        <v>454</v>
      </c>
    </row>
    <row r="3" customFormat="false" ht="15" hidden="false" customHeight="false" outlineLevel="0" collapsed="false">
      <c r="A3" s="1" t="s">
        <v>455</v>
      </c>
      <c r="B3" s="1" t="s">
        <v>456</v>
      </c>
      <c r="C3" s="1" t="s">
        <v>457</v>
      </c>
      <c r="D3" s="1" t="s">
        <v>458</v>
      </c>
    </row>
    <row r="4" customFormat="false" ht="15" hidden="false" customHeight="false" outlineLevel="0" collapsed="false">
      <c r="A4" s="2" t="s">
        <v>15</v>
      </c>
      <c r="B4" s="4" t="n">
        <f aca="false">SUMIF(Matriz_v3!$B$2:$B$42,A4,Matriz_v3!$D$2:$D$42)</f>
        <v>100</v>
      </c>
      <c r="C4" s="4" t="n">
        <f aca="false">COUNTIF(Matriz_v3!$B$2:$B$42,A4)</f>
        <v>10</v>
      </c>
      <c r="D4" s="12" t="str">
        <f aca="false">IF(B4=100,"OK","ERROR")</f>
        <v>OK</v>
      </c>
    </row>
    <row r="5" customFormat="false" ht="15" hidden="false" customHeight="false" outlineLevel="0" collapsed="false">
      <c r="A5" s="7" t="s">
        <v>115</v>
      </c>
      <c r="B5" s="4" t="n">
        <f aca="false">SUMIF(Matriz_v3!$B$2:$B$42,A5,Matriz_v3!$D$2:$D$42)</f>
        <v>100</v>
      </c>
      <c r="C5" s="4" t="n">
        <f aca="false">COUNTIF(Matriz_v3!$B$2:$B$42,A5)</f>
        <v>10</v>
      </c>
      <c r="D5" s="12" t="str">
        <f aca="false">IF(B5=100,"OK","ERROR")</f>
        <v>OK</v>
      </c>
    </row>
    <row r="6" customFormat="false" ht="15" hidden="false" customHeight="false" outlineLevel="0" collapsed="false">
      <c r="A6" s="8" t="s">
        <v>211</v>
      </c>
      <c r="B6" s="4" t="n">
        <f aca="false">SUMIF(Matriz_v3!$B$2:$B$42,A6,Matriz_v3!$D$2:$D$42)</f>
        <v>100</v>
      </c>
      <c r="C6" s="4" t="n">
        <f aca="false">COUNTIF(Matriz_v3!$B$2:$B$42,A6)</f>
        <v>12</v>
      </c>
      <c r="D6" s="12" t="str">
        <f aca="false">IF(B6=100,"OK","ERROR")</f>
        <v>OK</v>
      </c>
    </row>
    <row r="7" customFormat="false" ht="15" hidden="false" customHeight="false" outlineLevel="0" collapsed="false">
      <c r="A7" s="9" t="s">
        <v>324</v>
      </c>
      <c r="B7" s="4" t="n">
        <f aca="false">SUMIF(Matriz_v3!$B$2:$B$42,A7,Matriz_v3!$D$2:$D$42)</f>
        <v>100</v>
      </c>
      <c r="C7" s="4" t="n">
        <f aca="false">COUNTIF(Matriz_v3!$B$2:$B$42,A7)</f>
        <v>9</v>
      </c>
      <c r="D7" s="12" t="str">
        <f aca="false">IF(B7=100,"OK","ERROR")</f>
        <v>OK</v>
      </c>
    </row>
    <row r="8" customFormat="false" ht="15" hidden="false" customHeight="false" outlineLevel="0" collapsed="false">
      <c r="A8" s="3" t="s">
        <v>459</v>
      </c>
      <c r="B8" s="4" t="n">
        <f aca="false">SUM(B4:B7)</f>
        <v>400</v>
      </c>
      <c r="C8" s="4" t="n">
        <f aca="false">SUM(C4:C7)</f>
        <v>41</v>
      </c>
      <c r="D8" s="12" t="str">
        <f aca="false">IF(AND(B8=400,C8=41),"OK","ERROR")</f>
        <v>OK</v>
      </c>
    </row>
    <row r="10" customFormat="false" ht="15" hidden="false" customHeight="false" outlineLevel="0" collapsed="false">
      <c r="A10" s="3" t="s">
        <v>460</v>
      </c>
      <c r="B10" s="12" t="str">
        <f aca="false">IF(SUMPRODUCT(1/COUNTIF(Matriz_v3!$A$2:$A$42,Matriz_v3!$A$2:$A$42))=41,"OK","DUPLICADOS")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9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0" t="s">
        <v>461</v>
      </c>
    </row>
    <row r="3" customFormat="false" ht="15" hidden="false" customHeight="false" outlineLevel="0" collapsed="false">
      <c r="A3" s="1" t="s">
        <v>462</v>
      </c>
      <c r="B3" s="1" t="s">
        <v>463</v>
      </c>
      <c r="C3" s="1" t="s">
        <v>464</v>
      </c>
      <c r="D3" s="1" t="s">
        <v>465</v>
      </c>
    </row>
    <row r="4" customFormat="false" ht="23.85" hidden="false" customHeight="false" outlineLevel="0" collapsed="false">
      <c r="A4" s="12" t="s">
        <v>24</v>
      </c>
      <c r="B4" s="3" t="s">
        <v>466</v>
      </c>
      <c r="C4" s="5" t="s">
        <v>467</v>
      </c>
      <c r="D4" s="4" t="s">
        <v>468</v>
      </c>
    </row>
    <row r="5" customFormat="false" ht="15" hidden="false" customHeight="false" outlineLevel="0" collapsed="false">
      <c r="A5" s="12" t="s">
        <v>123</v>
      </c>
      <c r="B5" s="3" t="s">
        <v>469</v>
      </c>
      <c r="C5" s="5" t="s">
        <v>470</v>
      </c>
      <c r="D5" s="4" t="s">
        <v>471</v>
      </c>
    </row>
    <row r="6" customFormat="false" ht="23.85" hidden="false" customHeight="false" outlineLevel="0" collapsed="false">
      <c r="A6" s="12" t="s">
        <v>256</v>
      </c>
      <c r="B6" s="3" t="s">
        <v>472</v>
      </c>
      <c r="C6" s="5" t="s">
        <v>473</v>
      </c>
      <c r="D6" s="4" t="s">
        <v>471</v>
      </c>
    </row>
    <row r="7" customFormat="false" ht="23.85" hidden="false" customHeight="false" outlineLevel="0" collapsed="false">
      <c r="A7" s="12" t="s">
        <v>474</v>
      </c>
      <c r="B7" s="3" t="s">
        <v>475</v>
      </c>
      <c r="C7" s="5" t="s">
        <v>476</v>
      </c>
      <c r="D7" s="4" t="s">
        <v>477</v>
      </c>
    </row>
    <row r="8" customFormat="false" ht="15" hidden="false" customHeight="false" outlineLevel="0" collapsed="false">
      <c r="A8" s="12" t="s">
        <v>478</v>
      </c>
      <c r="B8" s="3" t="s">
        <v>479</v>
      </c>
      <c r="C8" s="5" t="s">
        <v>480</v>
      </c>
      <c r="D8" s="4" t="s">
        <v>481</v>
      </c>
    </row>
    <row r="9" customFormat="false" ht="15" hidden="false" customHeight="false" outlineLevel="0" collapsed="false">
      <c r="A9" s="12" t="s">
        <v>482</v>
      </c>
      <c r="B9" s="3" t="s">
        <v>483</v>
      </c>
      <c r="C9" s="5" t="s">
        <v>484</v>
      </c>
      <c r="D9" s="4" t="s">
        <v>485</v>
      </c>
    </row>
    <row r="11" customFormat="false" ht="23.85" hidden="false" customHeight="false" outlineLevel="0" collapsed="false">
      <c r="A11" s="1"/>
      <c r="B11" s="1" t="s">
        <v>486</v>
      </c>
      <c r="C11" s="1"/>
      <c r="D11" s="1" t="s">
        <v>487</v>
      </c>
    </row>
    <row r="12" customFormat="false" ht="23.85" hidden="false" customHeight="false" outlineLevel="0" collapsed="false">
      <c r="B12" s="5" t="s">
        <v>488</v>
      </c>
      <c r="D12" s="4" t="n">
        <v>0</v>
      </c>
    </row>
    <row r="13" customFormat="false" ht="23.85" hidden="false" customHeight="false" outlineLevel="0" collapsed="false">
      <c r="B13" s="5" t="s">
        <v>489</v>
      </c>
      <c r="D13" s="4" t="n">
        <v>-1</v>
      </c>
    </row>
    <row r="14" customFormat="false" ht="23.85" hidden="false" customHeight="false" outlineLevel="0" collapsed="false">
      <c r="B14" s="5" t="s">
        <v>490</v>
      </c>
      <c r="D14" s="4" t="n">
        <v>-2</v>
      </c>
    </row>
    <row r="16" customFormat="false" ht="15" hidden="false" customHeight="false" outlineLevel="0" collapsed="false">
      <c r="A16" s="1"/>
      <c r="B16" s="1" t="s">
        <v>491</v>
      </c>
      <c r="C16" s="1" t="s">
        <v>492</v>
      </c>
      <c r="D16" s="1"/>
    </row>
    <row r="17" customFormat="false" ht="15" hidden="false" customHeight="false" outlineLevel="0" collapsed="false">
      <c r="B17" s="3" t="s">
        <v>493</v>
      </c>
      <c r="C17" s="5" t="s">
        <v>494</v>
      </c>
    </row>
    <row r="18" customFormat="false" ht="15" hidden="false" customHeight="false" outlineLevel="0" collapsed="false">
      <c r="B18" s="3" t="s">
        <v>495</v>
      </c>
      <c r="C18" s="5" t="s">
        <v>496</v>
      </c>
    </row>
    <row r="19" customFormat="false" ht="15" hidden="false" customHeight="false" outlineLevel="0" collapsed="false">
      <c r="B19" s="3" t="s">
        <v>497</v>
      </c>
      <c r="C19" s="5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8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0" t="s">
        <v>499</v>
      </c>
    </row>
    <row r="3" customFormat="false" ht="15" hidden="false" customHeight="false" outlineLevel="0" collapsed="false">
      <c r="A3" s="1" t="s">
        <v>500</v>
      </c>
      <c r="B3" s="1" t="s">
        <v>501</v>
      </c>
      <c r="C3" s="1" t="s">
        <v>502</v>
      </c>
      <c r="D3" s="1" t="s">
        <v>503</v>
      </c>
    </row>
    <row r="4" customFormat="false" ht="15" hidden="false" customHeight="false" outlineLevel="0" collapsed="false">
      <c r="A4" s="13" t="s">
        <v>504</v>
      </c>
      <c r="B4" s="4" t="n">
        <v>0</v>
      </c>
      <c r="C4" s="4" t="n">
        <v>20</v>
      </c>
      <c r="D4" s="5" t="s">
        <v>505</v>
      </c>
    </row>
    <row r="5" customFormat="false" ht="15" hidden="false" customHeight="false" outlineLevel="0" collapsed="false">
      <c r="A5" s="14" t="s">
        <v>506</v>
      </c>
      <c r="B5" s="4" t="n">
        <v>21</v>
      </c>
      <c r="C5" s="4" t="n">
        <v>40</v>
      </c>
      <c r="D5" s="5" t="s">
        <v>505</v>
      </c>
    </row>
    <row r="6" customFormat="false" ht="15" hidden="false" customHeight="false" outlineLevel="0" collapsed="false">
      <c r="A6" s="15" t="s">
        <v>507</v>
      </c>
      <c r="B6" s="4" t="n">
        <v>41</v>
      </c>
      <c r="C6" s="4" t="n">
        <v>60</v>
      </c>
      <c r="D6" s="5" t="s">
        <v>505</v>
      </c>
    </row>
    <row r="7" customFormat="false" ht="15" hidden="false" customHeight="false" outlineLevel="0" collapsed="false">
      <c r="A7" s="16" t="s">
        <v>508</v>
      </c>
      <c r="B7" s="4" t="n">
        <v>61</v>
      </c>
      <c r="C7" s="4" t="n">
        <v>80</v>
      </c>
      <c r="D7" s="5" t="s">
        <v>505</v>
      </c>
    </row>
    <row r="8" customFormat="false" ht="15" hidden="false" customHeight="false" outlineLevel="0" collapsed="false">
      <c r="A8" s="17" t="s">
        <v>509</v>
      </c>
      <c r="B8" s="4" t="n">
        <v>81</v>
      </c>
      <c r="C8" s="4" t="n">
        <v>100</v>
      </c>
      <c r="D8" s="5" t="s">
        <v>505</v>
      </c>
    </row>
    <row r="10" customFormat="false" ht="15" hidden="false" customHeight="false" outlineLevel="0" collapsed="false">
      <c r="A10" s="1" t="s">
        <v>510</v>
      </c>
      <c r="B10" s="1"/>
      <c r="C10" s="1"/>
      <c r="D10" s="1" t="s">
        <v>464</v>
      </c>
    </row>
    <row r="11" customFormat="false" ht="15" hidden="false" customHeight="false" outlineLevel="0" collapsed="false">
      <c r="A11" s="3" t="s">
        <v>511</v>
      </c>
      <c r="D11" s="5" t="s">
        <v>512</v>
      </c>
    </row>
    <row r="12" customFormat="false" ht="15" hidden="false" customHeight="false" outlineLevel="0" collapsed="false">
      <c r="A12" s="3" t="s">
        <v>513</v>
      </c>
      <c r="D12" s="5" t="s">
        <v>514</v>
      </c>
    </row>
    <row r="13" customFormat="false" ht="15" hidden="false" customHeight="false" outlineLevel="0" collapsed="false">
      <c r="A13" s="3" t="s">
        <v>515</v>
      </c>
      <c r="D13" s="5" t="s">
        <v>516</v>
      </c>
    </row>
    <row r="14" customFormat="false" ht="15" hidden="false" customHeight="false" outlineLevel="0" collapsed="false">
      <c r="A14" s="3" t="s">
        <v>517</v>
      </c>
      <c r="D14" s="5" t="s">
        <v>518</v>
      </c>
    </row>
    <row r="15" customFormat="false" ht="15" hidden="false" customHeight="false" outlineLevel="0" collapsed="false">
      <c r="A15" s="3" t="s">
        <v>519</v>
      </c>
      <c r="D15" s="5" t="s">
        <v>520</v>
      </c>
    </row>
    <row r="17" customFormat="false" ht="23.85" hidden="false" customHeight="false" outlineLevel="0" collapsed="false">
      <c r="A17" s="1" t="s">
        <v>521</v>
      </c>
      <c r="B17" s="1"/>
      <c r="C17" s="1"/>
      <c r="D17" s="1" t="s">
        <v>464</v>
      </c>
    </row>
    <row r="18" customFormat="false" ht="15" hidden="false" customHeight="false" outlineLevel="0" collapsed="false">
      <c r="A18" s="3" t="s">
        <v>481</v>
      </c>
      <c r="D18" s="5" t="s">
        <v>522</v>
      </c>
    </row>
    <row r="19" customFormat="false" ht="15" hidden="false" customHeight="false" outlineLevel="0" collapsed="false">
      <c r="A19" s="3" t="s">
        <v>523</v>
      </c>
      <c r="D19" s="5" t="s">
        <v>524</v>
      </c>
    </row>
    <row r="20" customFormat="false" ht="15" hidden="false" customHeight="false" outlineLevel="0" collapsed="false">
      <c r="A20" s="3" t="s">
        <v>525</v>
      </c>
      <c r="D20" s="5" t="s">
        <v>526</v>
      </c>
    </row>
    <row r="21" customFormat="false" ht="15" hidden="false" customHeight="false" outlineLevel="0" collapsed="false">
      <c r="A21" s="3" t="s">
        <v>471</v>
      </c>
      <c r="D21" s="5" t="s">
        <v>527</v>
      </c>
    </row>
    <row r="22" customFormat="false" ht="15" hidden="false" customHeight="false" outlineLevel="0" collapsed="false">
      <c r="A22" s="3" t="s">
        <v>468</v>
      </c>
      <c r="D22" s="5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5" min="3" style="0" width="10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" t="s">
        <v>1</v>
      </c>
      <c r="B1" s="1" t="s">
        <v>529</v>
      </c>
      <c r="C1" s="1" t="s">
        <v>530</v>
      </c>
      <c r="D1" s="1" t="s">
        <v>531</v>
      </c>
      <c r="E1" s="1" t="s">
        <v>532</v>
      </c>
      <c r="F1" s="1" t="s">
        <v>533</v>
      </c>
    </row>
    <row r="2" customFormat="false" ht="15" hidden="false" customHeight="false" outlineLevel="0" collapsed="false">
      <c r="A2" s="2" t="s">
        <v>15</v>
      </c>
      <c r="B2" s="5" t="s">
        <v>16</v>
      </c>
      <c r="C2" s="4" t="n">
        <v>12</v>
      </c>
      <c r="D2" s="12" t="s">
        <v>14</v>
      </c>
      <c r="E2" s="4" t="n">
        <v>14</v>
      </c>
      <c r="F2" s="5" t="s">
        <v>534</v>
      </c>
    </row>
    <row r="3" customFormat="false" ht="15" hidden="false" customHeight="false" outlineLevel="0" collapsed="false">
      <c r="A3" s="2" t="s">
        <v>15</v>
      </c>
      <c r="B3" s="5" t="s">
        <v>28</v>
      </c>
      <c r="C3" s="4" t="n">
        <v>8</v>
      </c>
      <c r="D3" s="12" t="s">
        <v>27</v>
      </c>
      <c r="E3" s="4" t="n">
        <v>8</v>
      </c>
      <c r="F3" s="5" t="s">
        <v>535</v>
      </c>
    </row>
    <row r="4" customFormat="false" ht="15" hidden="false" customHeight="false" outlineLevel="0" collapsed="false">
      <c r="A4" s="2" t="s">
        <v>15</v>
      </c>
      <c r="B4" s="5" t="s">
        <v>536</v>
      </c>
      <c r="C4" s="4" t="n">
        <v>10</v>
      </c>
      <c r="D4" s="12" t="s">
        <v>36</v>
      </c>
      <c r="E4" s="4" t="n">
        <v>12</v>
      </c>
      <c r="F4" s="5" t="s">
        <v>537</v>
      </c>
    </row>
    <row r="5" customFormat="false" ht="15" hidden="false" customHeight="false" outlineLevel="0" collapsed="false">
      <c r="A5" s="2" t="s">
        <v>15</v>
      </c>
      <c r="B5" s="5" t="s">
        <v>46</v>
      </c>
      <c r="C5" s="4" t="n">
        <v>8</v>
      </c>
      <c r="D5" s="12" t="s">
        <v>44</v>
      </c>
      <c r="E5" s="4" t="n">
        <v>8</v>
      </c>
      <c r="F5" s="5" t="s">
        <v>538</v>
      </c>
    </row>
    <row r="6" customFormat="false" ht="15" hidden="false" customHeight="false" outlineLevel="0" collapsed="false">
      <c r="A6" s="2" t="s">
        <v>15</v>
      </c>
      <c r="B6" s="5" t="s">
        <v>56</v>
      </c>
      <c r="C6" s="4" t="n">
        <v>8</v>
      </c>
      <c r="D6" s="12" t="s">
        <v>55</v>
      </c>
      <c r="E6" s="4" t="n">
        <v>10</v>
      </c>
      <c r="F6" s="5" t="s">
        <v>539</v>
      </c>
    </row>
    <row r="7" customFormat="false" ht="15" hidden="false" customHeight="false" outlineLevel="0" collapsed="false">
      <c r="A7" s="2" t="s">
        <v>15</v>
      </c>
      <c r="B7" s="5" t="s">
        <v>67</v>
      </c>
      <c r="C7" s="4" t="n">
        <v>10</v>
      </c>
      <c r="D7" s="12" t="s">
        <v>66</v>
      </c>
      <c r="E7" s="4" t="n">
        <v>10</v>
      </c>
      <c r="F7" s="5" t="s">
        <v>540</v>
      </c>
    </row>
    <row r="8" customFormat="false" ht="15" hidden="false" customHeight="false" outlineLevel="0" collapsed="false">
      <c r="A8" s="2" t="s">
        <v>15</v>
      </c>
      <c r="B8" s="5" t="s">
        <v>541</v>
      </c>
      <c r="C8" s="4" t="n">
        <v>8</v>
      </c>
      <c r="D8" s="12" t="s">
        <v>75</v>
      </c>
      <c r="E8" s="4" t="n">
        <v>8</v>
      </c>
      <c r="F8" s="5" t="s">
        <v>542</v>
      </c>
    </row>
    <row r="9" customFormat="false" ht="15" hidden="false" customHeight="false" outlineLevel="0" collapsed="false">
      <c r="A9" s="2" t="s">
        <v>15</v>
      </c>
      <c r="B9" s="5" t="s">
        <v>543</v>
      </c>
      <c r="C9" s="4" t="n">
        <v>10</v>
      </c>
      <c r="D9" s="12" t="s">
        <v>85</v>
      </c>
      <c r="E9" s="4" t="n">
        <v>14</v>
      </c>
      <c r="F9" s="5" t="s">
        <v>544</v>
      </c>
    </row>
    <row r="10" customFormat="false" ht="15" hidden="false" customHeight="false" outlineLevel="0" collapsed="false">
      <c r="A10" s="2" t="s">
        <v>15</v>
      </c>
      <c r="B10" s="5" t="s">
        <v>545</v>
      </c>
      <c r="C10" s="4" t="n">
        <v>8</v>
      </c>
      <c r="D10" s="12" t="s">
        <v>85</v>
      </c>
      <c r="E10" s="4"/>
      <c r="F10" s="5" t="s">
        <v>546</v>
      </c>
    </row>
    <row r="11" customFormat="false" ht="15" hidden="false" customHeight="false" outlineLevel="0" collapsed="false">
      <c r="A11" s="2" t="s">
        <v>15</v>
      </c>
      <c r="B11" s="5" t="s">
        <v>96</v>
      </c>
      <c r="C11" s="4" t="n">
        <v>8</v>
      </c>
      <c r="D11" s="12" t="s">
        <v>95</v>
      </c>
      <c r="E11" s="4" t="n">
        <v>8</v>
      </c>
      <c r="F11" s="5" t="s">
        <v>547</v>
      </c>
    </row>
    <row r="12" customFormat="false" ht="15" hidden="false" customHeight="false" outlineLevel="0" collapsed="false">
      <c r="A12" s="2" t="s">
        <v>15</v>
      </c>
      <c r="B12" s="5" t="s">
        <v>548</v>
      </c>
      <c r="C12" s="4" t="n">
        <v>6</v>
      </c>
      <c r="D12" s="12" t="s">
        <v>105</v>
      </c>
      <c r="E12" s="4" t="n">
        <v>8</v>
      </c>
      <c r="F12" s="5" t="s">
        <v>549</v>
      </c>
    </row>
    <row r="13" customFormat="false" ht="15" hidden="false" customHeight="false" outlineLevel="0" collapsed="false">
      <c r="A13" s="2" t="s">
        <v>15</v>
      </c>
      <c r="B13" s="5" t="s">
        <v>550</v>
      </c>
      <c r="C13" s="4" t="n">
        <v>4</v>
      </c>
      <c r="D13" s="12" t="s">
        <v>551</v>
      </c>
      <c r="E13" s="4"/>
      <c r="F13" s="5" t="s">
        <v>552</v>
      </c>
    </row>
    <row r="14" customFormat="false" ht="15" hidden="false" customHeight="false" outlineLevel="0" collapsed="false">
      <c r="A14" s="7" t="s">
        <v>115</v>
      </c>
      <c r="B14" s="5" t="s">
        <v>553</v>
      </c>
      <c r="C14" s="4" t="n">
        <v>10</v>
      </c>
      <c r="D14" s="12" t="s">
        <v>114</v>
      </c>
      <c r="E14" s="4" t="n">
        <v>18</v>
      </c>
      <c r="F14" s="5" t="s">
        <v>554</v>
      </c>
    </row>
    <row r="15" customFormat="false" ht="15" hidden="false" customHeight="false" outlineLevel="0" collapsed="false">
      <c r="A15" s="7" t="s">
        <v>115</v>
      </c>
      <c r="B15" s="5" t="s">
        <v>555</v>
      </c>
      <c r="C15" s="4" t="n">
        <v>10</v>
      </c>
      <c r="D15" s="12" t="s">
        <v>114</v>
      </c>
      <c r="E15" s="4"/>
      <c r="F15" s="5" t="s">
        <v>556</v>
      </c>
    </row>
    <row r="16" customFormat="false" ht="15" hidden="false" customHeight="false" outlineLevel="0" collapsed="false">
      <c r="A16" s="7" t="s">
        <v>115</v>
      </c>
      <c r="B16" s="5" t="s">
        <v>557</v>
      </c>
      <c r="C16" s="4" t="n">
        <v>10</v>
      </c>
      <c r="D16" s="12" t="s">
        <v>114</v>
      </c>
      <c r="E16" s="4"/>
      <c r="F16" s="5" t="s">
        <v>556</v>
      </c>
    </row>
    <row r="17" customFormat="false" ht="15" hidden="false" customHeight="false" outlineLevel="0" collapsed="false">
      <c r="A17" s="7" t="s">
        <v>115</v>
      </c>
      <c r="B17" s="5" t="s">
        <v>127</v>
      </c>
      <c r="C17" s="4" t="n">
        <v>8</v>
      </c>
      <c r="D17" s="12" t="s">
        <v>126</v>
      </c>
      <c r="E17" s="4" t="n">
        <v>10</v>
      </c>
      <c r="F17" s="5" t="s">
        <v>558</v>
      </c>
    </row>
    <row r="18" customFormat="false" ht="15" hidden="false" customHeight="false" outlineLevel="0" collapsed="false">
      <c r="A18" s="7" t="s">
        <v>115</v>
      </c>
      <c r="B18" s="5" t="s">
        <v>138</v>
      </c>
      <c r="C18" s="4" t="n">
        <v>8</v>
      </c>
      <c r="D18" s="12" t="s">
        <v>137</v>
      </c>
      <c r="E18" s="4" t="n">
        <v>10</v>
      </c>
      <c r="F18" s="5" t="s">
        <v>547</v>
      </c>
    </row>
    <row r="19" customFormat="false" ht="15" hidden="false" customHeight="false" outlineLevel="0" collapsed="false">
      <c r="A19" s="7" t="s">
        <v>115</v>
      </c>
      <c r="B19" s="5" t="s">
        <v>559</v>
      </c>
      <c r="C19" s="4" t="n">
        <v>10</v>
      </c>
      <c r="D19" s="12" t="s">
        <v>147</v>
      </c>
      <c r="E19" s="4" t="n">
        <v>12</v>
      </c>
      <c r="F19" s="5" t="s">
        <v>560</v>
      </c>
    </row>
    <row r="20" customFormat="false" ht="15" hidden="false" customHeight="false" outlineLevel="0" collapsed="false">
      <c r="A20" s="7" t="s">
        <v>115</v>
      </c>
      <c r="B20" s="5" t="s">
        <v>158</v>
      </c>
      <c r="C20" s="4" t="n">
        <v>8</v>
      </c>
      <c r="D20" s="12" t="s">
        <v>157</v>
      </c>
      <c r="E20" s="4" t="n">
        <v>10</v>
      </c>
      <c r="F20" s="5" t="s">
        <v>561</v>
      </c>
    </row>
    <row r="21" customFormat="false" ht="15" hidden="false" customHeight="false" outlineLevel="0" collapsed="false">
      <c r="A21" s="7" t="s">
        <v>115</v>
      </c>
      <c r="B21" s="5" t="s">
        <v>168</v>
      </c>
      <c r="C21" s="4" t="n">
        <v>8</v>
      </c>
      <c r="D21" s="12" t="s">
        <v>167</v>
      </c>
      <c r="E21" s="4" t="n">
        <v>8</v>
      </c>
      <c r="F21" s="5" t="s">
        <v>562</v>
      </c>
    </row>
    <row r="22" customFormat="false" ht="15" hidden="false" customHeight="false" outlineLevel="0" collapsed="false">
      <c r="A22" s="7" t="s">
        <v>115</v>
      </c>
      <c r="B22" s="5" t="s">
        <v>178</v>
      </c>
      <c r="C22" s="4" t="n">
        <v>6</v>
      </c>
      <c r="D22" s="12" t="s">
        <v>177</v>
      </c>
      <c r="E22" s="4" t="n">
        <v>6</v>
      </c>
      <c r="F22" s="5" t="s">
        <v>547</v>
      </c>
    </row>
    <row r="23" customFormat="false" ht="15" hidden="false" customHeight="false" outlineLevel="0" collapsed="false">
      <c r="A23" s="7" t="s">
        <v>115</v>
      </c>
      <c r="B23" s="5" t="s">
        <v>186</v>
      </c>
      <c r="C23" s="4" t="n">
        <v>8</v>
      </c>
      <c r="D23" s="12" t="s">
        <v>103</v>
      </c>
      <c r="E23" s="4" t="n">
        <v>10</v>
      </c>
      <c r="F23" s="5" t="s">
        <v>563</v>
      </c>
    </row>
    <row r="24" customFormat="false" ht="15" hidden="false" customHeight="false" outlineLevel="0" collapsed="false">
      <c r="A24" s="7" t="s">
        <v>115</v>
      </c>
      <c r="B24" s="5" t="s">
        <v>194</v>
      </c>
      <c r="C24" s="4" t="n">
        <v>7</v>
      </c>
      <c r="D24" s="12" t="s">
        <v>193</v>
      </c>
      <c r="E24" s="4" t="n">
        <v>8</v>
      </c>
      <c r="F24" s="5" t="s">
        <v>547</v>
      </c>
    </row>
    <row r="25" customFormat="false" ht="15" hidden="false" customHeight="false" outlineLevel="0" collapsed="false">
      <c r="A25" s="7" t="s">
        <v>115</v>
      </c>
      <c r="B25" s="5" t="s">
        <v>202</v>
      </c>
      <c r="C25" s="4" t="n">
        <v>7</v>
      </c>
      <c r="D25" s="12" t="s">
        <v>201</v>
      </c>
      <c r="E25" s="4" t="n">
        <v>8</v>
      </c>
      <c r="F25" s="5" t="s">
        <v>547</v>
      </c>
    </row>
    <row r="26" customFormat="false" ht="15" hidden="false" customHeight="false" outlineLevel="0" collapsed="false">
      <c r="A26" s="8" t="s">
        <v>211</v>
      </c>
      <c r="B26" s="5" t="s">
        <v>212</v>
      </c>
      <c r="C26" s="4" t="n">
        <v>12</v>
      </c>
      <c r="D26" s="12" t="s">
        <v>210</v>
      </c>
      <c r="E26" s="4" t="n">
        <v>12</v>
      </c>
      <c r="F26" s="5" t="s">
        <v>564</v>
      </c>
    </row>
    <row r="27" customFormat="false" ht="15" hidden="false" customHeight="false" outlineLevel="0" collapsed="false">
      <c r="A27" s="8" t="s">
        <v>211</v>
      </c>
      <c r="B27" s="5" t="s">
        <v>222</v>
      </c>
      <c r="C27" s="4" t="n">
        <v>12</v>
      </c>
      <c r="D27" s="12" t="s">
        <v>221</v>
      </c>
      <c r="E27" s="4" t="n">
        <v>12</v>
      </c>
      <c r="F27" s="5" t="s">
        <v>565</v>
      </c>
    </row>
    <row r="28" customFormat="false" ht="15" hidden="false" customHeight="false" outlineLevel="0" collapsed="false">
      <c r="A28" s="8" t="s">
        <v>211</v>
      </c>
      <c r="B28" s="5" t="s">
        <v>566</v>
      </c>
      <c r="C28" s="4" t="n">
        <v>9</v>
      </c>
      <c r="D28" s="12" t="s">
        <v>231</v>
      </c>
      <c r="E28" s="4" t="n">
        <v>9</v>
      </c>
      <c r="F28" s="5" t="s">
        <v>547</v>
      </c>
    </row>
    <row r="29" customFormat="false" ht="15" hidden="false" customHeight="false" outlineLevel="0" collapsed="false">
      <c r="A29" s="8" t="s">
        <v>211</v>
      </c>
      <c r="B29" s="5" t="s">
        <v>240</v>
      </c>
      <c r="C29" s="4" t="n">
        <v>10</v>
      </c>
      <c r="D29" s="12" t="s">
        <v>175</v>
      </c>
      <c r="E29" s="4" t="n">
        <v>10</v>
      </c>
      <c r="F29" s="5" t="s">
        <v>567</v>
      </c>
    </row>
    <row r="30" customFormat="false" ht="15" hidden="false" customHeight="false" outlineLevel="0" collapsed="false">
      <c r="A30" s="8" t="s">
        <v>211</v>
      </c>
      <c r="B30" s="5" t="s">
        <v>249</v>
      </c>
      <c r="C30" s="4" t="n">
        <v>10</v>
      </c>
      <c r="D30" s="12" t="s">
        <v>248</v>
      </c>
      <c r="E30" s="4" t="n">
        <v>10</v>
      </c>
      <c r="F30" s="5" t="s">
        <v>568</v>
      </c>
    </row>
    <row r="31" customFormat="false" ht="15" hidden="false" customHeight="false" outlineLevel="0" collapsed="false">
      <c r="A31" s="8" t="s">
        <v>211</v>
      </c>
      <c r="B31" s="5" t="s">
        <v>260</v>
      </c>
      <c r="C31" s="4" t="n">
        <v>8</v>
      </c>
      <c r="D31" s="12" t="s">
        <v>259</v>
      </c>
      <c r="E31" s="4" t="n">
        <v>8</v>
      </c>
      <c r="F31" s="5" t="s">
        <v>547</v>
      </c>
    </row>
    <row r="32" customFormat="false" ht="15" hidden="false" customHeight="false" outlineLevel="0" collapsed="false">
      <c r="A32" s="8" t="s">
        <v>211</v>
      </c>
      <c r="B32" s="5" t="s">
        <v>269</v>
      </c>
      <c r="C32" s="4" t="n">
        <v>8</v>
      </c>
      <c r="D32" s="12" t="s">
        <v>268</v>
      </c>
      <c r="E32" s="4" t="n">
        <v>8</v>
      </c>
      <c r="F32" s="5" t="s">
        <v>569</v>
      </c>
    </row>
    <row r="33" customFormat="false" ht="15" hidden="false" customHeight="false" outlineLevel="0" collapsed="false">
      <c r="A33" s="8" t="s">
        <v>211</v>
      </c>
      <c r="B33" s="5" t="s">
        <v>570</v>
      </c>
      <c r="C33" s="4" t="n">
        <v>6</v>
      </c>
      <c r="D33" s="12" t="s">
        <v>277</v>
      </c>
      <c r="E33" s="4" t="n">
        <v>6</v>
      </c>
      <c r="F33" s="5" t="s">
        <v>547</v>
      </c>
    </row>
    <row r="34" customFormat="false" ht="15" hidden="false" customHeight="false" outlineLevel="0" collapsed="false">
      <c r="A34" s="8" t="s">
        <v>211</v>
      </c>
      <c r="B34" s="5" t="s">
        <v>571</v>
      </c>
      <c r="C34" s="4" t="n">
        <v>7</v>
      </c>
      <c r="D34" s="12" t="s">
        <v>285</v>
      </c>
      <c r="E34" s="4" t="n">
        <v>7</v>
      </c>
      <c r="F34" s="5" t="s">
        <v>547</v>
      </c>
    </row>
    <row r="35" customFormat="false" ht="15" hidden="false" customHeight="false" outlineLevel="0" collapsed="false">
      <c r="A35" s="8" t="s">
        <v>211</v>
      </c>
      <c r="B35" s="5" t="s">
        <v>572</v>
      </c>
      <c r="C35" s="4" t="n">
        <v>8</v>
      </c>
      <c r="D35" s="12" t="s">
        <v>294</v>
      </c>
      <c r="E35" s="4" t="n">
        <v>8</v>
      </c>
      <c r="F35" s="5" t="s">
        <v>573</v>
      </c>
    </row>
    <row r="36" customFormat="false" ht="15" hidden="false" customHeight="false" outlineLevel="0" collapsed="false">
      <c r="A36" s="8" t="s">
        <v>211</v>
      </c>
      <c r="B36" s="5" t="s">
        <v>305</v>
      </c>
      <c r="C36" s="4" t="n">
        <v>5</v>
      </c>
      <c r="D36" s="12" t="s">
        <v>304</v>
      </c>
      <c r="E36" s="4" t="n">
        <v>5</v>
      </c>
      <c r="F36" s="5" t="s">
        <v>574</v>
      </c>
    </row>
    <row r="37" customFormat="false" ht="15" hidden="false" customHeight="false" outlineLevel="0" collapsed="false">
      <c r="A37" s="8" t="s">
        <v>211</v>
      </c>
      <c r="B37" s="5" t="s">
        <v>575</v>
      </c>
      <c r="C37" s="4" t="n">
        <v>5</v>
      </c>
      <c r="D37" s="12" t="s">
        <v>313</v>
      </c>
      <c r="E37" s="4" t="n">
        <v>5</v>
      </c>
      <c r="F37" s="5" t="s">
        <v>576</v>
      </c>
    </row>
    <row r="38" customFormat="false" ht="15" hidden="false" customHeight="false" outlineLevel="0" collapsed="false">
      <c r="A38" s="9" t="s">
        <v>324</v>
      </c>
      <c r="B38" s="5" t="s">
        <v>325</v>
      </c>
      <c r="C38" s="4" t="n">
        <v>10</v>
      </c>
      <c r="D38" s="12" t="s">
        <v>323</v>
      </c>
      <c r="E38" s="4" t="n">
        <v>12</v>
      </c>
      <c r="F38" s="5" t="s">
        <v>547</v>
      </c>
    </row>
    <row r="39" customFormat="false" ht="15" hidden="false" customHeight="false" outlineLevel="0" collapsed="false">
      <c r="A39" s="9" t="s">
        <v>324</v>
      </c>
      <c r="B39" s="5" t="s">
        <v>334</v>
      </c>
      <c r="C39" s="4" t="n">
        <v>12</v>
      </c>
      <c r="D39" s="12" t="s">
        <v>332</v>
      </c>
      <c r="E39" s="4" t="n">
        <v>14</v>
      </c>
      <c r="F39" s="5" t="s">
        <v>577</v>
      </c>
    </row>
    <row r="40" customFormat="false" ht="15" hidden="false" customHeight="false" outlineLevel="0" collapsed="false">
      <c r="A40" s="9" t="s">
        <v>324</v>
      </c>
      <c r="B40" s="5" t="s">
        <v>343</v>
      </c>
      <c r="C40" s="4" t="n">
        <v>8</v>
      </c>
      <c r="D40" s="12" t="s">
        <v>342</v>
      </c>
      <c r="E40" s="4" t="n">
        <v>10</v>
      </c>
      <c r="F40" s="5" t="s">
        <v>577</v>
      </c>
    </row>
    <row r="41" customFormat="false" ht="15" hidden="false" customHeight="false" outlineLevel="0" collapsed="false">
      <c r="A41" s="9" t="s">
        <v>324</v>
      </c>
      <c r="B41" s="5" t="s">
        <v>350</v>
      </c>
      <c r="C41" s="4" t="n">
        <v>5</v>
      </c>
      <c r="D41" s="12" t="s">
        <v>239</v>
      </c>
      <c r="E41" s="4" t="n">
        <v>6</v>
      </c>
      <c r="F41" s="5" t="s">
        <v>547</v>
      </c>
    </row>
    <row r="42" customFormat="false" ht="15" hidden="false" customHeight="false" outlineLevel="0" collapsed="false">
      <c r="A42" s="9" t="s">
        <v>324</v>
      </c>
      <c r="B42" s="5" t="s">
        <v>358</v>
      </c>
      <c r="C42" s="4" t="n">
        <v>12</v>
      </c>
      <c r="D42" s="12" t="s">
        <v>357</v>
      </c>
      <c r="E42" s="4" t="n">
        <v>14</v>
      </c>
      <c r="F42" s="5" t="s">
        <v>547</v>
      </c>
    </row>
    <row r="43" customFormat="false" ht="15" hidden="false" customHeight="false" outlineLevel="0" collapsed="false">
      <c r="A43" s="9" t="s">
        <v>324</v>
      </c>
      <c r="B43" s="5" t="s">
        <v>366</v>
      </c>
      <c r="C43" s="4" t="n">
        <v>10</v>
      </c>
      <c r="D43" s="12" t="s">
        <v>145</v>
      </c>
      <c r="E43" s="4" t="n">
        <v>12</v>
      </c>
      <c r="F43" s="5" t="s">
        <v>547</v>
      </c>
    </row>
    <row r="44" customFormat="false" ht="15" hidden="false" customHeight="false" outlineLevel="0" collapsed="false">
      <c r="A44" s="9" t="s">
        <v>324</v>
      </c>
      <c r="B44" s="5" t="s">
        <v>578</v>
      </c>
      <c r="C44" s="4" t="n">
        <v>8</v>
      </c>
      <c r="D44" s="12" t="s">
        <v>374</v>
      </c>
      <c r="E44" s="4" t="n">
        <v>12</v>
      </c>
      <c r="F44" s="5" t="s">
        <v>579</v>
      </c>
    </row>
    <row r="45" customFormat="false" ht="15" hidden="false" customHeight="false" outlineLevel="0" collapsed="false">
      <c r="A45" s="9" t="s">
        <v>324</v>
      </c>
      <c r="B45" s="5" t="s">
        <v>580</v>
      </c>
      <c r="C45" s="4" t="n">
        <v>10</v>
      </c>
      <c r="D45" s="12" t="s">
        <v>374</v>
      </c>
      <c r="E45" s="4"/>
      <c r="F45" s="5" t="s">
        <v>581</v>
      </c>
    </row>
    <row r="46" customFormat="false" ht="15" hidden="false" customHeight="false" outlineLevel="0" collapsed="false">
      <c r="A46" s="9" t="s">
        <v>324</v>
      </c>
      <c r="B46" s="5" t="s">
        <v>582</v>
      </c>
      <c r="C46" s="4" t="n">
        <v>5</v>
      </c>
      <c r="D46" s="12" t="s">
        <v>551</v>
      </c>
      <c r="E46" s="4"/>
      <c r="F46" s="5" t="s">
        <v>583</v>
      </c>
    </row>
    <row r="47" customFormat="false" ht="15" hidden="false" customHeight="false" outlineLevel="0" collapsed="false">
      <c r="A47" s="9" t="s">
        <v>324</v>
      </c>
      <c r="B47" s="5" t="s">
        <v>384</v>
      </c>
      <c r="C47" s="4" t="n">
        <v>8</v>
      </c>
      <c r="D47" s="12" t="s">
        <v>383</v>
      </c>
      <c r="E47" s="4" t="n">
        <v>10</v>
      </c>
      <c r="F47" s="5" t="s">
        <v>584</v>
      </c>
    </row>
    <row r="48" customFormat="false" ht="15" hidden="false" customHeight="false" outlineLevel="0" collapsed="false">
      <c r="A48" s="9" t="s">
        <v>324</v>
      </c>
      <c r="B48" s="5" t="s">
        <v>392</v>
      </c>
      <c r="C48" s="4" t="n">
        <v>7</v>
      </c>
      <c r="D48" s="12" t="s">
        <v>391</v>
      </c>
      <c r="E48" s="4" t="n">
        <v>10</v>
      </c>
      <c r="F48" s="5" t="s">
        <v>547</v>
      </c>
    </row>
    <row r="49" customFormat="false" ht="15" hidden="false" customHeight="false" outlineLevel="0" collapsed="false">
      <c r="A49" s="9" t="s">
        <v>324</v>
      </c>
      <c r="B49" s="5" t="s">
        <v>585</v>
      </c>
      <c r="C49" s="4" t="n">
        <v>5</v>
      </c>
      <c r="D49" s="12" t="s">
        <v>551</v>
      </c>
      <c r="E49" s="4"/>
      <c r="F49" s="5" t="s">
        <v>586</v>
      </c>
    </row>
    <row r="51" customFormat="false" ht="15" hidden="false" customHeight="false" outlineLevel="0" collapsed="false">
      <c r="B51" s="3" t="s">
        <v>587</v>
      </c>
    </row>
    <row r="52" customFormat="false" ht="15" hidden="false" customHeight="false" outlineLevel="0" collapsed="false">
      <c r="A52" s="3" t="s">
        <v>15</v>
      </c>
      <c r="C52" s="4" t="n">
        <f aca="false">SUMIF($A$2:$A$49,A52,$C$2:$C$49)</f>
        <v>100</v>
      </c>
      <c r="E52" s="4" t="n">
        <f aca="false">SUMIF($A$2:$A$49,A52,$E$2:$E$49)</f>
        <v>100</v>
      </c>
      <c r="F52" s="3" t="str">
        <f aca="false">IF(AND(C52=100,E52=100),"OK","ERROR")</f>
        <v>OK</v>
      </c>
    </row>
    <row r="53" customFormat="false" ht="15" hidden="false" customHeight="false" outlineLevel="0" collapsed="false">
      <c r="A53" s="3" t="s">
        <v>115</v>
      </c>
      <c r="C53" s="4" t="n">
        <f aca="false">SUMIF($A$2:$A$49,A53,$C$2:$C$49)</f>
        <v>100</v>
      </c>
      <c r="E53" s="4" t="n">
        <f aca="false">SUMIF($A$2:$A$49,A53,$E$2:$E$49)</f>
        <v>100</v>
      </c>
      <c r="F53" s="3" t="str">
        <f aca="false">IF(AND(C53=100,E53=100),"OK","ERROR")</f>
        <v>OK</v>
      </c>
    </row>
    <row r="54" customFormat="false" ht="15" hidden="false" customHeight="false" outlineLevel="0" collapsed="false">
      <c r="A54" s="3" t="s">
        <v>211</v>
      </c>
      <c r="C54" s="4" t="n">
        <f aca="false">SUMIF($A$2:$A$49,A54,$C$2:$C$49)</f>
        <v>100</v>
      </c>
      <c r="E54" s="4" t="n">
        <f aca="false">SUMIF($A$2:$A$49,A54,$E$2:$E$49)</f>
        <v>100</v>
      </c>
      <c r="F54" s="3" t="str">
        <f aca="false">IF(AND(C54=100,E54=100),"OK","ERROR")</f>
        <v>OK</v>
      </c>
    </row>
    <row r="55" customFormat="false" ht="15" hidden="false" customHeight="false" outlineLevel="0" collapsed="false">
      <c r="A55" s="3" t="s">
        <v>324</v>
      </c>
      <c r="C55" s="4" t="n">
        <f aca="false">SUMIF($A$2:$A$49,A55,$C$2:$C$49)</f>
        <v>100</v>
      </c>
      <c r="E55" s="4" t="n">
        <f aca="false">SUMIF($A$2:$A$49,A55,$E$2:$E$49)</f>
        <v>100</v>
      </c>
      <c r="F55" s="3" t="str">
        <f aca="false">IF(AND(C55=100,E55=100),"OK","ERROR")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2026-10-05T19:52:38Z</dcterms:created>
  <dc:creator>openpyxl</dc:creator>
  <dc:description/>
  <dc:language>en-US</dc:language>
  <cp:lastModifiedBy/>
  <dcterms:modified xsi:type="dcterms:W3CDTF">2026-10-05T19:52:38Z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